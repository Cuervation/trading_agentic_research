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9d7b9935c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SPY" sheetId="1" r:id="R34d761bc3cc84b68"/>
    <x:sheet xmlns:r="http://schemas.openxmlformats.org/officeDocument/2006/relationships" name="Ranking 3-way" sheetId="2" r:id="R18da8a916e984981"/>
    <x:sheet xmlns:r="http://schemas.openxmlformats.org/officeDocument/2006/relationships" name="Top Weekly vs SPY" sheetId="3" r:id="R53f9edd8b6a246aa"/>
    <x:sheet xmlns:r="http://schemas.openxmlformats.org/officeDocument/2006/relationships" name="Top No Weekly vs SPY" sheetId="4" r:id="R0410823b991c4652"/>
    <x:sheet xmlns:r="http://schemas.openxmlformats.org/officeDocument/2006/relationships" name="Resumen familias" sheetId="5" r:id="Re077c5a7dfd74d49"/>
    <x:sheet xmlns:r="http://schemas.openxmlformats.org/officeDocument/2006/relationships" name="Base con SPY" sheetId="6" r:id="Re281b8713f1d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97958159342dd" /><Relationship Type="http://schemas.openxmlformats.org/officeDocument/2006/relationships/theme" Target="/xl/theme/theme1.xml" Id="R231ae36b8c754ddb" /><Relationship Type="http://schemas.openxmlformats.org/officeDocument/2006/relationships/sharedStrings" Target="/xl/sharedStrings.xml" Id="R0cf91f5bb6cb43c7" /><Relationship Type="http://schemas.openxmlformats.org/officeDocument/2006/relationships/worksheet" Target="/xl/worksheets/sheet1.xml" Id="R34d761bc3cc84b68" /><Relationship Type="http://schemas.openxmlformats.org/officeDocument/2006/relationships/worksheet" Target="/xl/worksheets/sheet2.xml" Id="R18da8a916e984981" /><Relationship Type="http://schemas.openxmlformats.org/officeDocument/2006/relationships/worksheet" Target="/xl/worksheets/sheet3.xml" Id="R53f9edd8b6a246aa" /><Relationship Type="http://schemas.openxmlformats.org/officeDocument/2006/relationships/worksheet" Target="/xl/worksheets/sheet4.xml" Id="R0410823b991c4652" /><Relationship Type="http://schemas.openxmlformats.org/officeDocument/2006/relationships/worksheet" Target="/xl/worksheets/sheet5.xml" Id="Re077c5a7dfd74d49" /><Relationship Type="http://schemas.openxmlformats.org/officeDocument/2006/relationships/worksheet" Target="/xl/worksheets/sheet6.xml" Id="Re281b8713f1d40ad" /></Relationships>
</file>

<file path=xl/tables/table1.xml><?xml version="1.0" encoding="utf-8"?>
<x:table xmlns:x="http://schemas.openxmlformats.org/spreadsheetml/2006/main" id="1" name="Ranking3WayTable" displayName="Ranking3WayTable" ref="A1:Q201" headerRowCount="1">
  <x:tableColumns count="17">
    <x:tableColumn id="1" name="Rank"/>
    <x:tableColumn id="2" name="Ganador"/>
    <x:tableColumn id="3" name="Strategy ID"/>
    <x:tableColumn id="4" name="Family"/>
    <x:tableColumn id="5" name="Best Score"/>
    <x:tableColumn id="6" name="SPY Score"/>
    <x:tableColumn id="7" name="Edge best vs SPY"/>
    <x:tableColumn id="8" name="Weekly Score"/>
    <x:tableColumn id="9" name="Original Score"/>
    <x:tableColumn id="10" name="Weekly CAGR %"/>
    <x:tableColumn id="11" name="Original CAGR %"/>
    <x:tableColumn id="12" name="SPY CAGR %"/>
    <x:tableColumn id="13" name="Weekly DD %"/>
    <x:tableColumn id="14" name="Original DD %"/>
    <x:tableColumn id="15" name="SPY DD %"/>
    <x:tableColumn id="16" name="Start"/>
    <x:tableColumn id="17" name="End"/>
  </x:tableColumns>
  <x:tableStyleInfo name="TableStyleMedium2" showRowStripes="1"/>
</x:table>
</file>

<file path=xl/tables/table2.xml><?xml version="1.0" encoding="utf-8"?>
<x:table xmlns:x="http://schemas.openxmlformats.org/spreadsheetml/2006/main" id="2" name="TopWeeklySpyTable" displayName="TopWeeklySpyTable" ref="A1:Q151" headerRowCount="1">
  <x:tableColumns count="17">
    <x:tableColumn id="1" name="Rank"/>
    <x:tableColumn id="2" name="Strategy ID"/>
    <x:tableColumn id="3" name="Family"/>
    <x:tableColumn id="4" name="Weekly Score"/>
    <x:tableColumn id="5" name="SPY Score"/>
    <x:tableColumn id="6" name="Score Edge vs SPY"/>
    <x:tableColumn id="7" name="Weekly CAGR %"/>
    <x:tableColumn id="8" name="SPY CAGR %"/>
    <x:tableColumn id="9" name="Excess CAGR vs SPY %"/>
    <x:tableColumn id="10" name="Weekly DD %"/>
    <x:tableColumn id="11" name="SPY DD %"/>
    <x:tableColumn id="12" name="DD improvement vs SPY"/>
    <x:tableColumn id="13" name="Weekly Total Return %"/>
    <x:tableColumn id="14" name="SPY Total Return %"/>
    <x:tableColumn id="15" name="Weekly Trades"/>
    <x:tableColumn id="16" name="Start"/>
    <x:tableColumn id="17" name="End"/>
  </x:tableColumns>
  <x:tableStyleInfo name="TableStyleMedium2" showRowStripes="1"/>
</x:table>
</file>

<file path=xl/tables/table3.xml><?xml version="1.0" encoding="utf-8"?>
<x:table xmlns:x="http://schemas.openxmlformats.org/spreadsheetml/2006/main" id="3" name="TopOriginalSpyTable" displayName="TopOriginalSpyTable" ref="A1:Q151" headerRowCount="1">
  <x:tableColumns count="17">
    <x:tableColumn id="1" name="Rank"/>
    <x:tableColumn id="2" name="Strategy ID"/>
    <x:tableColumn id="3" name="Family"/>
    <x:tableColumn id="4" name="Original Score"/>
    <x:tableColumn id="5" name="SPY Score"/>
    <x:tableColumn id="6" name="Score Edge vs SPY"/>
    <x:tableColumn id="7" name="Original CAGR %"/>
    <x:tableColumn id="8" name="SPY CAGR %"/>
    <x:tableColumn id="9" name="Excess CAGR vs SPY %"/>
    <x:tableColumn id="10" name="Original DD %"/>
    <x:tableColumn id="11" name="SPY DD %"/>
    <x:tableColumn id="12" name="DD improvement vs SPY"/>
    <x:tableColumn id="13" name="Original Total Return %"/>
    <x:tableColumn id="14" name="SPY Total Return %"/>
    <x:tableColumn id="15" name="Original Trades"/>
    <x:tableColumn id="16" name="Start"/>
    <x:tableColumn id="17" name="End"/>
  </x:tableColumns>
  <x:tableStyleInfo name="TableStyleMedium2" showRowStripes="1"/>
</x:table>
</file>

<file path=xl/tables/table4.xml><?xml version="1.0" encoding="utf-8"?>
<x:table xmlns:x="http://schemas.openxmlformats.org/spreadsheetml/2006/main" id="4" name="FamilySpyTable" displayName="FamilySpyTable" ref="A1:N13" headerRowCount="1">
  <x:tableColumns count="14">
    <x:tableColumn id="1" name="Family"/>
    <x:tableColumn id="2" name="Count"/>
    <x:tableColumn id="3" name="Winner Weekly"/>
    <x:tableColumn id="4" name="Winner No weekly"/>
    <x:tableColumn id="5" name="Winner SPY"/>
    <x:tableColumn id="6" name="Weekly beats SPY score"/>
    <x:tableColumn id="7" name="No weekly beats SPY score"/>
    <x:tableColumn id="8" name="Avg Weekly Score Edge"/>
    <x:tableColumn id="9" name="Avg No weekly Score Edge"/>
    <x:tableColumn id="10" name="Avg Weekly Excess CAGR %"/>
    <x:tableColumn id="11" name="Avg No weekly Excess CAGR %"/>
    <x:tableColumn id="12" name="Avg Weekly Score"/>
    <x:tableColumn id="13" name="Avg Original Score"/>
    <x:tableColumn id="14" name="Avg SPY Score"/>
  </x:tableColumns>
  <x:tableStyleInfo name="TableStyleMedium2" showRowStripes="1"/>
</x:table>
</file>

<file path=xl/tables/table5.xml><?xml version="1.0" encoding="utf-8"?>
<x:table xmlns:x="http://schemas.openxmlformats.org/spreadsheetml/2006/main" id="5" name="BaseSpyTable" displayName="BaseSpyTable" ref="A1:AB1035" headerRowCount="1">
  <x:tableColumns count="28">
    <x:tableColumn id="1" name="Strategy ID"/>
    <x:tableColumn id="2" name="Family"/>
    <x:tableColumn id="3" name="Start"/>
    <x:tableColumn id="4" name="End"/>
    <x:tableColumn id="5" name="Original CAGR %"/>
    <x:tableColumn id="6" name="Original Max DD %"/>
    <x:tableColumn id="7" name="Original Total Return %"/>
    <x:tableColumn id="8" name="Original Score"/>
    <x:tableColumn id="9" name="Weekly CAGR %"/>
    <x:tableColumn id="10" name="Weekly Max DD %"/>
    <x:tableColumn id="11" name="Weekly Total Return %"/>
    <x:tableColumn id="12" name="Weekly Score"/>
    <x:tableColumn id="13" name="SPY CAGR %"/>
    <x:tableColumn id="14" name="SPY Max DD %"/>
    <x:tableColumn id="15" name="SPY Total Return %"/>
    <x:tableColumn id="16" name="SPY Score"/>
    <x:tableColumn id="17" name="Winner 3-way"/>
    <x:tableColumn id="18" name="Weekly Score Edge vs SPY"/>
    <x:tableColumn id="19" name="Original Score Edge vs SPY"/>
    <x:tableColumn id="20" name="Weekly Excess CAGR vs SPY %"/>
    <x:tableColumn id="21" name="Original Excess CAGR vs SPY %"/>
    <x:tableColumn id="22" name="Weekly CAGR+DD &gt; SPY"/>
    <x:tableColumn id="23" name="Original CAGR+DD &gt; SPY"/>
    <x:tableColumn id="24" name="Winner Weekly vs Original"/>
    <x:tableColumn id="25" name="Delta CAGR W-O %"/>
    <x:tableColumn id="26" name="Delta DD W-O %"/>
    <x:tableColumn id="27" name="Weekly Trades"/>
    <x:tableColumn id="28" name="Original Trad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6cfb15e57947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7ead3131145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f7b41282804d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879c78448e45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31d00d404b4b3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5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8" t="str">
        <x:v>Ranking Weekly / No Weekly / SPY</x:v>
      </x:c>
      <x:c r="B1" s="38"/>
      <x:c r="C1" s="38"/>
      <x:c r="D1" s="38"/>
      <x:c r="E1" s="38"/>
      <x:c r="F1" s="38"/>
      <x:c r="G1" s="4"/>
      <x:c r="H1" s="4"/>
    </x:row>
    <x:row r="3">
      <x:c r="A3" s="18" t="str">
        <x:v>Método</x:v>
      </x:c>
      <x:c r="B3" s="18" t="str">
        <x:v>Score = CAGR % / ABS(Max Drawdown %). Más alto = mejor retorno/riesgo.</x:v>
      </x:c>
      <x:c r="C3" s="18" t="str"/>
      <x:c r="D3" s="18" t="str"/>
    </x:row>
    <x:row r="4">
      <x:c r="A4" s="18" t="str">
        <x:v>Filtro</x:v>
      </x:c>
      <x:c r="B4" s="18" t="str">
        <x:v>Sólo comparable_metrics = TRUE + mismo start/end date entre original y weekly + score válido.</x:v>
      </x:c>
      <x:c r="C4" s="18" t="str"/>
      <x:c r="D4" s="18" t="str"/>
    </x:row>
    <x:row r="5">
      <x:c r="A5" t="str"/>
      <x:c r="B5" t="str"/>
      <x:c r="C5" t="str"/>
      <x:c r="D5" t="str"/>
    </x:row>
    <x:row r="6">
      <x:c r="A6" s="12" t="str">
        <x:v>Métrica</x:v>
      </x:c>
      <x:c r="B6" s="12" t="str">
        <x:v>Valor</x:v>
      </x:c>
      <x:c r="C6" s="12" t="str">
        <x:v>Lectura</x:v>
      </x:c>
      <x:c r="D6" s="12" t="str"/>
    </x:row>
    <x:row r="7">
      <x:c r="A7" s="19" t="str">
        <x:v>Estrategias rankeables</x:v>
      </x:c>
      <x:c r="B7" s="23" t="n">
        <x:v>1034</x:v>
      </x:c>
      <x:c r="C7" t="str">
        <x:v>Base justa para comparar Weekly / No weekly / SPY</x:v>
      </x:c>
      <x:c r="D7" t="str"/>
    </x:row>
    <x:row r="8">
      <x:c r="A8" s="19" t="str">
        <x:v>Weekly gana vs No weekly por score</x:v>
      </x:c>
      <x:c r="B8" s="23" t="n">
        <x:v>850</x:v>
      </x:c>
      <x:c r="C8" t="str">
        <x:v>Score Weekly &gt; Score Original</x:v>
      </x:c>
      <x:c r="D8" t="str"/>
    </x:row>
    <x:row r="9">
      <x:c r="A9" s="19" t="str">
        <x:v>No weekly gana vs Weekly por score</x:v>
      </x:c>
      <x:c r="B9" s="23" t="n">
        <x:v>184</x:v>
      </x:c>
      <x:c r="C9" t="str">
        <x:v>Score Original &gt; Score Weekly</x:v>
      </x:c>
      <x:c r="D9" t="str"/>
    </x:row>
    <x:row r="10">
      <x:c r="A10" s="19" t="str">
        <x:v>Weekly supera SPY por score</x:v>
      </x:c>
      <x:c r="B10" s="23" t="n">
        <x:v>1003</x:v>
      </x:c>
      <x:c r="C10" t="str">
        <x:v>Score Weekly &gt; Score SPY del mismo rango</x:v>
      </x:c>
      <x:c r="D10" t="str"/>
    </x:row>
    <x:row r="11">
      <x:c r="A11" s="19" t="str">
        <x:v>No weekly supera SPY por score</x:v>
      </x:c>
      <x:c r="B11" s="23" t="n">
        <x:v>1021</x:v>
      </x:c>
      <x:c r="C11" t="str">
        <x:v>Score Original &gt; Score SPY del mismo rango</x:v>
      </x:c>
      <x:c r="D11" t="str"/>
    </x:row>
    <x:row r="12">
      <x:c r="A12" s="19" t="str">
        <x:v>Weekly supera SPY en CAGR y DD</x:v>
      </x:c>
      <x:c r="B12" s="23" t="n">
        <x:v>994</x:v>
      </x:c>
      <x:c r="C12" t="str">
        <x:v>CAGR mayor y drawdown menor que SPY</x:v>
      </x:c>
      <x:c r="D12" t="str"/>
    </x:row>
    <x:row r="13">
      <x:c r="A13" s="19" t="str">
        <x:v>No weekly supera SPY en CAGR y DD</x:v>
      </x:c>
      <x:c r="B13" s="23" t="n">
        <x:v>986</x:v>
      </x:c>
      <x:c r="C13" t="str">
        <x:v>CAGR mayor y drawdown menor que SPY</x:v>
      </x:c>
      <x:c r="D13" t="str"/>
    </x:row>
    <x:row r="14">
      <x:c r="A14" s="19" t="str">
        <x:v>Ganador 3-way: Weekly</x:v>
      </x:c>
      <x:c r="B14" s="23" t="n">
        <x:v>844</x:v>
      </x:c>
      <x:c r="C14" t="str">
        <x:v>Weekly tiene el mejor score entre las 3 opciones</x:v>
      </x:c>
      <x:c r="D14" t="str"/>
    </x:row>
    <x:row r="15">
      <x:c r="A15" s="19" t="str">
        <x:v>Ganador 3-way: No weekly</x:v>
      </x:c>
      <x:c r="B15" s="23" t="n">
        <x:v>177</x:v>
      </x:c>
      <x:c r="C15" t="str">
        <x:v>Original tiene el mejor score entre las 3 opciones</x:v>
      </x:c>
      <x:c r="D15" t="str"/>
    </x:row>
    <x:row r="16">
      <x:c r="A16" s="19" t="str">
        <x:v>Ganador 3-way: SPY</x:v>
      </x:c>
      <x:c r="B16" s="23" t="n">
        <x:v>13</x:v>
      </x:c>
      <x:c r="C16" t="str">
        <x:v>SPY gana contra ambas variantes</x:v>
      </x:c>
      <x:c r="D16" t="str"/>
    </x:row>
    <x:row r="19">
      <x:c r="A19" s="29" t="str">
        <x:v>Bloque</x:v>
      </x:c>
      <x:c r="B19" s="29" t="str">
        <x:v>Ganador</x:v>
      </x:c>
      <x:c r="C19" s="29" t="str">
        <x:v>Strategy ID</x:v>
      </x:c>
      <x:c r="D19" s="29" t="str">
        <x:v>Score</x:v>
      </x:c>
      <x:c r="E19" s="29" t="str">
        <x:v>SPY Score</x:v>
      </x:c>
      <x:c r="F19" s="29" t="str">
        <x:v>Edge vs SPY</x:v>
      </x:c>
    </x:row>
    <x:row r="20">
      <x:c r="A20" s="34" t="str">
        <x:v>Mejor general</x:v>
      </x:c>
      <x:c r="B20" s="34" t="str">
        <x:v>No weekly</x:v>
      </x:c>
      <x:c r="C20" s="34" t="str">
        <x:v>HYP_QUALITY_MOMENTUM_CONCENTRATION_9_V1</x:v>
      </x:c>
      <x:c r="D20" s="36" t="n">
        <x:v>0.5523</x:v>
      </x:c>
      <x:c r="E20" s="36" t="n">
        <x:v>0.1205</x:v>
      </x:c>
      <x:c r="F20" s="36" t="n">
        <x:v>0.4318</x:v>
      </x:c>
    </x:row>
    <x:row r="21">
      <x:c r="A21" s="34" t="str">
        <x:v>Mejor weekly vs SPY</x:v>
      </x:c>
      <x:c r="B21" s="34" t="str">
        <x:v>Weekly</x:v>
      </x:c>
      <x:c r="C21" s="34" t="str">
        <x:v>HYP_REFINE_AUTO002_TOPN_6_V1_DDGRID_EXT_R12_C26_E75_CR50_REDD_RECOVERED_DD12_SL20</x:v>
      </x:c>
      <x:c r="D21" s="36" t="n">
        <x:v>0.5268</x:v>
      </x:c>
      <x:c r="E21" s="36" t="n">
        <x:v>0.1205</x:v>
      </x:c>
      <x:c r="F21" s="36" t="n">
        <x:v>0.4063</x:v>
      </x:c>
    </x:row>
    <x:row r="22">
      <x:c r="A22" s="34" t="str">
        <x:v>Mejor no-weekly vs SPY</x:v>
      </x:c>
      <x:c r="B22" s="34" t="str">
        <x:v>No weekly</x:v>
      </x:c>
      <x:c r="C22" s="34" t="str">
        <x:v>HYP_QUALITY_MOMENTUM_CONCENTRATION_9_V1</x:v>
      </x:c>
      <x:c r="D22" s="36" t="n">
        <x:v>0.5523</x:v>
      </x:c>
      <x:c r="E22" s="36" t="n">
        <x:v>0.1205</x:v>
      </x:c>
      <x:c r="F22" s="36" t="n">
        <x:v>0.4318</x:v>
      </x:c>
    </x:row>
    <x:row r="24">
      <x:c r="A24" s="19" t="str">
        <x:v>Fuente</x:v>
      </x:c>
      <x:c r="B24" s="34" t="str">
        <x:v>/mnt/data/weekly_entry_exit_comparison_1214_latest.xlsx</x:v>
      </x:c>
      <x:c r="C24" s="34" t="str"/>
      <x:c r="D24" s="34" t="str"/>
      <x:c r="E24" s="34" t="str"/>
      <x:c r="F24" s="34" t="str"/>
    </x:row>
    <x:row r="25">
      <x:c r="A25" s="19" t="str">
        <x:v>Nota</x:v>
      </x:c>
      <x:c r="B25" s="34" t="str">
        <x:v>SPY se compara usando el SPY del mismo rango de fechas de cada estrategia, tomado del archivo original.</x:v>
      </x:c>
      <x:c r="C25" s="34" t="str"/>
      <x:c r="D25" s="34" t="str"/>
      <x:c r="E25" s="34" t="str"/>
      <x:c r="F25" s="34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40" t="str">
        <x:v>Rank</x:v>
      </x:c>
      <x:c r="B1" s="40" t="str">
        <x:v>Ganador</x:v>
      </x:c>
      <x:c r="C1" s="40" t="str">
        <x:v>Strategy ID</x:v>
      </x:c>
      <x:c r="D1" s="40" t="str">
        <x:v>Family</x:v>
      </x:c>
      <x:c r="E1" s="40" t="str">
        <x:v>Best Score</x:v>
      </x:c>
      <x:c r="F1" s="40" t="str">
        <x:v>SPY Score</x:v>
      </x:c>
      <x:c r="G1" s="40" t="str">
        <x:v>Edge best vs SPY</x:v>
      </x:c>
      <x:c r="H1" s="40" t="str">
        <x:v>Weekly Score</x:v>
      </x:c>
      <x:c r="I1" s="40" t="str">
        <x:v>Original Score</x:v>
      </x:c>
      <x:c r="J1" s="40" t="str">
        <x:v>Weekly CAGR %</x:v>
      </x:c>
      <x:c r="K1" s="40" t="str">
        <x:v>Original CAGR %</x:v>
      </x:c>
      <x:c r="L1" s="40" t="str">
        <x:v>SPY CAGR %</x:v>
      </x:c>
      <x:c r="M1" s="40" t="str">
        <x:v>Weekly DD %</x:v>
      </x:c>
      <x:c r="N1" s="40" t="str">
        <x:v>Original DD %</x:v>
      </x:c>
      <x:c r="O1" s="40" t="str">
        <x:v>SPY DD %</x:v>
      </x:c>
      <x:c r="P1" s="40" t="str">
        <x:v>Start</x:v>
      </x:c>
      <x:c r="Q1" s="40" t="str">
        <x:v>End</x:v>
      </x:c>
    </x:row>
    <x:row r="2">
      <x:c r="A2" s="41" t="n">
        <x:v>1</x:v>
      </x:c>
      <x:c r="B2" s="41" t="str">
        <x:v>No weekly</x:v>
      </x:c>
      <x:c r="C2" s="41" t="str">
        <x:v>HYP_QUALITY_MOMENTUM_CONCENTRATION_9_V1</x:v>
      </x:c>
      <x:c r="D2" s="41" t="str">
        <x:v>cross_sectional_momentum</x:v>
      </x:c>
      <x:c r="E2" s="41" t="n">
        <x:v>0.552253</x:v>
      </x:c>
      <x:c r="F2" s="41" t="n">
        <x:v>0.120454</x:v>
      </x:c>
      <x:c r="G2" s="41" t="n">
        <x:v>0.431799</x:v>
      </x:c>
      <x:c r="H2" s="41" t="n">
        <x:v>0.330606</x:v>
      </x:c>
      <x:c r="I2" s="41" t="n">
        <x:v>0.552253</x:v>
      </x:c>
      <x:c r="J2" s="41" t="n">
        <x:v>13.7485</x:v>
      </x:c>
      <x:c r="K2" s="41" t="n">
        <x:v>32.2708</x:v>
      </x:c>
      <x:c r="L2" s="41" t="n">
        <x:v>6.8025</x:v>
      </x:c>
      <x:c r="M2" s="41" t="n">
        <x:v>-41.5856</x:v>
      </x:c>
      <x:c r="N2" s="41" t="n">
        <x:v>-58.4349</x:v>
      </x:c>
      <x:c r="O2" s="41" t="n">
        <x:v>-56.4737</x:v>
      </x:c>
      <x:c r="P2" s="41" t="str">
        <x:v>1999-01-04</x:v>
      </x:c>
      <x:c r="Q2" s="41" t="str">
        <x:v>2026-05-22</x:v>
      </x:c>
    </x:row>
    <x:row r="3">
      <x:c r="A3" s="41" t="n">
        <x:v>2</x:v>
      </x:c>
      <x:c r="B3" s="41" t="str">
        <x:v>No weekly</x:v>
      </x:c>
      <x:c r="C3" s="41" t="str">
        <x:v>HYP_DD_FIRST_AUTO002_TOPN_12_V1</x:v>
      </x:c>
      <x:c r="D3" s="41" t="str">
        <x:v>dd_first_drawdown_control</x:v>
      </x:c>
      <x:c r="E3" s="41" t="n">
        <x:v>0.550198</x:v>
      </x:c>
      <x:c r="F3" s="41" t="n">
        <x:v>0.120454</x:v>
      </x:c>
      <x:c r="G3" s="41" t="n">
        <x:v>0.429744</x:v>
      </x:c>
      <x:c r="H3" s="41" t="n">
        <x:v>0.343314</x:v>
      </x:c>
      <x:c r="I3" s="41" t="n">
        <x:v>0.550198</x:v>
      </x:c>
      <x:c r="J3" s="41" t="n">
        <x:v>12.8798</x:v>
      </x:c>
      <x:c r="K3" s="41" t="n">
        <x:v>29.7681</x:v>
      </x:c>
      <x:c r="L3" s="41" t="n">
        <x:v>6.8025</x:v>
      </x:c>
      <x:c r="M3" s="41" t="n">
        <x:v>-37.5162</x:v>
      </x:c>
      <x:c r="N3" s="41" t="n">
        <x:v>-54.1044</x:v>
      </x:c>
      <x:c r="O3" s="41" t="n">
        <x:v>-56.4737</x:v>
      </x:c>
      <x:c r="P3" s="41" t="str">
        <x:v>1999-01-04</x:v>
      </x:c>
      <x:c r="Q3" s="41" t="str">
        <x:v>2026-05-22</x:v>
      </x:c>
    </x:row>
    <x:row r="4">
      <x:c r="A4" s="41" t="n">
        <x:v>3</x:v>
      </x:c>
      <x:c r="B4" s="41" t="str">
        <x:v>No weekly</x:v>
      </x:c>
      <x:c r="C4" s="41" t="str">
        <x:v>HYP_DD20_CAGR_SL12_TOPN8_GUARD18_10_V1</x:v>
      </x:c>
      <x:c r="D4" s="41" t="str">
        <x:v>dd20_adaptive_research</x:v>
      </x:c>
      <x:c r="E4" s="41" t="n">
        <x:v>0.54913</x:v>
      </x:c>
      <x:c r="F4" s="41" t="n">
        <x:v>0.120454</x:v>
      </x:c>
      <x:c r="G4" s="41" t="n">
        <x:v>0.428677</x:v>
      </x:c>
      <x:c r="H4" s="41" t="n">
        <x:v>0.386622</x:v>
      </x:c>
      <x:c r="I4" s="41" t="n">
        <x:v>0.54913</x:v>
      </x:c>
      <x:c r="J4" s="41" t="n">
        <x:v>8.5944</x:v>
      </x:c>
      <x:c r="K4" s="41" t="n">
        <x:v>10.866</x:v>
      </x:c>
      <x:c r="L4" s="41" t="n">
        <x:v>6.8025</x:v>
      </x:c>
      <x:c r="M4" s="41" t="n">
        <x:v>-22.2296</x:v>
      </x:c>
      <x:c r="N4" s="41" t="n">
        <x:v>-19.7877</x:v>
      </x:c>
      <x:c r="O4" s="41" t="n">
        <x:v>-56.4737</x:v>
      </x:c>
      <x:c r="P4" s="41" t="str">
        <x:v>1999-01-04</x:v>
      </x:c>
      <x:c r="Q4" s="41" t="str">
        <x:v>2026-05-22</x:v>
      </x:c>
    </x:row>
    <x:row r="5">
      <x:c r="A5" s="41" t="n">
        <x:v>4</x:v>
      </x:c>
      <x:c r="B5" s="41" t="str">
        <x:v>No weekly</x:v>
      </x:c>
      <x:c r="C5" s="41" t="str">
        <x:v>HYP_DD20_CAGR_DYN8055200_SL11_TOPN8_V1</x:v>
      </x:c>
      <x:c r="D5" s="41" t="str">
        <x:v>dd20_adaptive_research</x:v>
      </x:c>
      <x:c r="E5" s="41" t="n">
        <x:v>0.546067</x:v>
      </x:c>
      <x:c r="F5" s="41" t="n">
        <x:v>0.120454</x:v>
      </x:c>
      <x:c r="G5" s="41" t="n">
        <x:v>0.425613</x:v>
      </x:c>
      <x:c r="H5" s="41" t="n">
        <x:v>0.421183</x:v>
      </x:c>
      <x:c r="I5" s="41" t="n">
        <x:v>0.546067</x:v>
      </x:c>
      <x:c r="J5" s="41" t="n">
        <x:v>8.727</x:v>
      </x:c>
      <x:c r="K5" s="41" t="n">
        <x:v>10.735</x:v>
      </x:c>
      <x:c r="L5" s="41" t="n">
        <x:v>6.8025</x:v>
      </x:c>
      <x:c r="M5" s="41" t="n">
        <x:v>-20.7201</x:v>
      </x:c>
      <x:c r="N5" s="41" t="n">
        <x:v>-19.6588</x:v>
      </x:c>
      <x:c r="O5" s="41" t="n">
        <x:v>-56.4737</x:v>
      </x:c>
      <x:c r="P5" s="41" t="str">
        <x:v>1999-01-04</x:v>
      </x:c>
      <x:c r="Q5" s="41" t="str">
        <x:v>2026-05-22</x:v>
      </x:c>
    </x:row>
    <x:row r="6">
      <x:c r="A6" s="41" t="n">
        <x:v>5</x:v>
      </x:c>
      <x:c r="B6" s="41" t="str">
        <x:v>No weekly</x:v>
      </x:c>
      <x:c r="C6" s="41" t="str">
        <x:v>HYP_DD20_EXP_SL9_TOPN5_WHEN_GUARD_V1</x:v>
      </x:c>
      <x:c r="D6" s="41" t="str">
        <x:v>dd20_adaptive_research</x:v>
      </x:c>
      <x:c r="E6" s="41" t="n">
        <x:v>0.545955</x:v>
      </x:c>
      <x:c r="F6" s="41" t="n">
        <x:v>0.120454</x:v>
      </x:c>
      <x:c r="G6" s="41" t="n">
        <x:v>0.425501</x:v>
      </x:c>
      <x:c r="H6" s="41" t="n">
        <x:v>0.381533</x:v>
      </x:c>
      <x:c r="I6" s="41" t="n">
        <x:v>0.545955</x:v>
      </x:c>
      <x:c r="J6" s="41" t="n">
        <x:v>8.4213</x:v>
      </x:c>
      <x:c r="K6" s="41" t="n">
        <x:v>10.1524</x:v>
      </x:c>
      <x:c r="L6" s="41" t="n">
        <x:v>6.8025</x:v>
      </x:c>
      <x:c r="M6" s="41" t="n">
        <x:v>-22.0722</x:v>
      </x:c>
      <x:c r="N6" s="41" t="n">
        <x:v>-18.5957</x:v>
      </x:c>
      <x:c r="O6" s="41" t="n">
        <x:v>-56.4737</x:v>
      </x:c>
      <x:c r="P6" s="41" t="str">
        <x:v>1999-01-04</x:v>
      </x:c>
      <x:c r="Q6" s="41" t="str">
        <x:v>2026-05-22</x:v>
      </x:c>
    </x:row>
    <x:row r="7">
      <x:c r="A7" s="41" t="n">
        <x:v>6</x:v>
      </x:c>
      <x:c r="B7" s="41" t="str">
        <x:v>No weekly</x:v>
      </x:c>
      <x:c r="C7" s="41" t="str">
        <x:v>HYP_DD20_EXP_SL8_TOPN5_WHEN_GUARD_V1</x:v>
      </x:c>
      <x:c r="D7" s="41" t="str">
        <x:v>dd20_adaptive_research</x:v>
      </x:c>
      <x:c r="E7" s="41" t="n">
        <x:v>0.545808</x:v>
      </x:c>
      <x:c r="F7" s="41" t="n">
        <x:v>0.120454</x:v>
      </x:c>
      <x:c r="G7" s="41" t="n">
        <x:v>0.425354</x:v>
      </x:c>
      <x:c r="H7" s="41" t="n">
        <x:v>-0.018434</x:v>
      </x:c>
      <x:c r="I7" s="41" t="n">
        <x:v>0.545808</x:v>
      </x:c>
      <x:c r="J7" s="41" t="n">
        <x:v>-0.4162</x:v>
      </x:c>
      <x:c r="K7" s="41" t="n">
        <x:v>10.0202</x:v>
      </x:c>
      <x:c r="L7" s="41" t="n">
        <x:v>6.8025</x:v>
      </x:c>
      <x:c r="M7" s="41" t="n">
        <x:v>-22.5771</x:v>
      </x:c>
      <x:c r="N7" s="41" t="n">
        <x:v>-18.3584</x:v>
      </x:c>
      <x:c r="O7" s="41" t="n">
        <x:v>-56.4737</x:v>
      </x:c>
      <x:c r="P7" s="41" t="str">
        <x:v>1999-01-04</x:v>
      </x:c>
      <x:c r="Q7" s="41" t="str">
        <x:v>2026-05-22</x:v>
      </x:c>
    </x:row>
    <x:row r="8">
      <x:c r="A8" s="41" t="n">
        <x:v>7</x:v>
      </x:c>
      <x:c r="B8" s="41" t="str">
        <x:v>No weekly</x:v>
      </x:c>
      <x:c r="C8" s="41" t="str">
        <x:v>HYP_DD20_CAGR_SL12_TOPN10_GUARD18_10_V1</x:v>
      </x:c>
      <x:c r="D8" s="41" t="str">
        <x:v>dd20_adaptive_research</x:v>
      </x:c>
      <x:c r="E8" s="41" t="n">
        <x:v>0.544555</x:v>
      </x:c>
      <x:c r="F8" s="41" t="n">
        <x:v>0.120454</x:v>
      </x:c>
      <x:c r="G8" s="41" t="n">
        <x:v>0.424101</x:v>
      </x:c>
      <x:c r="H8" s="41" t="n">
        <x:v>0.384937</x:v>
      </x:c>
      <x:c r="I8" s="41" t="n">
        <x:v>0.544555</x:v>
      </x:c>
      <x:c r="J8" s="41" t="n">
        <x:v>8.6704</x:v>
      </x:c>
      <x:c r="K8" s="41" t="n">
        <x:v>10.7755</x:v>
      </x:c>
      <x:c r="L8" s="41" t="n">
        <x:v>6.8025</x:v>
      </x:c>
      <x:c r="M8" s="41" t="n">
        <x:v>-22.5243</x:v>
      </x:c>
      <x:c r="N8" s="41" t="n">
        <x:v>-19.7877</x:v>
      </x:c>
      <x:c r="O8" s="41" t="n">
        <x:v>-56.4737</x:v>
      </x:c>
      <x:c r="P8" s="41" t="str">
        <x:v>1999-01-04</x:v>
      </x:c>
      <x:c r="Q8" s="41" t="str">
        <x:v>2026-05-22</x:v>
      </x:c>
    </x:row>
    <x:row r="9">
      <x:c r="A9" s="41" t="n">
        <x:v>8</x:v>
      </x:c>
      <x:c r="B9" s="41" t="str">
        <x:v>No weekly</x:v>
      </x:c>
      <x:c r="C9" s="41" t="str">
        <x:v>HYP_DD20_CAGR_SL12_TOPN12_GUARD18_12_V1</x:v>
      </x:c>
      <x:c r="D9" s="41" t="str">
        <x:v>dd20_adaptive_research</x:v>
      </x:c>
      <x:c r="E9" s="41" t="n">
        <x:v>0.540306</x:v>
      </x:c>
      <x:c r="F9" s="41" t="n">
        <x:v>0.120454</x:v>
      </x:c>
      <x:c r="G9" s="41" t="n">
        <x:v>0.419852</x:v>
      </x:c>
      <x:c r="H9" s="41" t="n">
        <x:v>0.385472</x:v>
      </x:c>
      <x:c r="I9" s="41" t="n">
        <x:v>0.540306</x:v>
      </x:c>
      <x:c r="J9" s="41" t="n">
        <x:v>8.6598</x:v>
      </x:c>
      <x:c r="K9" s="41" t="n">
        <x:v>10.8354</x:v>
      </x:c>
      <x:c r="L9" s="41" t="n">
        <x:v>6.8025</x:v>
      </x:c>
      <x:c r="M9" s="41" t="n">
        <x:v>-22.4656</x:v>
      </x:c>
      <x:c r="N9" s="41" t="n">
        <x:v>-20.0542</x:v>
      </x:c>
      <x:c r="O9" s="41" t="n">
        <x:v>-56.4737</x:v>
      </x:c>
      <x:c r="P9" s="41" t="str">
        <x:v>1999-01-04</x:v>
      </x:c>
      <x:c r="Q9" s="41" t="str">
        <x:v>2026-05-22</x:v>
      </x:c>
    </x:row>
    <x:row r="10">
      <x:c r="A10" s="41" t="n">
        <x:v>9</x:v>
      </x:c>
      <x:c r="B10" s="41" t="str">
        <x:v>No weekly</x:v>
      </x:c>
      <x:c r="C10" s="41" t="str">
        <x:v>HYP_DD20_CAGR_DYN8055250_SL10_TOPN8_V1</x:v>
      </x:c>
      <x:c r="D10" s="41" t="str">
        <x:v>dd20_adaptive_research</x:v>
      </x:c>
      <x:c r="E10" s="41" t="n">
        <x:v>0.539592</x:v>
      </x:c>
      <x:c r="F10" s="41" t="n">
        <x:v>0.120454</x:v>
      </x:c>
      <x:c r="G10" s="41" t="n">
        <x:v>0.419139</x:v>
      </x:c>
      <x:c r="H10" s="41" t="n">
        <x:v>0.387738</x:v>
      </x:c>
      <x:c r="I10" s="41" t="n">
        <x:v>0.539592</x:v>
      </x:c>
      <x:c r="J10" s="41" t="n">
        <x:v>8.4716</x:v>
      </x:c>
      <x:c r="K10" s="41" t="n">
        <x:v>10.4277</x:v>
      </x:c>
      <x:c r="L10" s="41" t="n">
        <x:v>6.8025</x:v>
      </x:c>
      <x:c r="M10" s="41" t="n">
        <x:v>-21.8488</x:v>
      </x:c>
      <x:c r="N10" s="41" t="n">
        <x:v>-19.3252</x:v>
      </x:c>
      <x:c r="O10" s="41" t="n">
        <x:v>-56.4737</x:v>
      </x:c>
      <x:c r="P10" s="41" t="str">
        <x:v>1999-01-04</x:v>
      </x:c>
      <x:c r="Q10" s="41" t="str">
        <x:v>2026-05-22</x:v>
      </x:c>
    </x:row>
    <x:row r="11">
      <x:c r="A11" s="41" t="n">
        <x:v>10</x:v>
      </x:c>
      <x:c r="B11" s="41" t="str">
        <x:v>No weekly</x:v>
      </x:c>
      <x:c r="C11" s="41" t="str">
        <x:v>HYP_DD20_EXP_SL11_TOPN8_WHEN_GUARD_V1</x:v>
      </x:c>
      <x:c r="D11" s="41" t="str">
        <x:v>dd20_adaptive_research</x:v>
      </x:c>
      <x:c r="E11" s="41" t="n">
        <x:v>0.536206</x:v>
      </x:c>
      <x:c r="F11" s="41" t="n">
        <x:v>0.120454</x:v>
      </x:c>
      <x:c r="G11" s="41" t="n">
        <x:v>0.415752</x:v>
      </x:c>
      <x:c r="H11" s="41" t="n">
        <x:v>0.417582</x:v>
      </x:c>
      <x:c r="I11" s="41" t="n">
        <x:v>0.536206</x:v>
      </x:c>
      <x:c r="J11" s="41" t="n">
        <x:v>8.7308</x:v>
      </x:c>
      <x:c r="K11" s="41" t="n">
        <x:v>10.5412</x:v>
      </x:c>
      <x:c r="L11" s="41" t="n">
        <x:v>6.8025</x:v>
      </x:c>
      <x:c r="M11" s="41" t="n">
        <x:v>-20.9081</x:v>
      </x:c>
      <x:c r="N11" s="41" t="n">
        <x:v>-19.6588</x:v>
      </x:c>
      <x:c r="O11" s="41" t="n">
        <x:v>-56.4737</x:v>
      </x:c>
      <x:c r="P11" s="41" t="str">
        <x:v>1999-01-04</x:v>
      </x:c>
      <x:c r="Q11" s="41" t="str">
        <x:v>2026-05-22</x:v>
      </x:c>
    </x:row>
    <x:row r="12">
      <x:c r="A12" s="41" t="n">
        <x:v>11</x:v>
      </x:c>
      <x:c r="B12" s="41" t="str">
        <x:v>No weekly</x:v>
      </x:c>
      <x:c r="C12" s="41" t="str">
        <x:v>HYP_DD20_RESCUE_DYN8050200_NO_NEW_CRISIS_SL11_TOPN8_V1</x:v>
      </x:c>
      <x:c r="D12" s="41" t="str">
        <x:v>dd20_adaptive_research</x:v>
      </x:c>
      <x:c r="E12" s="41" t="n">
        <x:v>0.536206</x:v>
      </x:c>
      <x:c r="F12" s="41" t="n">
        <x:v>0.120454</x:v>
      </x:c>
      <x:c r="G12" s="41" t="n">
        <x:v>0.415752</x:v>
      </x:c>
      <x:c r="H12" s="41" t="n">
        <x:v>0.417582</x:v>
      </x:c>
      <x:c r="I12" s="41" t="n">
        <x:v>0.536206</x:v>
      </x:c>
      <x:c r="J12" s="41" t="n">
        <x:v>8.7308</x:v>
      </x:c>
      <x:c r="K12" s="41" t="n">
        <x:v>10.5412</x:v>
      </x:c>
      <x:c r="L12" s="41" t="n">
        <x:v>6.8025</x:v>
      </x:c>
      <x:c r="M12" s="41" t="n">
        <x:v>-20.9081</x:v>
      </x:c>
      <x:c r="N12" s="41" t="n">
        <x:v>-19.6588</x:v>
      </x:c>
      <x:c r="O12" s="41" t="n">
        <x:v>-56.4737</x:v>
      </x:c>
      <x:c r="P12" s="41" t="str">
        <x:v>1999-01-04</x:v>
      </x:c>
      <x:c r="Q12" s="41" t="str">
        <x:v>2026-05-22</x:v>
      </x:c>
    </x:row>
    <x:row r="13">
      <x:c r="A13" s="41" t="n">
        <x:v>12</x:v>
      </x:c>
      <x:c r="B13" s="41" t="str">
        <x:v>No weekly</x:v>
      </x:c>
      <x:c r="C13" s="41" t="str">
        <x:v>HYP_DD20_CAGR_DYN8555200_SL11_TOPN10_V1</x:v>
      </x:c>
      <x:c r="D13" s="41" t="str">
        <x:v>dd20_adaptive_research</x:v>
      </x:c>
      <x:c r="E13" s="41" t="n">
        <x:v>0.535895</x:v>
      </x:c>
      <x:c r="F13" s="41" t="n">
        <x:v>0.120454</x:v>
      </x:c>
      <x:c r="G13" s="41" t="n">
        <x:v>0.415441</x:v>
      </x:c>
      <x:c r="H13" s="41" t="n">
        <x:v>0.39516</x:v>
      </x:c>
      <x:c r="I13" s="41" t="n">
        <x:v>0.535895</x:v>
      </x:c>
      <x:c r="J13" s="41" t="n">
        <x:v>9.1444</x:v>
      </x:c>
      <x:c r="K13" s="41" t="n">
        <x:v>11.1338</x:v>
      </x:c>
      <x:c r="L13" s="41" t="n">
        <x:v>6.8025</x:v>
      </x:c>
      <x:c r="M13" s="41" t="n">
        <x:v>-23.141</x:v>
      </x:c>
      <x:c r="N13" s="41" t="n">
        <x:v>-20.7762</x:v>
      </x:c>
      <x:c r="O13" s="41" t="n">
        <x:v>-56.4737</x:v>
      </x:c>
      <x:c r="P13" s="41" t="str">
        <x:v>1999-01-04</x:v>
      </x:c>
      <x:c r="Q13" s="41" t="str">
        <x:v>2026-05-22</x:v>
      </x:c>
    </x:row>
    <x:row r="14">
      <x:c r="A14" s="41" t="n">
        <x:v>13</x:v>
      </x:c>
      <x:c r="B14" s="41" t="str">
        <x:v>No weekly</x:v>
      </x:c>
      <x:c r="C14" s="41" t="str">
        <x:v>HYP_DD20_CAGR_DYN8050250_SL11_TOPN8_V1</x:v>
      </x:c>
      <x:c r="D14" s="41" t="str">
        <x:v>dd20_adaptive_research</x:v>
      </x:c>
      <x:c r="E14" s="41" t="n">
        <x:v>0.535885</x:v>
      </x:c>
      <x:c r="F14" s="41" t="n">
        <x:v>0.120454</x:v>
      </x:c>
      <x:c r="G14" s="41" t="n">
        <x:v>0.415431</x:v>
      </x:c>
      <x:c r="H14" s="41" t="n">
        <x:v>0.088896</x:v>
      </x:c>
      <x:c r="I14" s="41" t="n">
        <x:v>0.535885</x:v>
      </x:c>
      <x:c r="J14" s="41" t="n">
        <x:v>1.9438</x:v>
      </x:c>
      <x:c r="K14" s="41" t="n">
        <x:v>10.5348</x:v>
      </x:c>
      <x:c r="L14" s="41" t="n">
        <x:v>6.8025</x:v>
      </x:c>
      <x:c r="M14" s="41" t="n">
        <x:v>-21.8666</x:v>
      </x:c>
      <x:c r="N14" s="41" t="n">
        <x:v>-19.6588</x:v>
      </x:c>
      <x:c r="O14" s="41" t="n">
        <x:v>-56.4737</x:v>
      </x:c>
      <x:c r="P14" s="41" t="str">
        <x:v>1999-01-04</x:v>
      </x:c>
      <x:c r="Q14" s="41" t="str">
        <x:v>2026-05-22</x:v>
      </x:c>
    </x:row>
    <x:row r="15">
      <x:c r="A15" s="41" t="n">
        <x:v>14</x:v>
      </x:c>
      <x:c r="B15" s="41" t="str">
        <x:v>No weekly</x:v>
      </x:c>
      <x:c r="C15" s="41" t="str">
        <x:v>HYP_DD20_CAGR_DYN8550200_SL11_TOPN8_V1</x:v>
      </x:c>
      <x:c r="D15" s="41" t="str">
        <x:v>dd20_adaptive_research</x:v>
      </x:c>
      <x:c r="E15" s="41" t="n">
        <x:v>0.534561</x:v>
      </x:c>
      <x:c r="F15" s="41" t="n">
        <x:v>0.120454</x:v>
      </x:c>
      <x:c r="G15" s="41" t="n">
        <x:v>0.414107</x:v>
      </x:c>
      <x:c r="H15" s="41" t="n">
        <x:v>0.082452</x:v>
      </x:c>
      <x:c r="I15" s="41" t="n">
        <x:v>0.534561</x:v>
      </x:c>
      <x:c r="J15" s="41" t="n">
        <x:v>1.8469</x:v>
      </x:c>
      <x:c r="K15" s="41" t="n">
        <x:v>11.1061</x:v>
      </x:c>
      <x:c r="L15" s="41" t="n">
        <x:v>6.8025</x:v>
      </x:c>
      <x:c r="M15" s="41" t="n">
        <x:v>-22.4003</x:v>
      </x:c>
      <x:c r="N15" s="41" t="n">
        <x:v>-20.7762</x:v>
      </x:c>
      <x:c r="O15" s="41" t="n">
        <x:v>-56.4737</x:v>
      </x:c>
      <x:c r="P15" s="41" t="str">
        <x:v>1999-01-04</x:v>
      </x:c>
      <x:c r="Q15" s="41" t="str">
        <x:v>2026-05-22</x:v>
      </x:c>
    </x:row>
    <x:row r="16">
      <x:c r="A16" s="41" t="n">
        <x:v>15</x:v>
      </x:c>
      <x:c r="B16" s="41" t="str">
        <x:v>No weekly</x:v>
      </x:c>
      <x:c r="C16" s="41" t="str">
        <x:v>HYP_DD20_CAGR_SL10P5_TOPN8_GUARD18_10_V1</x:v>
      </x:c>
      <x:c r="D16" s="41" t="str">
        <x:v>dd20_adaptive_research</x:v>
      </x:c>
      <x:c r="E16" s="41" t="n">
        <x:v>0.534533</x:v>
      </x:c>
      <x:c r="F16" s="41" t="n">
        <x:v>0.120454</x:v>
      </x:c>
      <x:c r="G16" s="41" t="n">
        <x:v>0.414079</x:v>
      </x:c>
      <x:c r="H16" s="41" t="n">
        <x:v>0.386655</x:v>
      </x:c>
      <x:c r="I16" s="41" t="n">
        <x:v>0.534533</x:v>
      </x:c>
      <x:c r="J16" s="41" t="n">
        <x:v>8.3936</x:v>
      </x:c>
      <x:c r="K16" s="41" t="n">
        <x:v>10.2593</x:v>
      </x:c>
      <x:c r="L16" s="41" t="n">
        <x:v>6.8025</x:v>
      </x:c>
      <x:c r="M16" s="41" t="n">
        <x:v>-21.7083</x:v>
      </x:c>
      <x:c r="N16" s="41" t="n">
        <x:v>-19.1929</x:v>
      </x:c>
      <x:c r="O16" s="41" t="n">
        <x:v>-56.4737</x:v>
      </x:c>
      <x:c r="P16" s="41" t="str">
        <x:v>1999-01-04</x:v>
      </x:c>
      <x:c r="Q16" s="41" t="str">
        <x:v>2026-05-22</x:v>
      </x:c>
    </x:row>
    <x:row r="17">
      <x:c r="A17" s="41" t="n">
        <x:v>16</x:v>
      </x:c>
      <x:c r="B17" s="41" t="str">
        <x:v>No weekly</x:v>
      </x:c>
      <x:c r="C17" s="41" t="str">
        <x:v>HYP_DD20_EXP_SL10_TOPN3_WHEN_GUARD_V1</x:v>
      </x:c>
      <x:c r="D17" s="41" t="str">
        <x:v>dd20_adaptive_research</x:v>
      </x:c>
      <x:c r="E17" s="41" t="n">
        <x:v>0.534387</x:v>
      </x:c>
      <x:c r="F17" s="41" t="n">
        <x:v>0.120454</x:v>
      </x:c>
      <x:c r="G17" s="41" t="n">
        <x:v>0.413933</x:v>
      </x:c>
      <x:c r="H17" s="41" t="n">
        <x:v>0.376863</x:v>
      </x:c>
      <x:c r="I17" s="41" t="n">
        <x:v>0.534387</x:v>
      </x:c>
      <x:c r="J17" s="41" t="n">
        <x:v>8.5172</x:v>
      </x:c>
      <x:c r="K17" s="41" t="n">
        <x:v>10.3271</x:v>
      </x:c>
      <x:c r="L17" s="41" t="n">
        <x:v>6.8025</x:v>
      </x:c>
      <x:c r="M17" s="41" t="n">
        <x:v>-22.6004</x:v>
      </x:c>
      <x:c r="N17" s="41" t="n">
        <x:v>-19.3252</x:v>
      </x:c>
      <x:c r="O17" s="41" t="n">
        <x:v>-56.4737</x:v>
      </x:c>
      <x:c r="P17" s="41" t="str">
        <x:v>1999-01-04</x:v>
      </x:c>
      <x:c r="Q17" s="41" t="str">
        <x:v>2026-05-22</x:v>
      </x:c>
    </x:row>
    <x:row r="18">
      <x:c r="A18" s="41" t="n">
        <x:v>17</x:v>
      </x:c>
      <x:c r="B18" s="41" t="str">
        <x:v>No weekly</x:v>
      </x:c>
      <x:c r="C18" s="41" t="str">
        <x:v>HYP_DD20_EXP_DYN8055200_SL10_TOPN5_V1</x:v>
      </x:c>
      <x:c r="D18" s="41" t="str">
        <x:v>dd20_adaptive_research</x:v>
      </x:c>
      <x:c r="E18" s="41" t="n">
        <x:v>0.533659</x:v>
      </x:c>
      <x:c r="F18" s="41" t="n">
        <x:v>0.120454</x:v>
      </x:c>
      <x:c r="G18" s="41" t="n">
        <x:v>0.413205</x:v>
      </x:c>
      <x:c r="H18" s="41" t="n">
        <x:v>-0.017507</x:v>
      </x:c>
      <x:c r="I18" s="41" t="n">
        <x:v>0.533659</x:v>
      </x:c>
      <x:c r="J18" s="41" t="n">
        <x:v>-0.3864</x:v>
      </x:c>
      <x:c r="K18" s="41" t="n">
        <x:v>10.3131</x:v>
      </x:c>
      <x:c r="L18" s="41" t="n">
        <x:v>6.8025</x:v>
      </x:c>
      <x:c r="M18" s="41" t="n">
        <x:v>-22.0712</x:v>
      </x:c>
      <x:c r="N18" s="41" t="n">
        <x:v>-19.3252</x:v>
      </x:c>
      <x:c r="O18" s="41" t="n">
        <x:v>-56.4737</x:v>
      </x:c>
      <x:c r="P18" s="41" t="str">
        <x:v>1999-01-04</x:v>
      </x:c>
      <x:c r="Q18" s="41" t="str">
        <x:v>2026-05-22</x:v>
      </x:c>
    </x:row>
    <x:row r="19">
      <x:c r="A19" s="41" t="n">
        <x:v>18</x:v>
      </x:c>
      <x:c r="B19" s="41" t="str">
        <x:v>No weekly</x:v>
      </x:c>
      <x:c r="C19" s="41" t="str">
        <x:v>HYP_DD20_CAGR_SL11_TOPN8_GUARD18_12_V1</x:v>
      </x:c>
      <x:c r="D19" s="41" t="str">
        <x:v>dd20_adaptive_research</x:v>
      </x:c>
      <x:c r="E19" s="41" t="n">
        <x:v>0.53107</x:v>
      </x:c>
      <x:c r="F19" s="41" t="n">
        <x:v>0.120454</x:v>
      </x:c>
      <x:c r="G19" s="41" t="n">
        <x:v>0.410616</x:v>
      </x:c>
      <x:c r="H19" s="41" t="n">
        <x:v>0.409008</x:v>
      </x:c>
      <x:c r="I19" s="41" t="n">
        <x:v>0.53107</x:v>
      </x:c>
      <x:c r="J19" s="41" t="n">
        <x:v>8.5516</x:v>
      </x:c>
      <x:c r="K19" s="41" t="n">
        <x:v>10.4402</x:v>
      </x:c>
      <x:c r="L19" s="41" t="n">
        <x:v>6.8025</x:v>
      </x:c>
      <x:c r="M19" s="41" t="n">
        <x:v>-20.9081</x:v>
      </x:c>
      <x:c r="N19" s="41" t="n">
        <x:v>-19.6588</x:v>
      </x:c>
      <x:c r="O19" s="41" t="n">
        <x:v>-56.4737</x:v>
      </x:c>
      <x:c r="P19" s="41" t="str">
        <x:v>1999-01-04</x:v>
      </x:c>
      <x:c r="Q19" s="41" t="str">
        <x:v>2026-05-22</x:v>
      </x:c>
    </x:row>
    <x:row r="20">
      <x:c r="A20" s="41" t="n">
        <x:v>19</x:v>
      </x:c>
      <x:c r="B20" s="41" t="str">
        <x:v>No weekly</x:v>
      </x:c>
      <x:c r="C20" s="41" t="str">
        <x:v>HYP_DD20_CTRL_DD_COMPRESS_15_35_V1</x:v>
      </x:c>
      <x:c r="D20" s="41" t="str">
        <x:v>dd20_adaptive_research</x:v>
      </x:c>
      <x:c r="E20" s="41" t="n">
        <x:v>0.530663</x:v>
      </x:c>
      <x:c r="F20" s="41" t="n">
        <x:v>0.120454</x:v>
      </x:c>
      <x:c r="G20" s="41" t="n">
        <x:v>0.410209</x:v>
      </x:c>
      <x:c r="H20" s="41" t="n">
        <x:v>0.388038</x:v>
      </x:c>
      <x:c r="I20" s="41" t="n">
        <x:v>0.530663</x:v>
      </x:c>
      <x:c r="J20" s="41" t="n">
        <x:v>8.4236</x:v>
      </x:c>
      <x:c r="K20" s="41" t="n">
        <x:v>10.185</x:v>
      </x:c>
      <x:c r="L20" s="41" t="n">
        <x:v>6.8025</x:v>
      </x:c>
      <x:c r="M20" s="41" t="n">
        <x:v>-21.7083</x:v>
      </x:c>
      <x:c r="N20" s="41" t="n">
        <x:v>-19.1929</x:v>
      </x:c>
      <x:c r="O20" s="41" t="n">
        <x:v>-56.4737</x:v>
      </x:c>
      <x:c r="P20" s="41" t="str">
        <x:v>1999-01-04</x:v>
      </x:c>
      <x:c r="Q20" s="41" t="str">
        <x:v>2026-05-22</x:v>
      </x:c>
    </x:row>
    <x:row r="21">
      <x:c r="A21" s="41" t="n">
        <x:v>20</x:v>
      </x:c>
      <x:c r="B21" s="41" t="str">
        <x:v>No weekly</x:v>
      </x:c>
      <x:c r="C21" s="41" t="str">
        <x:v>HYP_DD20_CTRL_DD_COMPRESS_16_40_V1</x:v>
      </x:c>
      <x:c r="D21" s="41" t="str">
        <x:v>dd20_adaptive_research</x:v>
      </x:c>
      <x:c r="E21" s="41" t="n">
        <x:v>0.530663</x:v>
      </x:c>
      <x:c r="F21" s="41" t="n">
        <x:v>0.120454</x:v>
      </x:c>
      <x:c r="G21" s="41" t="n">
        <x:v>0.410209</x:v>
      </x:c>
      <x:c r="H21" s="41" t="n">
        <x:v>0.388038</x:v>
      </x:c>
      <x:c r="I21" s="41" t="n">
        <x:v>0.530663</x:v>
      </x:c>
      <x:c r="J21" s="41" t="n">
        <x:v>8.4236</x:v>
      </x:c>
      <x:c r="K21" s="41" t="n">
        <x:v>10.185</x:v>
      </x:c>
      <x:c r="L21" s="41" t="n">
        <x:v>6.8025</x:v>
      </x:c>
      <x:c r="M21" s="41" t="n">
        <x:v>-21.7083</x:v>
      </x:c>
      <x:c r="N21" s="41" t="n">
        <x:v>-19.1929</x:v>
      </x:c>
      <x:c r="O21" s="41" t="n">
        <x:v>-56.4737</x:v>
      </x:c>
      <x:c r="P21" s="41" t="str">
        <x:v>1999-01-04</x:v>
      </x:c>
      <x:c r="Q21" s="41" t="str">
        <x:v>2026-05-22</x:v>
      </x:c>
    </x:row>
    <x:row r="22">
      <x:c r="A22" s="41" t="n">
        <x:v>21</x:v>
      </x:c>
      <x:c r="B22" s="41" t="str">
        <x:v>No weekly</x:v>
      </x:c>
      <x:c r="C22" s="41" t="str">
        <x:v>HYP_DD20_CTRL_DD_COMPRESS_17_45_V1</x:v>
      </x:c>
      <x:c r="D22" s="41" t="str">
        <x:v>dd20_adaptive_research</x:v>
      </x:c>
      <x:c r="E22" s="41" t="n">
        <x:v>0.530663</x:v>
      </x:c>
      <x:c r="F22" s="41" t="n">
        <x:v>0.120454</x:v>
      </x:c>
      <x:c r="G22" s="41" t="n">
        <x:v>0.410209</x:v>
      </x:c>
      <x:c r="H22" s="41" t="n">
        <x:v>0.388038</x:v>
      </x:c>
      <x:c r="I22" s="41" t="n">
        <x:v>0.530663</x:v>
      </x:c>
      <x:c r="J22" s="41" t="n">
        <x:v>8.4236</x:v>
      </x:c>
      <x:c r="K22" s="41" t="n">
        <x:v>10.185</x:v>
      </x:c>
      <x:c r="L22" s="41" t="n">
        <x:v>6.8025</x:v>
      </x:c>
      <x:c r="M22" s="41" t="n">
        <x:v>-21.7083</x:v>
      </x:c>
      <x:c r="N22" s="41" t="n">
        <x:v>-19.1929</x:v>
      </x:c>
      <x:c r="O22" s="41" t="n">
        <x:v>-56.4737</x:v>
      </x:c>
      <x:c r="P22" s="41" t="str">
        <x:v>1999-01-04</x:v>
      </x:c>
      <x:c r="Q22" s="41" t="str">
        <x:v>2026-05-22</x:v>
      </x:c>
    </x:row>
    <x:row r="23">
      <x:c r="A23" s="41" t="n">
        <x:v>22</x:v>
      </x:c>
      <x:c r="B23" s="41" t="str">
        <x:v>No weekly</x:v>
      </x:c>
      <x:c r="C23" s="41" t="str">
        <x:v>HYP_DD20_EXP_SL10_TOPN10_WHEN_GUARD_V1</x:v>
      </x:c>
      <x:c r="D23" s="41" t="str">
        <x:v>dd20_adaptive_research</x:v>
      </x:c>
      <x:c r="E23" s="41" t="n">
        <x:v>0.529927</x:v>
      </x:c>
      <x:c r="F23" s="41" t="n">
        <x:v>0.120454</x:v>
      </x:c>
      <x:c r="G23" s="41" t="n">
        <x:v>0.409473</x:v>
      </x:c>
      <x:c r="H23" s="41" t="n">
        <x:v>0.37086</x:v>
      </x:c>
      <x:c r="I23" s="41" t="n">
        <x:v>0.529927</x:v>
      </x:c>
      <x:c r="J23" s="41" t="n">
        <x:v>8.4602</x:v>
      </x:c>
      <x:c r="K23" s="41" t="n">
        <x:v>10.2409</x:v>
      </x:c>
      <x:c r="L23" s="41" t="n">
        <x:v>6.8025</x:v>
      </x:c>
      <x:c r="M23" s="41" t="n">
        <x:v>-22.8125</x:v>
      </x:c>
      <x:c r="N23" s="41" t="n">
        <x:v>-19.3252</x:v>
      </x:c>
      <x:c r="O23" s="41" t="n">
        <x:v>-56.4737</x:v>
      </x:c>
      <x:c r="P23" s="41" t="str">
        <x:v>1999-01-04</x:v>
      </x:c>
      <x:c r="Q23" s="41" t="str">
        <x:v>2026-05-22</x:v>
      </x:c>
    </x:row>
    <x:row r="24">
      <x:c r="A24" s="41" t="n">
        <x:v>23</x:v>
      </x:c>
      <x:c r="B24" s="41" t="str">
        <x:v>No weekly</x:v>
      </x:c>
      <x:c r="C24" s="41" t="str">
        <x:v>HYP_DD20_EXP_SL10_TOPN8_WHEN_GUARD_V1</x:v>
      </x:c>
      <x:c r="D24" s="41" t="str">
        <x:v>dd20_adaptive_research</x:v>
      </x:c>
      <x:c r="E24" s="41" t="n">
        <x:v>0.529927</x:v>
      </x:c>
      <x:c r="F24" s="41" t="n">
        <x:v>0.120454</x:v>
      </x:c>
      <x:c r="G24" s="41" t="n">
        <x:v>0.409473</x:v>
      </x:c>
      <x:c r="H24" s="41" t="n">
        <x:v>0.384083</x:v>
      </x:c>
      <x:c r="I24" s="41" t="n">
        <x:v>0.529927</x:v>
      </x:c>
      <x:c r="J24" s="41" t="n">
        <x:v>8.38</x:v>
      </x:c>
      <x:c r="K24" s="41" t="n">
        <x:v>10.2409</x:v>
      </x:c>
      <x:c r="L24" s="41" t="n">
        <x:v>6.8025</x:v>
      </x:c>
      <x:c r="M24" s="41" t="n">
        <x:v>-21.8182</x:v>
      </x:c>
      <x:c r="N24" s="41" t="n">
        <x:v>-19.3252</x:v>
      </x:c>
      <x:c r="O24" s="41" t="n">
        <x:v>-56.4737</x:v>
      </x:c>
      <x:c r="P24" s="41" t="str">
        <x:v>1999-01-04</x:v>
      </x:c>
      <x:c r="Q24" s="41" t="str">
        <x:v>2026-05-22</x:v>
      </x:c>
    </x:row>
    <x:row r="25">
      <x:c r="A25" s="41" t="n">
        <x:v>24</x:v>
      </x:c>
      <x:c r="B25" s="41" t="str">
        <x:v>No weekly</x:v>
      </x:c>
      <x:c r="C25" s="41" t="str">
        <x:v>HYP_DD20_ADAPT_SL10_TOPN5_WHEN_GUARD_V1</x:v>
      </x:c>
      <x:c r="D25" s="41" t="str">
        <x:v>dd20_adaptive_research</x:v>
      </x:c>
      <x:c r="E25" s="41" t="n">
        <x:v>0.529906</x:v>
      </x:c>
      <x:c r="F25" s="41" t="n">
        <x:v>0.120454</x:v>
      </x:c>
      <x:c r="G25" s="41" t="n">
        <x:v>0.409452</x:v>
      </x:c>
      <x:c r="H25" s="41" t="n">
        <x:v>0.372841</x:v>
      </x:c>
      <x:c r="I25" s="41" t="n">
        <x:v>0.529906</x:v>
      </x:c>
      <x:c r="J25" s="41" t="n">
        <x:v>8.4855</x:v>
      </x:c>
      <x:c r="K25" s="41" t="n">
        <x:v>10.2405</x:v>
      </x:c>
      <x:c r="L25" s="41" t="n">
        <x:v>6.8025</x:v>
      </x:c>
      <x:c r="M25" s="41" t="n">
        <x:v>-22.7592</x:v>
      </x:c>
      <x:c r="N25" s="41" t="n">
        <x:v>-19.3252</x:v>
      </x:c>
      <x:c r="O25" s="41" t="n">
        <x:v>-56.4737</x:v>
      </x:c>
      <x:c r="P25" s="41" t="str">
        <x:v>1999-01-04</x:v>
      </x:c>
      <x:c r="Q25" s="41" t="str">
        <x:v>2026-05-22</x:v>
      </x:c>
    </x:row>
    <x:row r="26">
      <x:c r="A26" s="41" t="n">
        <x:v>25</x:v>
      </x:c>
      <x:c r="B26" s="41" t="str">
        <x:v>No weekly</x:v>
      </x:c>
      <x:c r="C26" s="41" t="str">
        <x:v>HYP_DD20_CAGR_SL11_TOPN10_GUARD18_10_V1</x:v>
      </x:c>
      <x:c r="D26" s="41" t="str">
        <x:v>dd20_adaptive_research</x:v>
      </x:c>
      <x:c r="E26" s="41" t="n">
        <x:v>0.528332</x:v>
      </x:c>
      <x:c r="F26" s="41" t="n">
        <x:v>0.120454</x:v>
      </x:c>
      <x:c r="G26" s="41" t="n">
        <x:v>0.407878</x:v>
      </x:c>
      <x:c r="H26" s="41" t="n">
        <x:v>0.403611</x:v>
      </x:c>
      <x:c r="I26" s="41" t="n">
        <x:v>0.528332</x:v>
      </x:c>
      <x:c r="J26" s="41" t="n">
        <x:v>8.6767</x:v>
      </x:c>
      <x:c r="K26" s="41" t="n">
        <x:v>10.3864</x:v>
      </x:c>
      <x:c r="L26" s="41" t="n">
        <x:v>6.8025</x:v>
      </x:c>
      <x:c r="M26" s="41" t="n">
        <x:v>-21.4977</x:v>
      </x:c>
      <x:c r="N26" s="41" t="n">
        <x:v>-19.6588</x:v>
      </x:c>
      <x:c r="O26" s="41" t="n">
        <x:v>-56.4737</x:v>
      </x:c>
      <x:c r="P26" s="41" t="str">
        <x:v>1999-01-04</x:v>
      </x:c>
      <x:c r="Q26" s="41" t="str">
        <x:v>2026-05-22</x:v>
      </x:c>
    </x:row>
    <x:row r="27">
      <x:c r="A27" s="41" t="n">
        <x:v>26</x:v>
      </x:c>
      <x:c r="B27" s="41" t="str">
        <x:v>Weekly</x:v>
      </x:c>
      <x:c r="C27" s="41" t="str">
        <x:v>HYP_REFINE_AUTO002_TOPN_6_V1_DDGRID_EXT_R12_C26_E75_CR50_REDD_RECOVERED_DD12_SL20</x:v>
      </x:c>
      <x:c r="D27" s="41" t="str">
        <x:v>dd_guard_grid</x:v>
      </x:c>
      <x:c r="E27" s="41" t="n">
        <x:v>0.526767</x:v>
      </x:c>
      <x:c r="F27" s="41" t="n">
        <x:v>0.120454</x:v>
      </x:c>
      <x:c r="G27" s="41" t="n">
        <x:v>0.406313</x:v>
      </x:c>
      <x:c r="H27" s="41" t="n">
        <x:v>0.526767</x:v>
      </x:c>
      <x:c r="I27" s="41" t="n">
        <x:v>0.402265</x:v>
      </x:c>
      <x:c r="J27" s="41" t="n">
        <x:v>16.3712</x:v>
      </x:c>
      <x:c r="K27" s="41" t="n">
        <x:v>14.8906</x:v>
      </x:c>
      <x:c r="L27" s="41" t="n">
        <x:v>6.8025</x:v>
      </x:c>
      <x:c r="M27" s="41" t="n">
        <x:v>-31.0786</x:v>
      </x:c>
      <x:c r="N27" s="41" t="n">
        <x:v>-37.017</x:v>
      </x:c>
      <x:c r="O27" s="41" t="n">
        <x:v>-56.4737</x:v>
      </x:c>
      <x:c r="P27" s="41" t="str">
        <x:v>1999-01-04</x:v>
      </x:c>
      <x:c r="Q27" s="41" t="str">
        <x:v>2026-05-22</x:v>
      </x:c>
    </x:row>
    <x:row r="28">
      <x:c r="A28" s="41" t="n">
        <x:v>27</x:v>
      </x:c>
      <x:c r="B28" s="41" t="str">
        <x:v>No weekly</x:v>
      </x:c>
      <x:c r="C28" s="41" t="str">
        <x:v>HYP_DD20_CAGR_SL11_TOPN8_GUARD18_14_V1</x:v>
      </x:c>
      <x:c r="D28" s="41" t="str">
        <x:v>dd20_adaptive_research</x:v>
      </x:c>
      <x:c r="E28" s="41" t="n">
        <x:v>0.526453</x:v>
      </x:c>
      <x:c r="F28" s="41" t="n">
        <x:v>0.120454</x:v>
      </x:c>
      <x:c r="G28" s="41" t="n">
        <x:v>0.405999</x:v>
      </x:c>
      <x:c r="H28" s="41" t="n">
        <x:v>0.411205</x:v>
      </x:c>
      <x:c r="I28" s="41" t="n">
        <x:v>0.526453</x:v>
      </x:c>
      <x:c r="J28" s="41" t="n">
        <x:v>8.5975</x:v>
      </x:c>
      <x:c r="K28" s="41" t="n">
        <x:v>10.3494</x:v>
      </x:c>
      <x:c r="L28" s="41" t="n">
        <x:v>6.8025</x:v>
      </x:c>
      <x:c r="M28" s="41" t="n">
        <x:v>-20.9081</x:v>
      </x:c>
      <x:c r="N28" s="41" t="n">
        <x:v>-19.6588</x:v>
      </x:c>
      <x:c r="O28" s="41" t="n">
        <x:v>-56.4737</x:v>
      </x:c>
      <x:c r="P28" s="41" t="str">
        <x:v>1999-01-04</x:v>
      </x:c>
      <x:c r="Q28" s="41" t="str">
        <x:v>2026-05-22</x:v>
      </x:c>
    </x:row>
    <x:row r="29">
      <x:c r="A29" s="41" t="n">
        <x:v>28</x:v>
      </x:c>
      <x:c r="B29" s="41" t="str">
        <x:v>No weekly</x:v>
      </x:c>
      <x:c r="C29" s="41" t="str">
        <x:v>HYP_DD20_EXP_DYN8050250_SL10_TOPN5_V1</x:v>
      </x:c>
      <x:c r="D29" s="41" t="str">
        <x:v>dd20_adaptive_research</x:v>
      </x:c>
      <x:c r="E29" s="41" t="n">
        <x:v>0.526446</x:v>
      </x:c>
      <x:c r="F29" s="41" t="n">
        <x:v>0.120454</x:v>
      </x:c>
      <x:c r="G29" s="41" t="n">
        <x:v>0.405992</x:v>
      </x:c>
      <x:c r="H29" s="41" t="n">
        <x:v>0.083895</x:v>
      </x:c>
      <x:c r="I29" s="41" t="n">
        <x:v>0.526446</x:v>
      </x:c>
      <x:c r="J29" s="41" t="n">
        <x:v>1.8231</x:v>
      </x:c>
      <x:c r="K29" s="41" t="n">
        <x:v>10.1737</x:v>
      </x:c>
      <x:c r="L29" s="41" t="n">
        <x:v>6.8025</x:v>
      </x:c>
      <x:c r="M29" s="41" t="n">
        <x:v>-21.7305</x:v>
      </x:c>
      <x:c r="N29" s="41" t="n">
        <x:v>-19.3252</x:v>
      </x:c>
      <x:c r="O29" s="41" t="n">
        <x:v>-56.4737</x:v>
      </x:c>
      <x:c r="P29" s="41" t="str">
        <x:v>1999-01-04</x:v>
      </x:c>
      <x:c r="Q29" s="41" t="str">
        <x:v>2026-05-22</x:v>
      </x:c>
    </x:row>
    <x:row r="30">
      <x:c r="A30" s="41" t="n">
        <x:v>29</x:v>
      </x:c>
      <x:c r="B30" s="41" t="str">
        <x:v>No weekly</x:v>
      </x:c>
      <x:c r="C30" s="41" t="str">
        <x:v>HYP_DD20_EXP_GUARD18_14_SL10_TOPN5_V1</x:v>
      </x:c>
      <x:c r="D30" s="41" t="str">
        <x:v>dd20_adaptive_research</x:v>
      </x:c>
      <x:c r="E30" s="41" t="n">
        <x:v>0.526242</x:v>
      </x:c>
      <x:c r="F30" s="41" t="n">
        <x:v>0.120454</x:v>
      </x:c>
      <x:c r="G30" s="41" t="n">
        <x:v>0.405788</x:v>
      </x:c>
      <x:c r="H30" s="41" t="n">
        <x:v>0.368007</x:v>
      </x:c>
      <x:c r="I30" s="41" t="n">
        <x:v>0.526242</x:v>
      </x:c>
      <x:c r="J30" s="41" t="n">
        <x:v>8.3755</x:v>
      </x:c>
      <x:c r="K30" s="41" t="n">
        <x:v>10.1697</x:v>
      </x:c>
      <x:c r="L30" s="41" t="n">
        <x:v>6.8025</x:v>
      </x:c>
      <x:c r="M30" s="41" t="n">
        <x:v>-22.7592</x:v>
      </x:c>
      <x:c r="N30" s="41" t="n">
        <x:v>-19.3252</x:v>
      </x:c>
      <x:c r="O30" s="41" t="n">
        <x:v>-56.4737</x:v>
      </x:c>
      <x:c r="P30" s="41" t="str">
        <x:v>1999-01-04</x:v>
      </x:c>
      <x:c r="Q30" s="41" t="str">
        <x:v>2026-05-22</x:v>
      </x:c>
    </x:row>
    <x:row r="31">
      <x:c r="A31" s="41" t="n">
        <x:v>30</x:v>
      </x:c>
      <x:c r="B31" s="41" t="str">
        <x:v>No weekly</x:v>
      </x:c>
      <x:c r="C31" s="41" t="str">
        <x:v>HYP_DD20_EXP_GUARD19_12_SL10_TOPN5_V1</x:v>
      </x:c>
      <x:c r="D31" s="41" t="str">
        <x:v>dd20_adaptive_research</x:v>
      </x:c>
      <x:c r="E31" s="41" t="n">
        <x:v>0.526242</x:v>
      </x:c>
      <x:c r="F31" s="41" t="n">
        <x:v>0.120454</x:v>
      </x:c>
      <x:c r="G31" s="41" t="n">
        <x:v>0.405788</x:v>
      </x:c>
      <x:c r="H31" s="41" t="n">
        <x:v>0.387764</x:v>
      </x:c>
      <x:c r="I31" s="41" t="n">
        <x:v>0.526242</x:v>
      </x:c>
      <x:c r="J31" s="41" t="n">
        <x:v>8.5838</x:v>
      </x:c>
      <x:c r="K31" s="41" t="n">
        <x:v>10.1697</x:v>
      </x:c>
      <x:c r="L31" s="41" t="n">
        <x:v>6.8025</x:v>
      </x:c>
      <x:c r="M31" s="41" t="n">
        <x:v>-22.1365</x:v>
      </x:c>
      <x:c r="N31" s="41" t="n">
        <x:v>-19.3252</x:v>
      </x:c>
      <x:c r="O31" s="41" t="n">
        <x:v>-56.4737</x:v>
      </x:c>
      <x:c r="P31" s="41" t="str">
        <x:v>1999-01-04</x:v>
      </x:c>
      <x:c r="Q31" s="41" t="str">
        <x:v>2026-05-22</x:v>
      </x:c>
    </x:row>
    <x:row r="32">
      <x:c r="A32" s="41" t="n">
        <x:v>31</x:v>
      </x:c>
      <x:c r="B32" s="41" t="str">
        <x:v>No weekly</x:v>
      </x:c>
      <x:c r="C32" s="41" t="str">
        <x:v>HYP_DD20_EXP_SL10_TOPN5_GUARD18_12_V1</x:v>
      </x:c>
      <x:c r="D32" s="41" t="str">
        <x:v>dd20_adaptive_research</x:v>
      </x:c>
      <x:c r="E32" s="41" t="n">
        <x:v>0.526242</x:v>
      </x:c>
      <x:c r="F32" s="41" t="n">
        <x:v>0.120454</x:v>
      </x:c>
      <x:c r="G32" s="41" t="n">
        <x:v>0.405788</x:v>
      </x:c>
      <x:c r="H32" s="41" t="n">
        <x:v>0.366969</x:v>
      </x:c>
      <x:c r="I32" s="41" t="n">
        <x:v>0.526242</x:v>
      </x:c>
      <x:c r="J32" s="41" t="n">
        <x:v>8.3519</x:v>
      </x:c>
      <x:c r="K32" s="41" t="n">
        <x:v>10.1697</x:v>
      </x:c>
      <x:c r="L32" s="41" t="n">
        <x:v>6.8025</x:v>
      </x:c>
      <x:c r="M32" s="41" t="n">
        <x:v>-22.7592</x:v>
      </x:c>
      <x:c r="N32" s="41" t="n">
        <x:v>-19.3252</x:v>
      </x:c>
      <x:c r="O32" s="41" t="n">
        <x:v>-56.4737</x:v>
      </x:c>
      <x:c r="P32" s="41" t="str">
        <x:v>1999-01-04</x:v>
      </x:c>
      <x:c r="Q32" s="41" t="str">
        <x:v>2026-05-22</x:v>
      </x:c>
    </x:row>
    <x:row r="33">
      <x:c r="A33" s="41" t="n">
        <x:v>32</x:v>
      </x:c>
      <x:c r="B33" s="41" t="str">
        <x:v>No weekly</x:v>
      </x:c>
      <x:c r="C33" s="41" t="str">
        <x:v>HYP_DD20_EXP_SL10_TOPN10_GUARD18_12_V1</x:v>
      </x:c>
      <x:c r="D33" s="41" t="str">
        <x:v>dd20_adaptive_research</x:v>
      </x:c>
      <x:c r="E33" s="41" t="n">
        <x:v>0.526074</x:v>
      </x:c>
      <x:c r="F33" s="41" t="n">
        <x:v>0.120454</x:v>
      </x:c>
      <x:c r="G33" s="41" t="n">
        <x:v>0.40562</x:v>
      </x:c>
      <x:c r="H33" s="41" t="n">
        <x:v>0.370065</x:v>
      </x:c>
      <x:c r="I33" s="41" t="n">
        <x:v>0.526074</x:v>
      </x:c>
      <x:c r="J33" s="41" t="n">
        <x:v>8.4421</x:v>
      </x:c>
      <x:c r="K33" s="41" t="n">
        <x:v>10.1665</x:v>
      </x:c>
      <x:c r="L33" s="41" t="n">
        <x:v>6.8025</x:v>
      </x:c>
      <x:c r="M33" s="41" t="n">
        <x:v>-22.8125</x:v>
      </x:c>
      <x:c r="N33" s="41" t="n">
        <x:v>-19.3252</x:v>
      </x:c>
      <x:c r="O33" s="41" t="n">
        <x:v>-56.4737</x:v>
      </x:c>
      <x:c r="P33" s="41" t="str">
        <x:v>1999-01-04</x:v>
      </x:c>
      <x:c r="Q33" s="41" t="str">
        <x:v>2026-05-22</x:v>
      </x:c>
    </x:row>
    <x:row r="34">
      <x:c r="A34" s="41" t="n">
        <x:v>33</x:v>
      </x:c>
      <x:c r="B34" s="41" t="str">
        <x:v>No weekly</x:v>
      </x:c>
      <x:c r="C34" s="41" t="str">
        <x:v>HYP_DD20_EXP_SL10_TOPN8_GUARD18_12_V1</x:v>
      </x:c>
      <x:c r="D34" s="41" t="str">
        <x:v>dd20_adaptive_research</x:v>
      </x:c>
      <x:c r="E34" s="41" t="n">
        <x:v>0.526074</x:v>
      </x:c>
      <x:c r="F34" s="41" t="n">
        <x:v>0.120454</x:v>
      </x:c>
      <x:c r="G34" s="41" t="n">
        <x:v>0.40562</x:v>
      </x:c>
      <x:c r="H34" s="41" t="n">
        <x:v>0.3851</x:v>
      </x:c>
      <x:c r="I34" s="41" t="n">
        <x:v>0.526074</x:v>
      </x:c>
      <x:c r="J34" s="41" t="n">
        <x:v>8.4022</x:v>
      </x:c>
      <x:c r="K34" s="41" t="n">
        <x:v>10.1665</x:v>
      </x:c>
      <x:c r="L34" s="41" t="n">
        <x:v>6.8025</x:v>
      </x:c>
      <x:c r="M34" s="41" t="n">
        <x:v>-21.8182</x:v>
      </x:c>
      <x:c r="N34" s="41" t="n">
        <x:v>-19.3252</x:v>
      </x:c>
      <x:c r="O34" s="41" t="n">
        <x:v>-56.4737</x:v>
      </x:c>
      <x:c r="P34" s="41" t="str">
        <x:v>1999-01-04</x:v>
      </x:c>
      <x:c r="Q34" s="41" t="str">
        <x:v>2026-05-22</x:v>
      </x:c>
    </x:row>
    <x:row r="35">
      <x:c r="A35" s="41" t="n">
        <x:v>34</x:v>
      </x:c>
      <x:c r="B35" s="41" t="str">
        <x:v>No weekly</x:v>
      </x:c>
      <x:c r="C35" s="41" t="str">
        <x:v>HYP_DD20_EXP_GUARD17_10_SL10_TOPN5_V1</x:v>
      </x:c>
      <x:c r="D35" s="41" t="str">
        <x:v>dd20_adaptive_research</x:v>
      </x:c>
      <x:c r="E35" s="41" t="n">
        <x:v>0.525884</x:v>
      </x:c>
      <x:c r="F35" s="41" t="n">
        <x:v>0.120454</x:v>
      </x:c>
      <x:c r="G35" s="41" t="n">
        <x:v>0.40543</x:v>
      </x:c>
      <x:c r="H35" s="41" t="n">
        <x:v>0.387795</x:v>
      </x:c>
      <x:c r="I35" s="41" t="n">
        <x:v>0.525884</x:v>
      </x:c>
      <x:c r="J35" s="41" t="n">
        <x:v>8.4378</x:v>
      </x:c>
      <x:c r="K35" s="41" t="n">
        <x:v>10.1628</x:v>
      </x:c>
      <x:c r="L35" s="41" t="n">
        <x:v>6.8025</x:v>
      </x:c>
      <x:c r="M35" s="41" t="n">
        <x:v>-21.7584</x:v>
      </x:c>
      <x:c r="N35" s="41" t="n">
        <x:v>-19.3252</x:v>
      </x:c>
      <x:c r="O35" s="41" t="n">
        <x:v>-56.4737</x:v>
      </x:c>
      <x:c r="P35" s="41" t="str">
        <x:v>1999-01-04</x:v>
      </x:c>
      <x:c r="Q35" s="41" t="str">
        <x:v>2026-05-22</x:v>
      </x:c>
    </x:row>
    <x:row r="36">
      <x:c r="A36" s="41" t="n">
        <x:v>35</x:v>
      </x:c>
      <x:c r="B36" s="41" t="str">
        <x:v>Weekly</x:v>
      </x:c>
      <x:c r="C36" s="41" t="str">
        <x:v>HYP_REFINE_AUTO002_TOPN_6_V1_DDGRID_EXT_R12_C22_E75_CR50_REDD_RECOVERED_DD8_SLNONE</x:v>
      </x:c>
      <x:c r="D36" s="41" t="str">
        <x:v>dd_guard_grid</x:v>
      </x:c>
      <x:c r="E36" s="41" t="n">
        <x:v>0.525873</x:v>
      </x:c>
      <x:c r="F36" s="41" t="n">
        <x:v>0.120454</x:v>
      </x:c>
      <x:c r="G36" s="41" t="n">
        <x:v>0.405419</x:v>
      </x:c>
      <x:c r="H36" s="41" t="n">
        <x:v>0.525873</x:v>
      </x:c>
      <x:c r="I36" s="41" t="n">
        <x:v>0.394891</x:v>
      </x:c>
      <x:c r="J36" s="41" t="n">
        <x:v>15.2926</x:v>
      </x:c>
      <x:c r="K36" s="41" t="n">
        <x:v>14.2025</x:v>
      </x:c>
      <x:c r="L36" s="41" t="n">
        <x:v>6.8025</x:v>
      </x:c>
      <x:c r="M36" s="41" t="n">
        <x:v>-29.0803</x:v>
      </x:c>
      <x:c r="N36" s="41" t="n">
        <x:v>-35.9657</x:v>
      </x:c>
      <x:c r="O36" s="41" t="n">
        <x:v>-56.4737</x:v>
      </x:c>
      <x:c r="P36" s="41" t="str">
        <x:v>1999-01-04</x:v>
      </x:c>
      <x:c r="Q36" s="41" t="str">
        <x:v>2026-05-22</x:v>
      </x:c>
    </x:row>
    <x:row r="37">
      <x:c r="A37" s="41" t="n">
        <x:v>36</x:v>
      </x:c>
      <x:c r="B37" s="41" t="str">
        <x:v>Weekly</x:v>
      </x:c>
      <x:c r="C37" s="41" t="str">
        <x:v>HYP_REFINE_AUTO002_TOPN_6_V1_DDGRID_EXT_FINE_R12_C25_E75_CR50_REDD_RECOVERED_DD8_SLNONE</x:v>
      </x:c>
      <x:c r="D37" s="41" t="str">
        <x:v>dd_guard_grid</x:v>
      </x:c>
      <x:c r="E37" s="41" t="n">
        <x:v>0.524742</x:v>
      </x:c>
      <x:c r="F37" s="41" t="n">
        <x:v>0.120454</x:v>
      </x:c>
      <x:c r="G37" s="41" t="n">
        <x:v>0.404289</x:v>
      </x:c>
      <x:c r="H37" s="41" t="n">
        <x:v>0.524742</x:v>
      </x:c>
      <x:c r="I37" s="41" t="n">
        <x:v>0.378744</x:v>
      </x:c>
      <x:c r="J37" s="41" t="n">
        <x:v>15.6459</x:v>
      </x:c>
      <x:c r="K37" s="41" t="n">
        <x:v>14.2581</x:v>
      </x:c>
      <x:c r="L37" s="41" t="n">
        <x:v>6.8025</x:v>
      </x:c>
      <x:c r="M37" s="41" t="n">
        <x:v>-29.8164</x:v>
      </x:c>
      <x:c r="N37" s="41" t="n">
        <x:v>-37.6458</x:v>
      </x:c>
      <x:c r="O37" s="41" t="n">
        <x:v>-56.4737</x:v>
      </x:c>
      <x:c r="P37" s="41" t="str">
        <x:v>1999-01-04</x:v>
      </x:c>
      <x:c r="Q37" s="41" t="str">
        <x:v>2026-05-22</x:v>
      </x:c>
    </x:row>
    <x:row r="38">
      <x:c r="A38" s="41" t="n">
        <x:v>37</x:v>
      </x:c>
      <x:c r="B38" s="41" t="str">
        <x:v>Weekly</x:v>
      </x:c>
      <x:c r="C38" s="41" t="str">
        <x:v>HYP_REFINE_AUTO002_TOPN_6_V1_STRICT_NEXT_CLOSE</x:v>
      </x:c>
      <x:c r="D38" s="41" t="str">
        <x:v>trend_following</x:v>
      </x:c>
      <x:c r="E38" s="41" t="n">
        <x:v>0.5245</x:v>
      </x:c>
      <x:c r="F38" s="41" t="n">
        <x:v>0.120454</x:v>
      </x:c>
      <x:c r="G38" s="41" t="n">
        <x:v>0.404046</x:v>
      </x:c>
      <x:c r="H38" s="41" t="n">
        <x:v>0.5245</x:v>
      </x:c>
      <x:c r="I38" s="41" t="n">
        <x:v>0.374522</x:v>
      </x:c>
      <x:c r="J38" s="41" t="n">
        <x:v>19.6402</x:v>
      </x:c>
      <x:c r="K38" s="41" t="n">
        <x:v>19.1313</x:v>
      </x:c>
      <x:c r="L38" s="41" t="n">
        <x:v>6.8025</x:v>
      </x:c>
      <x:c r="M38" s="41" t="n">
        <x:v>-37.4456</x:v>
      </x:c>
      <x:c r="N38" s="41" t="n">
        <x:v>-51.0819</x:v>
      </x:c>
      <x:c r="O38" s="41" t="n">
        <x:v>-56.4737</x:v>
      </x:c>
      <x:c r="P38" s="41" t="str">
        <x:v>1999-01-04</x:v>
      </x:c>
      <x:c r="Q38" s="41" t="str">
        <x:v>2026-05-22</x:v>
      </x:c>
    </x:row>
    <x:row r="39">
      <x:c r="A39" s="41" t="n">
        <x:v>38</x:v>
      </x:c>
      <x:c r="B39" s="41" t="str">
        <x:v>Weekly</x:v>
      </x:c>
      <x:c r="C39" s="41" t="str">
        <x:v>HYP_REFINE_AUTO002_TOPN_6_V1_DDGRID_EXT_R10_C25_E75_CR50_REDD_RECOVERED_DD8_SL20</x:v>
      </x:c>
      <x:c r="D39" s="41" t="str">
        <x:v>dd_guard_grid</x:v>
      </x:c>
      <x:c r="E39" s="41" t="n">
        <x:v>0.52382</x:v>
      </x:c>
      <x:c r="F39" s="41" t="n">
        <x:v>0.120454</x:v>
      </x:c>
      <x:c r="G39" s="41" t="n">
        <x:v>0.403366</x:v>
      </x:c>
      <x:c r="H39" s="41" t="n">
        <x:v>0.52382</x:v>
      </x:c>
      <x:c r="I39" s="41" t="n">
        <x:v>0.400974</x:v>
      </x:c>
      <x:c r="J39" s="41" t="n">
        <x:v>16.0904</x:v>
      </x:c>
      <x:c r="K39" s="41" t="n">
        <x:v>14.6991</x:v>
      </x:c>
      <x:c r="L39" s="41" t="n">
        <x:v>6.8025</x:v>
      </x:c>
      <x:c r="M39" s="41" t="n">
        <x:v>-30.7175</x:v>
      </x:c>
      <x:c r="N39" s="41" t="n">
        <x:v>-36.6586</x:v>
      </x:c>
      <x:c r="O39" s="41" t="n">
        <x:v>-56.4737</x:v>
      </x:c>
      <x:c r="P39" s="41" t="str">
        <x:v>1999-01-04</x:v>
      </x:c>
      <x:c r="Q39" s="41" t="str">
        <x:v>2026-05-22</x:v>
      </x:c>
    </x:row>
    <x:row r="40">
      <x:c r="A40" s="41" t="n">
        <x:v>39</x:v>
      </x:c>
      <x:c r="B40" s="41" t="str">
        <x:v>Weekly</x:v>
      </x:c>
      <x:c r="C40" s="41" t="str">
        <x:v>HYP_REFINE_AUTO002_TOPN_6_V1_DDGRID_EXT_R12_C24_E66_CR50_REDD_RECOVERED_DD10_SL22</x:v>
      </x:c>
      <x:c r="D40" s="41" t="str">
        <x:v>dd_guard_grid</x:v>
      </x:c>
      <x:c r="E40" s="41" t="n">
        <x:v>0.523766</x:v>
      </x:c>
      <x:c r="F40" s="41" t="n">
        <x:v>0.120454</x:v>
      </x:c>
      <x:c r="G40" s="41" t="n">
        <x:v>0.403312</x:v>
      </x:c>
      <x:c r="H40" s="41" t="n">
        <x:v>0.523766</x:v>
      </x:c>
      <x:c r="I40" s="41" t="n">
        <x:v>0.362886</x:v>
      </x:c>
      <x:c r="J40" s="41" t="n">
        <x:v>15.2348</x:v>
      </x:c>
      <x:c r="K40" s="41" t="n">
        <x:v>12.8494</x:v>
      </x:c>
      <x:c r="L40" s="41" t="n">
        <x:v>6.8025</x:v>
      </x:c>
      <x:c r="M40" s="41" t="n">
        <x:v>-29.087</x:v>
      </x:c>
      <x:c r="N40" s="41" t="n">
        <x:v>-35.4089</x:v>
      </x:c>
      <x:c r="O40" s="41" t="n">
        <x:v>-56.4737</x:v>
      </x:c>
      <x:c r="P40" s="41" t="str">
        <x:v>1999-01-04</x:v>
      </x:c>
      <x:c r="Q40" s="41" t="str">
        <x:v>2026-05-22</x:v>
      </x:c>
    </x:row>
    <x:row r="41">
      <x:c r="A41" s="41" t="n">
        <x:v>40</x:v>
      </x:c>
      <x:c r="B41" s="41" t="str">
        <x:v>Weekly</x:v>
      </x:c>
      <x:c r="C41" s="41" t="str">
        <x:v>HYP_REFINE_AUTO002_TOPN_6_V1_DDGRID_EXT_R12_C25_E66_CR50_REDD_RECOVERED_DD10_SLNONE</x:v>
      </x:c>
      <x:c r="D41" s="41" t="str">
        <x:v>dd_guard_grid</x:v>
      </x:c>
      <x:c r="E41" s="41" t="n">
        <x:v>0.523186</x:v>
      </x:c>
      <x:c r="F41" s="41" t="n">
        <x:v>0.120454</x:v>
      </x:c>
      <x:c r="G41" s="41" t="n">
        <x:v>0.402732</x:v>
      </x:c>
      <x:c r="H41" s="41" t="n">
        <x:v>0.523186</x:v>
      </x:c>
      <x:c r="I41" s="41" t="n">
        <x:v>0.367369</x:v>
      </x:c>
      <x:c r="J41" s="41" t="n">
        <x:v>15.3397</x:v>
      </x:c>
      <x:c r="K41" s="41" t="n">
        <x:v>12.9783</x:v>
      </x:c>
      <x:c r="L41" s="41" t="n">
        <x:v>6.8025</x:v>
      </x:c>
      <x:c r="M41" s="41" t="n">
        <x:v>-29.3198</x:v>
      </x:c>
      <x:c r="N41" s="41" t="n">
        <x:v>-35.3276</x:v>
      </x:c>
      <x:c r="O41" s="41" t="n">
        <x:v>-56.4737</x:v>
      </x:c>
      <x:c r="P41" s="41" t="str">
        <x:v>1999-01-04</x:v>
      </x:c>
      <x:c r="Q41" s="41" t="str">
        <x:v>2026-05-22</x:v>
      </x:c>
    </x:row>
    <x:row r="42">
      <x:c r="A42" s="41" t="n">
        <x:v>41</x:v>
      </x:c>
      <x:c r="B42" s="41" t="str">
        <x:v>Weekly</x:v>
      </x:c>
      <x:c r="C42" s="41" t="str">
        <x:v>HYP_REFINE_AUTO002_TOPN_6_V1_DDGRID_EXT_R12_C25_E66_CR50_REDD_RECOVERED_DD10_SL25</x:v>
      </x:c>
      <x:c r="D42" s="41" t="str">
        <x:v>dd_guard_grid</x:v>
      </x:c>
      <x:c r="E42" s="41" t="n">
        <x:v>0.52272</x:v>
      </x:c>
      <x:c r="F42" s="41" t="n">
        <x:v>0.120454</x:v>
      </x:c>
      <x:c r="G42" s="41" t="n">
        <x:v>0.402267</x:v>
      </x:c>
      <x:c r="H42" s="41" t="n">
        <x:v>0.52272</x:v>
      </x:c>
      <x:c r="I42" s="41" t="n">
        <x:v>0.358907</x:v>
      </x:c>
      <x:c r="J42" s="41" t="n">
        <x:v>15.3672</x:v>
      </x:c>
      <x:c r="K42" s="41" t="n">
        <x:v>12.7631</x:v>
      </x:c>
      <x:c r="L42" s="41" t="n">
        <x:v>6.8025</x:v>
      </x:c>
      <x:c r="M42" s="41" t="n">
        <x:v>-29.3985</x:v>
      </x:c>
      <x:c r="N42" s="41" t="n">
        <x:v>-35.561</x:v>
      </x:c>
      <x:c r="O42" s="41" t="n">
        <x:v>-56.4737</x:v>
      </x:c>
      <x:c r="P42" s="41" t="str">
        <x:v>1999-01-04</x:v>
      </x:c>
      <x:c r="Q42" s="41" t="str">
        <x:v>2026-05-22</x:v>
      </x:c>
    </x:row>
    <x:row r="43">
      <x:c r="A43" s="41" t="n">
        <x:v>42</x:v>
      </x:c>
      <x:c r="B43" s="41" t="str">
        <x:v>No weekly</x:v>
      </x:c>
      <x:c r="C43" s="41" t="str">
        <x:v>HYP_DD20_CAGR_SL11_TOPN8_GUARD19_12_V1</x:v>
      </x:c>
      <x:c r="D43" s="41" t="str">
        <x:v>dd20_adaptive_research</x:v>
      </x:c>
      <x:c r="E43" s="41" t="n">
        <x:v>0.520894</x:v>
      </x:c>
      <x:c r="F43" s="41" t="n">
        <x:v>0.120454</x:v>
      </x:c>
      <x:c r="G43" s="41" t="n">
        <x:v>0.40044</x:v>
      </x:c>
      <x:c r="H43" s="41" t="n">
        <x:v>0.3961</x:v>
      </x:c>
      <x:c r="I43" s="41" t="n">
        <x:v>0.520894</x:v>
      </x:c>
      <x:c r="J43" s="41" t="n">
        <x:v>8.4748</x:v>
      </x:c>
      <x:c r="K43" s="41" t="n">
        <x:v>10.2938</x:v>
      </x:c>
      <x:c r="L43" s="41" t="n">
        <x:v>6.8025</x:v>
      </x:c>
      <x:c r="M43" s="41" t="n">
        <x:v>-21.3955</x:v>
      </x:c>
      <x:c r="N43" s="41" t="n">
        <x:v>-19.7618</x:v>
      </x:c>
      <x:c r="O43" s="41" t="n">
        <x:v>-56.4737</x:v>
      </x:c>
      <x:c r="P43" s="41" t="str">
        <x:v>1999-01-04</x:v>
      </x:c>
      <x:c r="Q43" s="41" t="str">
        <x:v>2026-05-22</x:v>
      </x:c>
    </x:row>
    <x:row r="44">
      <x:c r="A44" s="41" t="n">
        <x:v>43</x:v>
      </x:c>
      <x:c r="B44" s="41" t="str">
        <x:v>Weekly</x:v>
      </x:c>
      <x:c r="C44" s="41" t="str">
        <x:v>HYP_REFINE_AUTO002_TOPN_6_V1_DDGRID_EXT_R12_C26_E75_CR50_REDD_RECOVERED_DD10_SL25</x:v>
      </x:c>
      <x:c r="D44" s="41" t="str">
        <x:v>dd_guard_grid</x:v>
      </x:c>
      <x:c r="E44" s="41" t="n">
        <x:v>0.520877</x:v>
      </x:c>
      <x:c r="F44" s="41" t="n">
        <x:v>0.120454</x:v>
      </x:c>
      <x:c r="G44" s="41" t="n">
        <x:v>0.400423</x:v>
      </x:c>
      <x:c r="H44" s="41" t="n">
        <x:v>0.520877</x:v>
      </x:c>
      <x:c r="I44" s="41" t="n">
        <x:v>0.376539</x:v>
      </x:c>
      <x:c r="J44" s="41" t="n">
        <x:v>16.2696</x:v>
      </x:c>
      <x:c r="K44" s="41" t="n">
        <x:v>14.2921</x:v>
      </x:c>
      <x:c r="L44" s="41" t="n">
        <x:v>6.8025</x:v>
      </x:c>
      <x:c r="M44" s="41" t="n">
        <x:v>-31.2351</x:v>
      </x:c>
      <x:c r="N44" s="41" t="n">
        <x:v>-37.9565</x:v>
      </x:c>
      <x:c r="O44" s="41" t="n">
        <x:v>-56.4737</x:v>
      </x:c>
      <x:c r="P44" s="41" t="str">
        <x:v>1999-01-04</x:v>
      </x:c>
      <x:c r="Q44" s="41" t="str">
        <x:v>2026-05-22</x:v>
      </x:c>
    </x:row>
    <x:row r="45">
      <x:c r="A45" s="41" t="n">
        <x:v>44</x:v>
      </x:c>
      <x:c r="B45" s="41" t="str">
        <x:v>Weekly</x:v>
      </x:c>
      <x:c r="C45" s="41" t="str">
        <x:v>HYP_REFINE_AUTO002_TOPN_6_V1_DDGRID_EXT_FINE_R12_C26_E75_CR50_REDD_RECOVERED_DD8_SL20</x:v>
      </x:c>
      <x:c r="D45" s="41" t="str">
        <x:v>dd_guard_grid</x:v>
      </x:c>
      <x:c r="E45" s="41" t="n">
        <x:v>0.52087</x:v>
      </x:c>
      <x:c r="F45" s="41" t="n">
        <x:v>0.120454</x:v>
      </x:c>
      <x:c r="G45" s="41" t="n">
        <x:v>0.400416</x:v>
      </x:c>
      <x:c r="H45" s="41" t="n">
        <x:v>0.52087</x:v>
      </x:c>
      <x:c r="I45" s="41" t="n">
        <x:v>0.400981</x:v>
      </x:c>
      <x:c r="J45" s="41" t="n">
        <x:v>16.1879</x:v>
      </x:c>
      <x:c r="K45" s="41" t="n">
        <x:v>14.8431</x:v>
      </x:c>
      <x:c r="L45" s="41" t="n">
        <x:v>6.8025</x:v>
      </x:c>
      <x:c r="M45" s="41" t="n">
        <x:v>-31.0786</x:v>
      </x:c>
      <x:c r="N45" s="41" t="n">
        <x:v>-37.017</x:v>
      </x:c>
      <x:c r="O45" s="41" t="n">
        <x:v>-56.4737</x:v>
      </x:c>
      <x:c r="P45" s="41" t="str">
        <x:v>1999-01-04</x:v>
      </x:c>
      <x:c r="Q45" s="41" t="str">
        <x:v>2026-05-22</x:v>
      </x:c>
    </x:row>
    <x:row r="46">
      <x:c r="A46" s="41" t="n">
        <x:v>45</x:v>
      </x:c>
      <x:c r="B46" s="41" t="str">
        <x:v>Weekly</x:v>
      </x:c>
      <x:c r="C46" s="41" t="str">
        <x:v>HYP_REFINE_AUTO002_TOPN_6_V1_DDGRID_EXT_R12_C26_E75_CR50_REDD_RECOVERED_DD10_SL20</x:v>
      </x:c>
      <x:c r="D46" s="41" t="str">
        <x:v>dd_guard_grid</x:v>
      </x:c>
      <x:c r="E46" s="41" t="n">
        <x:v>0.520819</x:v>
      </x:c>
      <x:c r="F46" s="41" t="n">
        <x:v>0.120454</x:v>
      </x:c>
      <x:c r="G46" s="41" t="n">
        <x:v>0.400365</x:v>
      </x:c>
      <x:c r="H46" s="41" t="n">
        <x:v>0.520819</x:v>
      </x:c>
      <x:c r="I46" s="41" t="n">
        <x:v>0.396851</x:v>
      </x:c>
      <x:c r="J46" s="41" t="n">
        <x:v>16.1863</x:v>
      </x:c>
      <x:c r="K46" s="41" t="n">
        <x:v>14.6902</x:v>
      </x:c>
      <x:c r="L46" s="41" t="n">
        <x:v>6.8025</x:v>
      </x:c>
      <x:c r="M46" s="41" t="n">
        <x:v>-31.0786</x:v>
      </x:c>
      <x:c r="N46" s="41" t="n">
        <x:v>-37.017</x:v>
      </x:c>
      <x:c r="O46" s="41" t="n">
        <x:v>-56.4737</x:v>
      </x:c>
      <x:c r="P46" s="41" t="str">
        <x:v>1999-01-04</x:v>
      </x:c>
      <x:c r="Q46" s="41" t="str">
        <x:v>2026-05-22</x:v>
      </x:c>
    </x:row>
    <x:row r="47">
      <x:c r="A47" s="41" t="n">
        <x:v>46</x:v>
      </x:c>
      <x:c r="B47" s="41" t="str">
        <x:v>Weekly</x:v>
      </x:c>
      <x:c r="C47" s="41" t="str">
        <x:v>HYP_REFINE_AUTO002_TOPN_6_V1_DDGRID_EXT_R12_C26_E75_CR50_REDD_RECOVERED_DD10_SL22</x:v>
      </x:c>
      <x:c r="D47" s="41" t="str">
        <x:v>dd_guard_grid</x:v>
      </x:c>
      <x:c r="E47" s="41" t="n">
        <x:v>0.519603</x:v>
      </x:c>
      <x:c r="F47" s="41" t="n">
        <x:v>0.120454</x:v>
      </x:c>
      <x:c r="G47" s="41" t="n">
        <x:v>0.399149</x:v>
      </x:c>
      <x:c r="H47" s="41" t="n">
        <x:v>0.519603</x:v>
      </x:c>
      <x:c r="I47" s="41" t="n">
        <x:v>0.386306</x:v>
      </x:c>
      <x:c r="J47" s="41" t="n">
        <x:v>16.1712</x:v>
      </x:c>
      <x:c r="K47" s="41" t="n">
        <x:v>14.5422</x:v>
      </x:c>
      <x:c r="L47" s="41" t="n">
        <x:v>6.8025</x:v>
      </x:c>
      <x:c r="M47" s="41" t="n">
        <x:v>-31.1222</x:v>
      </x:c>
      <x:c r="N47" s="41" t="n">
        <x:v>-37.6443</x:v>
      </x:c>
      <x:c r="O47" s="41" t="n">
        <x:v>-56.4737</x:v>
      </x:c>
      <x:c r="P47" s="41" t="str">
        <x:v>1999-01-04</x:v>
      </x:c>
      <x:c r="Q47" s="41" t="str">
        <x:v>2026-05-22</x:v>
      </x:c>
    </x:row>
    <x:row r="48">
      <x:c r="A48" s="41" t="n">
        <x:v>47</x:v>
      </x:c>
      <x:c r="B48" s="41" t="str">
        <x:v>Weekly</x:v>
      </x:c>
      <x:c r="C48" s="41" t="str">
        <x:v>HYP_REFINE_AUTO002_TOPN_6_V1_DDGRID_EXT_R12_C25_E75_CR50_REDD_RECOVERED_DD10_SLNONE</x:v>
      </x:c>
      <x:c r="D48" s="41" t="str">
        <x:v>dd_guard_grid</x:v>
      </x:c>
      <x:c r="E48" s="41" t="n">
        <x:v>0.51896</x:v>
      </x:c>
      <x:c r="F48" s="41" t="n">
        <x:v>0.120454</x:v>
      </x:c>
      <x:c r="G48" s="41" t="n">
        <x:v>0.398506</x:v>
      </x:c>
      <x:c r="H48" s="41" t="n">
        <x:v>0.51896</x:v>
      </x:c>
      <x:c r="I48" s="41" t="n">
        <x:v>0.37545</x:v>
      </x:c>
      <x:c r="J48" s="41" t="n">
        <x:v>15.4735</x:v>
      </x:c>
      <x:c r="K48" s="41" t="n">
        <x:v>14.1341</x:v>
      </x:c>
      <x:c r="L48" s="41" t="n">
        <x:v>6.8025</x:v>
      </x:c>
      <x:c r="M48" s="41" t="n">
        <x:v>-29.8164</x:v>
      </x:c>
      <x:c r="N48" s="41" t="n">
        <x:v>-37.6458</x:v>
      </x:c>
      <x:c r="O48" s="41" t="n">
        <x:v>-56.4737</x:v>
      </x:c>
      <x:c r="P48" s="41" t="str">
        <x:v>1999-01-04</x:v>
      </x:c>
      <x:c r="Q48" s="41" t="str">
        <x:v>2026-05-22</x:v>
      </x:c>
    </x:row>
    <x:row r="49">
      <x:c r="A49" s="41" t="n">
        <x:v>48</x:v>
      </x:c>
      <x:c r="B49" s="41" t="str">
        <x:v>Weekly</x:v>
      </x:c>
      <x:c r="C49" s="41" t="str">
        <x:v>HYP_REFINE_AUTO002_TOPN_6_V1_DDGRID_EXT_R12_C26_E75_CR50_REDD_RECOVERED_DD8_SLNONE</x:v>
      </x:c>
      <x:c r="D49" s="41" t="str">
        <x:v>dd_guard_grid</x:v>
      </x:c>
      <x:c r="E49" s="41" t="n">
        <x:v>0.518882</x:v>
      </x:c>
      <x:c r="F49" s="41" t="n">
        <x:v>0.120454</x:v>
      </x:c>
      <x:c r="G49" s="41" t="n">
        <x:v>0.398428</x:v>
      </x:c>
      <x:c r="H49" s="41" t="n">
        <x:v>0.518882</x:v>
      </x:c>
      <x:c r="I49" s="41" t="n">
        <x:v>0.372916</x:v>
      </x:c>
      <x:c r="J49" s="41" t="n">
        <x:v>15.9025</x:v>
      </x:c>
      <x:c r="K49" s="41" t="n">
        <x:v>14.2708</x:v>
      </x:c>
      <x:c r="L49" s="41" t="n">
        <x:v>6.8025</x:v>
      </x:c>
      <x:c r="M49" s="41" t="n">
        <x:v>-30.6476</x:v>
      </x:c>
      <x:c r="N49" s="41" t="n">
        <x:v>-38.2683</x:v>
      </x:c>
      <x:c r="O49" s="41" t="n">
        <x:v>-56.4737</x:v>
      </x:c>
      <x:c r="P49" s="41" t="str">
        <x:v>1999-01-04</x:v>
      </x:c>
      <x:c r="Q49" s="41" t="str">
        <x:v>2026-05-22</x:v>
      </x:c>
    </x:row>
    <x:row r="50">
      <x:c r="A50" s="41" t="n">
        <x:v>49</x:v>
      </x:c>
      <x:c r="B50" s="41" t="str">
        <x:v>Weekly</x:v>
      </x:c>
      <x:c r="C50" s="41" t="str">
        <x:v>HYP_REFINE_AUTO002_TOPN_6_V1_DDGRID_EXT_R12_C26_E75_CR50_REDD_RECOVERED_DD8_SL25</x:v>
      </x:c>
      <x:c r="D50" s="41" t="str">
        <x:v>dd_guard_grid</x:v>
      </x:c>
      <x:c r="E50" s="41" t="n">
        <x:v>0.518253</x:v>
      </x:c>
      <x:c r="F50" s="41" t="n">
        <x:v>0.120454</x:v>
      </x:c>
      <x:c r="G50" s="41" t="n">
        <x:v>0.397799</x:v>
      </x:c>
      <x:c r="H50" s="41" t="n">
        <x:v>0.518253</x:v>
      </x:c>
      <x:c r="I50" s="41" t="n">
        <x:v>0.373167</x:v>
      </x:c>
      <x:c r="J50" s="41" t="n">
        <x:v>16.1877</x:v>
      </x:c>
      <x:c r="K50" s="41" t="n">
        <x:v>14.1641</x:v>
      </x:c>
      <x:c r="L50" s="41" t="n">
        <x:v>6.8025</x:v>
      </x:c>
      <x:c r="M50" s="41" t="n">
        <x:v>-31.2351</x:v>
      </x:c>
      <x:c r="N50" s="41" t="n">
        <x:v>-37.9565</x:v>
      </x:c>
      <x:c r="O50" s="41" t="n">
        <x:v>-56.4737</x:v>
      </x:c>
      <x:c r="P50" s="41" t="str">
        <x:v>1999-01-04</x:v>
      </x:c>
      <x:c r="Q50" s="41" t="str">
        <x:v>2026-05-22</x:v>
      </x:c>
    </x:row>
    <x:row r="51">
      <x:c r="A51" s="41" t="n">
        <x:v>50</x:v>
      </x:c>
      <x:c r="B51" s="41" t="str">
        <x:v>Weekly</x:v>
      </x:c>
      <x:c r="C51" s="41" t="str">
        <x:v>HYP_REFINE_AUTO002_TOPN_6_V1_DDGRID_EXT_R12_C25_E75_CR50_REDD_RECOVERED_DD12_SLNONE</x:v>
      </x:c>
      <x:c r="D51" s="41" t="str">
        <x:v>dd_guard_grid</x:v>
      </x:c>
      <x:c r="E51" s="41" t="n">
        <x:v>0.51694</x:v>
      </x:c>
      <x:c r="F51" s="41" t="n">
        <x:v>0.120454</x:v>
      </x:c>
      <x:c r="G51" s="41" t="n">
        <x:v>0.396486</x:v>
      </x:c>
      <x:c r="H51" s="41" t="n">
        <x:v>0.51694</x:v>
      </x:c>
      <x:c r="I51" s="41" t="n">
        <x:v>0.374933</x:v>
      </x:c>
      <x:c r="J51" s="41" t="n">
        <x:v>15.4133</x:v>
      </x:c>
      <x:c r="K51" s="41" t="n">
        <x:v>14.1146</x:v>
      </x:c>
      <x:c r="L51" s="41" t="n">
        <x:v>6.8025</x:v>
      </x:c>
      <x:c r="M51" s="41" t="n">
        <x:v>-29.8164</x:v>
      </x:c>
      <x:c r="N51" s="41" t="n">
        <x:v>-37.6458</x:v>
      </x:c>
      <x:c r="O51" s="41" t="n">
        <x:v>-56.4737</x:v>
      </x:c>
      <x:c r="P51" s="41" t="str">
        <x:v>1999-01-04</x:v>
      </x:c>
      <x:c r="Q51" s="41" t="str">
        <x:v>2026-05-22</x:v>
      </x:c>
    </x:row>
    <x:row r="52">
      <x:c r="A52" s="41" t="n">
        <x:v>51</x:v>
      </x:c>
      <x:c r="B52" s="41" t="str">
        <x:v>Weekly</x:v>
      </x:c>
      <x:c r="C52" s="41" t="str">
        <x:v>HYP_REFINE_AUTO002_TOPN_6_V1_DDGRID_EXT_R12_C26_E75_CR50_REDD_RECOVERED_DD8_SL22</x:v>
      </x:c>
      <x:c r="D52" s="41" t="str">
        <x:v>dd_guard_grid</x:v>
      </x:c>
      <x:c r="E52" s="41" t="n">
        <x:v>0.516579</x:v>
      </x:c>
      <x:c r="F52" s="41" t="n">
        <x:v>0.120454</x:v>
      </x:c>
      <x:c r="G52" s="41" t="n">
        <x:v>0.396125</x:v>
      </x:c>
      <x:c r="H52" s="41" t="n">
        <x:v>0.516579</x:v>
      </x:c>
      <x:c r="I52" s="41" t="n">
        <x:v>0.384652</x:v>
      </x:c>
      <x:c r="J52" s="41" t="n">
        <x:v>16.0771</x:v>
      </x:c>
      <x:c r="K52" s="41" t="n">
        <x:v>14.4799</x:v>
      </x:c>
      <x:c r="L52" s="41" t="n">
        <x:v>6.8025</x:v>
      </x:c>
      <x:c r="M52" s="41" t="n">
        <x:v>-31.1222</x:v>
      </x:c>
      <x:c r="N52" s="41" t="n">
        <x:v>-37.6443</x:v>
      </x:c>
      <x:c r="O52" s="41" t="n">
        <x:v>-56.4737</x:v>
      </x:c>
      <x:c r="P52" s="41" t="str">
        <x:v>1999-01-04</x:v>
      </x:c>
      <x:c r="Q52" s="41" t="str">
        <x:v>2026-05-22</x:v>
      </x:c>
    </x:row>
    <x:row r="53">
      <x:c r="A53" s="41" t="n">
        <x:v>52</x:v>
      </x:c>
      <x:c r="B53" s="41" t="str">
        <x:v>No weekly</x:v>
      </x:c>
      <x:c r="C53" s="41" t="str">
        <x:v>HYP_DD20_EXP_DYN8550200_SL10_TOPN5_V1</x:v>
      </x:c>
      <x:c r="D53" s="41" t="str">
        <x:v>dd20_adaptive_research</x:v>
      </x:c>
      <x:c r="E53" s="41" t="n">
        <x:v>0.516359</x:v>
      </x:c>
      <x:c r="F53" s="41" t="n">
        <x:v>0.120454</x:v>
      </x:c>
      <x:c r="G53" s="41" t="n">
        <x:v>0.395905</x:v>
      </x:c>
      <x:c r="H53" s="41" t="n">
        <x:v>-0.018724</x:v>
      </x:c>
      <x:c r="I53" s="41" t="n">
        <x:v>0.516359</x:v>
      </x:c>
      <x:c r="J53" s="41" t="n">
        <x:v>-0.4179</x:v>
      </x:c>
      <x:c r="K53" s="41" t="n">
        <x:v>10.5466</x:v>
      </x:c>
      <x:c r="L53" s="41" t="n">
        <x:v>6.8025</x:v>
      </x:c>
      <x:c r="M53" s="41" t="n">
        <x:v>-22.3182</x:v>
      </x:c>
      <x:c r="N53" s="41" t="n">
        <x:v>-20.4249</x:v>
      </x:c>
      <x:c r="O53" s="41" t="n">
        <x:v>-56.4737</x:v>
      </x:c>
      <x:c r="P53" s="41" t="str">
        <x:v>1999-01-04</x:v>
      </x:c>
      <x:c r="Q53" s="41" t="str">
        <x:v>2026-05-22</x:v>
      </x:c>
    </x:row>
    <x:row r="54">
      <x:c r="A54" s="41" t="n">
        <x:v>53</x:v>
      </x:c>
      <x:c r="B54" s="41" t="str">
        <x:v>Weekly</x:v>
      </x:c>
      <x:c r="C54" s="41" t="str">
        <x:v>HYP_REFINE_AUTO002_TOPN_6_V1_DDGRID_EXT_R12_C26_E75_CR50_REDD_RECOVERED_DD10_SLNONE</x:v>
      </x:c>
      <x:c r="D54" s="41" t="str">
        <x:v>dd_guard_grid</x:v>
      </x:c>
      <x:c r="E54" s="41" t="n">
        <x:v>0.516051</x:v>
      </x:c>
      <x:c r="F54" s="41" t="n">
        <x:v>0.120454</x:v>
      </x:c>
      <x:c r="G54" s="41" t="n">
        <x:v>0.395597</x:v>
      </x:c>
      <x:c r="H54" s="41" t="n">
        <x:v>0.516051</x:v>
      </x:c>
      <x:c r="I54" s="41" t="n">
        <x:v>0.372342</x:v>
      </x:c>
      <x:c r="J54" s="41" t="n">
        <x:v>15.8157</x:v>
      </x:c>
      <x:c r="K54" s="41" t="n">
        <x:v>14.2489</x:v>
      </x:c>
      <x:c r="L54" s="41" t="n">
        <x:v>6.8025</x:v>
      </x:c>
      <x:c r="M54" s="41" t="n">
        <x:v>-30.6476</x:v>
      </x:c>
      <x:c r="N54" s="41" t="n">
        <x:v>-38.2683</x:v>
      </x:c>
      <x:c r="O54" s="41" t="n">
        <x:v>-56.4737</x:v>
      </x:c>
      <x:c r="P54" s="41" t="str">
        <x:v>1999-01-04</x:v>
      </x:c>
      <x:c r="Q54" s="41" t="str">
        <x:v>2026-05-22</x:v>
      </x:c>
    </x:row>
    <x:row r="55">
      <x:c r="A55" s="41" t="n">
        <x:v>54</x:v>
      </x:c>
      <x:c r="B55" s="41" t="str">
        <x:v>Weekly</x:v>
      </x:c>
      <x:c r="C55" s="41" t="str">
        <x:v>HYP_REFINE_AUTO002_TOPN_6_V1_DDGRID_EXT_R14_C26_E75_CR50_REDD_RECOVERED_DD8_SL20</x:v>
      </x:c>
      <x:c r="D55" s="41" t="str">
        <x:v>dd_guard_grid</x:v>
      </x:c>
      <x:c r="E55" s="41" t="n">
        <x:v>0.516046</x:v>
      </x:c>
      <x:c r="F55" s="41" t="n">
        <x:v>0.120454</x:v>
      </x:c>
      <x:c r="G55" s="41" t="n">
        <x:v>0.395592</x:v>
      </x:c>
      <x:c r="H55" s="41" t="n">
        <x:v>0.516046</x:v>
      </x:c>
      <x:c r="I55" s="41" t="n">
        <x:v>0.3927</x:v>
      </x:c>
      <x:c r="J55" s="41" t="n">
        <x:v>16.5032</x:v>
      </x:c>
      <x:c r="K55" s="41" t="n">
        <x:v>14.7028</x:v>
      </x:c>
      <x:c r="L55" s="41" t="n">
        <x:v>6.8025</x:v>
      </x:c>
      <x:c r="M55" s="41" t="n">
        <x:v>-31.9802</x:v>
      </x:c>
      <x:c r="N55" s="41" t="n">
        <x:v>-37.4403</x:v>
      </x:c>
      <x:c r="O55" s="41" t="n">
        <x:v>-56.4737</x:v>
      </x:c>
      <x:c r="P55" s="41" t="str">
        <x:v>1999-01-04</x:v>
      </x:c>
      <x:c r="Q55" s="41" t="str">
        <x:v>2026-05-22</x:v>
      </x:c>
    </x:row>
    <x:row r="56">
      <x:c r="A56" s="41" t="n">
        <x:v>55</x:v>
      </x:c>
      <x:c r="B56" s="41" t="str">
        <x:v>Weekly</x:v>
      </x:c>
      <x:c r="C56" s="41" t="str">
        <x:v>HYP_REFINE_AUTO002_TOPN_6_V1_DDGRID_EXT_R12_C24_E66_CR40_REDD_RECOVERED_DD8_SL20</x:v>
      </x:c>
      <x:c r="D56" s="41" t="str">
        <x:v>dd_guard_grid</x:v>
      </x:c>
      <x:c r="E56" s="41" t="n">
        <x:v>0.515005</x:v>
      </x:c>
      <x:c r="F56" s="41" t="n">
        <x:v>0.120454</x:v>
      </x:c>
      <x:c r="G56" s="41" t="n">
        <x:v>0.394551</x:v>
      </x:c>
      <x:c r="H56" s="41" t="n">
        <x:v>0.515005</x:v>
      </x:c>
      <x:c r="I56" s="41" t="n">
        <x:v>0.403139</x:v>
      </x:c>
      <x:c r="J56" s="41" t="n">
        <x:v>14.884</x:v>
      </x:c>
      <x:c r="K56" s="41" t="n">
        <x:v>13.6645</x:v>
      </x:c>
      <x:c r="L56" s="41" t="n">
        <x:v>6.8025</x:v>
      </x:c>
      <x:c r="M56" s="41" t="n">
        <x:v>-28.9006</x:v>
      </x:c>
      <x:c r="N56" s="41" t="n">
        <x:v>-33.8953</x:v>
      </x:c>
      <x:c r="O56" s="41" t="n">
        <x:v>-56.4737</x:v>
      </x:c>
      <x:c r="P56" s="41" t="str">
        <x:v>1999-01-04</x:v>
      </x:c>
      <x:c r="Q56" s="41" t="str">
        <x:v>2026-05-22</x:v>
      </x:c>
    </x:row>
    <x:row r="57">
      <x:c r="A57" s="41" t="n">
        <x:v>56</x:v>
      </x:c>
      <x:c r="B57" s="41" t="str">
        <x:v>Weekly</x:v>
      </x:c>
      <x:c r="C57" s="41" t="str">
        <x:v>HYP_REFINE_AUTO002_TOPN_6_V1_DDGRID_LONG_R12_C23_E75_CR50_REDD_RECOVERED_DD8_SL22</x:v>
      </x:c>
      <x:c r="D57" s="41" t="str">
        <x:v>dd_guard_grid</x:v>
      </x:c>
      <x:c r="E57" s="41" t="n">
        <x:v>0.514508</x:v>
      </x:c>
      <x:c r="F57" s="41" t="n">
        <x:v>0.120454</x:v>
      </x:c>
      <x:c r="G57" s="41" t="n">
        <x:v>0.394054</x:v>
      </x:c>
      <x:c r="H57" s="41" t="n">
        <x:v>0.514508</x:v>
      </x:c>
      <x:c r="I57" s="41" t="n">
        <x:v>0.394601</x:v>
      </x:c>
      <x:c r="J57" s="41" t="n">
        <x:v>15.0614</x:v>
      </x:c>
      <x:c r="K57" s="41" t="n">
        <x:v>14.2495</x:v>
      </x:c>
      <x:c r="L57" s="41" t="n">
        <x:v>6.8025</x:v>
      </x:c>
      <x:c r="M57" s="41" t="n">
        <x:v>-29.2735</x:v>
      </x:c>
      <x:c r="N57" s="41" t="n">
        <x:v>-36.1112</x:v>
      </x:c>
      <x:c r="O57" s="41" t="n">
        <x:v>-56.4737</x:v>
      </x:c>
      <x:c r="P57" s="41" t="str">
        <x:v>1999-01-04</x:v>
      </x:c>
      <x:c r="Q57" s="41" t="str">
        <x:v>2026-05-22</x:v>
      </x:c>
    </x:row>
    <x:row r="58">
      <x:c r="A58" s="41" t="n">
        <x:v>57</x:v>
      </x:c>
      <x:c r="B58" s="41" t="str">
        <x:v>Weekly</x:v>
      </x:c>
      <x:c r="C58" s="41" t="str">
        <x:v>HYP_REFINE_AUTO002_TOPN_6_V1_DDGRID_EXT_R12_C24_E66_CR50_REDD_RECOVERED_DD8_SL20</x:v>
      </x:c>
      <x:c r="D58" s="41" t="str">
        <x:v>dd_guard_grid</x:v>
      </x:c>
      <x:c r="E58" s="41" t="n">
        <x:v>0.513286</x:v>
      </x:c>
      <x:c r="F58" s="41" t="n">
        <x:v>0.120454</x:v>
      </x:c>
      <x:c r="G58" s="41" t="n">
        <x:v>0.392832</x:v>
      </x:c>
      <x:c r="H58" s="41" t="n">
        <x:v>0.513286</x:v>
      </x:c>
      <x:c r="I58" s="41" t="n">
        <x:v>0.404685</x:v>
      </x:c>
      <x:c r="J58" s="41" t="n">
        <x:v>14.9275</x:v>
      </x:c>
      <x:c r="K58" s="41" t="n">
        <x:v>13.9889</x:v>
      </x:c>
      <x:c r="L58" s="41" t="n">
        <x:v>6.8025</x:v>
      </x:c>
      <x:c r="M58" s="41" t="n">
        <x:v>-29.0822</x:v>
      </x:c>
      <x:c r="N58" s="41" t="n">
        <x:v>-34.5674</x:v>
      </x:c>
      <x:c r="O58" s="41" t="n">
        <x:v>-56.4737</x:v>
      </x:c>
      <x:c r="P58" s="41" t="str">
        <x:v>1999-01-04</x:v>
      </x:c>
      <x:c r="Q58" s="41" t="str">
        <x:v>2026-05-22</x:v>
      </x:c>
    </x:row>
    <x:row r="59">
      <x:c r="A59" s="41" t="n">
        <x:v>58</x:v>
      </x:c>
      <x:c r="B59" s="41" t="str">
        <x:v>No weekly</x:v>
      </x:c>
      <x:c r="C59" s="41" t="str">
        <x:v>HYP_CAN_SLIM_CONCENTRATION_5_V1</x:v>
      </x:c>
      <x:c r="D59" s="41" t="str">
        <x:v>cross_sectional_momentum</x:v>
      </x:c>
      <x:c r="E59" s="41" t="n">
        <x:v>0.512538</x:v>
      </x:c>
      <x:c r="F59" s="41" t="n">
        <x:v>0.120454</x:v>
      </x:c>
      <x:c r="G59" s="41" t="n">
        <x:v>0.392084</x:v>
      </x:c>
      <x:c r="H59" s="41" t="n">
        <x:v>0.344249</x:v>
      </x:c>
      <x:c r="I59" s="41" t="n">
        <x:v>0.512538</x:v>
      </x:c>
      <x:c r="J59" s="41" t="n">
        <x:v>14.9458</x:v>
      </x:c>
      <x:c r="K59" s="41" t="n">
        <x:v>33.9124</x:v>
      </x:c>
      <x:c r="L59" s="41" t="n">
        <x:v>6.8025</x:v>
      </x:c>
      <x:c r="M59" s="41" t="n">
        <x:v>-43.4157</x:v>
      </x:c>
      <x:c r="N59" s="41" t="n">
        <x:v>-66.1657</x:v>
      </x:c>
      <x:c r="O59" s="41" t="n">
        <x:v>-56.4737</x:v>
      </x:c>
      <x:c r="P59" s="41" t="str">
        <x:v>1999-01-04</x:v>
      </x:c>
      <x:c r="Q59" s="41" t="str">
        <x:v>2026-05-22</x:v>
      </x:c>
    </x:row>
    <x:row r="60">
      <x:c r="A60" s="41" t="n">
        <x:v>59</x:v>
      </x:c>
      <x:c r="B60" s="41" t="str">
        <x:v>No weekly</x:v>
      </x:c>
      <x:c r="C60" s="41" t="str">
        <x:v>HYP_CAN_SLIM_CONCENTRATION_5_V2</x:v>
      </x:c>
      <x:c r="D60" s="41" t="str">
        <x:v>cross_sectional_momentum</x:v>
      </x:c>
      <x:c r="E60" s="41" t="n">
        <x:v>0.512538</x:v>
      </x:c>
      <x:c r="F60" s="41" t="n">
        <x:v>0.120454</x:v>
      </x:c>
      <x:c r="G60" s="41" t="n">
        <x:v>0.392084</x:v>
      </x:c>
      <x:c r="H60" s="41" t="n">
        <x:v>0.344249</x:v>
      </x:c>
      <x:c r="I60" s="41" t="n">
        <x:v>0.512538</x:v>
      </x:c>
      <x:c r="J60" s="41" t="n">
        <x:v>14.9458</x:v>
      </x:c>
      <x:c r="K60" s="41" t="n">
        <x:v>33.9124</x:v>
      </x:c>
      <x:c r="L60" s="41" t="n">
        <x:v>6.8025</x:v>
      </x:c>
      <x:c r="M60" s="41" t="n">
        <x:v>-43.4157</x:v>
      </x:c>
      <x:c r="N60" s="41" t="n">
        <x:v>-66.1657</x:v>
      </x:c>
      <x:c r="O60" s="41" t="n">
        <x:v>-56.4737</x:v>
      </x:c>
      <x:c r="P60" s="41" t="str">
        <x:v>1999-01-04</x:v>
      </x:c>
      <x:c r="Q60" s="41" t="str">
        <x:v>2026-05-22</x:v>
      </x:c>
    </x:row>
    <x:row r="61">
      <x:c r="A61" s="41" t="n">
        <x:v>60</x:v>
      </x:c>
      <x:c r="B61" s="41" t="str">
        <x:v>Weekly</x:v>
      </x:c>
      <x:c r="C61" s="41" t="str">
        <x:v>HYP_REFINE_AUTO002_TOPN_6_V1_DDGRID_EXT_R12_C25_E66_CR40_REDD_RECOVERED_DD8_SLNONE</x:v>
      </x:c>
      <x:c r="D61" s="41" t="str">
        <x:v>dd_guard_grid</x:v>
      </x:c>
      <x:c r="E61" s="41" t="n">
        <x:v>0.510956</x:v>
      </x:c>
      <x:c r="F61" s="41" t="n">
        <x:v>0.120454</x:v>
      </x:c>
      <x:c r="G61" s="41" t="n">
        <x:v>0.390502</x:v>
      </x:c>
      <x:c r="H61" s="41" t="n">
        <x:v>0.510956</x:v>
      </x:c>
      <x:c r="I61" s="41" t="n">
        <x:v>0.340464</x:v>
      </x:c>
      <x:c r="J61" s="41" t="n">
        <x:v>14.7766</x:v>
      </x:c>
      <x:c r="K61" s="41" t="n">
        <x:v>11.9888</x:v>
      </x:c>
      <x:c r="L61" s="41" t="n">
        <x:v>6.8025</x:v>
      </x:c>
      <x:c r="M61" s="41" t="n">
        <x:v>-28.9195</x:v>
      </x:c>
      <x:c r="N61" s="41" t="n">
        <x:v>-35.2131</x:v>
      </x:c>
      <x:c r="O61" s="41" t="n">
        <x:v>-56.4737</x:v>
      </x:c>
      <x:c r="P61" s="41" t="str">
        <x:v>1999-01-04</x:v>
      </x:c>
      <x:c r="Q61" s="41" t="str">
        <x:v>2026-05-22</x:v>
      </x:c>
    </x:row>
    <x:row r="62">
      <x:c r="A62" s="41" t="n">
        <x:v>61</x:v>
      </x:c>
      <x:c r="B62" s="41" t="str">
        <x:v>Weekly</x:v>
      </x:c>
      <x:c r="C62" s="41" t="str">
        <x:v>HYP_REFINE_AUTO002_TOPN_6_V1_DDGRID_EXT_R12_C25_E66_CR50_REDD_RECOVERED_DD10_SL22</x:v>
      </x:c>
      <x:c r="D62" s="41" t="str">
        <x:v>dd_guard_grid</x:v>
      </x:c>
      <x:c r="E62" s="41" t="n">
        <x:v>0.508236</x:v>
      </x:c>
      <x:c r="F62" s="41" t="n">
        <x:v>0.120454</x:v>
      </x:c>
      <x:c r="G62" s="41" t="n">
        <x:v>0.387782</x:v>
      </x:c>
      <x:c r="H62" s="41" t="n">
        <x:v>0.508236</x:v>
      </x:c>
      <x:c r="I62" s="41" t="n">
        <x:v>0.36504</x:v>
      </x:c>
      <x:c r="J62" s="41" t="n">
        <x:v>15.1898</x:v>
      </x:c>
      <x:c r="K62" s="41" t="n">
        <x:v>12.9785</x:v>
      </x:c>
      <x:c r="L62" s="41" t="n">
        <x:v>6.8025</x:v>
      </x:c>
      <x:c r="M62" s="41" t="n">
        <x:v>-29.8873</x:v>
      </x:c>
      <x:c r="N62" s="41" t="n">
        <x:v>-35.5536</x:v>
      </x:c>
      <x:c r="O62" s="41" t="n">
        <x:v>-56.4737</x:v>
      </x:c>
      <x:c r="P62" s="41" t="str">
        <x:v>1999-01-04</x:v>
      </x:c>
      <x:c r="Q62" s="41" t="str">
        <x:v>2026-05-22</x:v>
      </x:c>
    </x:row>
    <x:row r="63">
      <x:c r="A63" s="41" t="n">
        <x:v>62</x:v>
      </x:c>
      <x:c r="B63" s="41" t="str">
        <x:v>Weekly</x:v>
      </x:c>
      <x:c r="C63" s="41" t="str">
        <x:v>HYP_REFINE_AUTO002_TOPN_6_V1_DDGRID_EXT_R12_C25_E66_CR40_REDD_RECOVERED_DD10_SL22</x:v>
      </x:c>
      <x:c r="D63" s="41" t="str">
        <x:v>dd_guard_grid</x:v>
      </x:c>
      <x:c r="E63" s="41" t="n">
        <x:v>0.507247</x:v>
      </x:c>
      <x:c r="F63" s="41" t="n">
        <x:v>0.120454</x:v>
      </x:c>
      <x:c r="G63" s="41" t="n">
        <x:v>0.386794</x:v>
      </x:c>
      <x:c r="H63" s="41" t="n">
        <x:v>0.507247</x:v>
      </x:c>
      <x:c r="I63" s="41" t="n">
        <x:v>0.368412</x:v>
      </x:c>
      <x:c r="J63" s="41" t="n">
        <x:v>14.9115</x:v>
      </x:c>
      <x:c r="K63" s="41" t="n">
        <x:v>12.7411</x:v>
      </x:c>
      <x:c r="L63" s="41" t="n">
        <x:v>6.8025</x:v>
      </x:c>
      <x:c r="M63" s="41" t="n">
        <x:v>-29.3969</x:v>
      </x:c>
      <x:c r="N63" s="41" t="n">
        <x:v>-34.5838</x:v>
      </x:c>
      <x:c r="O63" s="41" t="n">
        <x:v>-56.4737</x:v>
      </x:c>
      <x:c r="P63" s="41" t="str">
        <x:v>1999-01-04</x:v>
      </x:c>
      <x:c r="Q63" s="41" t="str">
        <x:v>2026-05-22</x:v>
      </x:c>
    </x:row>
    <x:row r="64">
      <x:c r="A64" s="41" t="n">
        <x:v>63</x:v>
      </x:c>
      <x:c r="B64" s="41" t="str">
        <x:v>Weekly</x:v>
      </x:c>
      <x:c r="C64" s="41" t="str">
        <x:v>HYP_REFINE_AUTO002_TOPN_6_V1_DDGRID_EXT_FINE_R12_C25_E66_CR40_REDD_RECOVERED_DD8_SL20</x:v>
      </x:c>
      <x:c r="D64" s="41" t="str">
        <x:v>dd_guard_grid</x:v>
      </x:c>
      <x:c r="E64" s="41" t="n">
        <x:v>0.506574</x:v>
      </x:c>
      <x:c r="F64" s="41" t="n">
        <x:v>0.120454</x:v>
      </x:c>
      <x:c r="G64" s="41" t="n">
        <x:v>0.38612</x:v>
      </x:c>
      <x:c r="H64" s="41" t="n">
        <x:v>0.506574</x:v>
      </x:c>
      <x:c r="I64" s="41" t="n">
        <x:v>0.405167</x:v>
      </x:c>
      <x:c r="J64" s="41" t="n">
        <x:v>14.803</x:v>
      </x:c>
      <x:c r="K64" s="41" t="n">
        <x:v>13.9311</x:v>
      </x:c>
      <x:c r="L64" s="41" t="n">
        <x:v>6.8025</x:v>
      </x:c>
      <x:c r="M64" s="41" t="n">
        <x:v>-29.2218</x:v>
      </x:c>
      <x:c r="N64" s="41" t="n">
        <x:v>-34.3836</x:v>
      </x:c>
      <x:c r="O64" s="41" t="n">
        <x:v>-56.4737</x:v>
      </x:c>
      <x:c r="P64" s="41" t="str">
        <x:v>1999-01-04</x:v>
      </x:c>
      <x:c r="Q64" s="41" t="str">
        <x:v>2026-05-22</x:v>
      </x:c>
    </x:row>
    <x:row r="65">
      <x:c r="A65" s="41" t="n">
        <x:v>64</x:v>
      </x:c>
      <x:c r="B65" s="41" t="str">
        <x:v>Weekly</x:v>
      </x:c>
      <x:c r="C65" s="41" t="str">
        <x:v>HYP_REFINE_AUTO002_TOPN_6_V1_DDGRID_EXT_R12_C24_E66_CR50_REDD_RECOVERED_DD8_SL25</x:v>
      </x:c>
      <x:c r="D65" s="41" t="str">
        <x:v>dd_guard_grid</x:v>
      </x:c>
      <x:c r="E65" s="41" t="n">
        <x:v>0.506152</x:v>
      </x:c>
      <x:c r="F65" s="41" t="n">
        <x:v>0.120454</x:v>
      </x:c>
      <x:c r="G65" s="41" t="n">
        <x:v>0.385698</x:v>
      </x:c>
      <x:c r="H65" s="41" t="n">
        <x:v>0.506152</x:v>
      </x:c>
      <x:c r="I65" s="41" t="n">
        <x:v>0.37905</x:v>
      </x:c>
      <x:c r="J65" s="41" t="n">
        <x:v>14.5899</x:v>
      </x:c>
      <x:c r="K65" s="41" t="n">
        <x:v>13.2499</x:v>
      </x:c>
      <x:c r="L65" s="41" t="n">
        <x:v>6.8025</x:v>
      </x:c>
      <x:c r="M65" s="41" t="n">
        <x:v>-28.8251</x:v>
      </x:c>
      <x:c r="N65" s="41" t="n">
        <x:v>-34.9556</x:v>
      </x:c>
      <x:c r="O65" s="41" t="n">
        <x:v>-56.4737</x:v>
      </x:c>
      <x:c r="P65" s="41" t="str">
        <x:v>1999-01-04</x:v>
      </x:c>
      <x:c r="Q65" s="41" t="str">
        <x:v>2026-05-22</x:v>
      </x:c>
    </x:row>
    <x:row r="66">
      <x:c r="A66" s="41" t="n">
        <x:v>65</x:v>
      </x:c>
      <x:c r="B66" s="41" t="str">
        <x:v>Weekly</x:v>
      </x:c>
      <x:c r="C66" s="41" t="str">
        <x:v>HYP_REFINE_AUTO002_TOPN_6_V1_DDGRID_EXT_R12_C24_E66_CR50_REDD_RECOVERED_DD8_SL22</x:v>
      </x:c>
      <x:c r="D66" s="41" t="str">
        <x:v>dd_guard_grid</x:v>
      </x:c>
      <x:c r="E66" s="41" t="n">
        <x:v>0.505927</x:v>
      </x:c>
      <x:c r="F66" s="41" t="n">
        <x:v>0.120454</x:v>
      </x:c>
      <x:c r="G66" s="41" t="n">
        <x:v>0.385473</x:v>
      </x:c>
      <x:c r="H66" s="41" t="n">
        <x:v>0.505927</x:v>
      </x:c>
      <x:c r="I66" s="41" t="n">
        <x:v>0.371996</x:v>
      </x:c>
      <x:c r="J66" s="41" t="n">
        <x:v>14.7159</x:v>
      </x:c>
      <x:c r="K66" s="41" t="n">
        <x:v>13.1542</x:v>
      </x:c>
      <x:c r="L66" s="41" t="n">
        <x:v>6.8025</x:v>
      </x:c>
      <x:c r="M66" s="41" t="n">
        <x:v>-29.087</x:v>
      </x:c>
      <x:c r="N66" s="41" t="n">
        <x:v>-35.361</x:v>
      </x:c>
      <x:c r="O66" s="41" t="n">
        <x:v>-56.4737</x:v>
      </x:c>
      <x:c r="P66" s="41" t="str">
        <x:v>1999-01-04</x:v>
      </x:c>
      <x:c r="Q66" s="41" t="str">
        <x:v>2026-05-22</x:v>
      </x:c>
    </x:row>
    <x:row r="67">
      <x:c r="A67" s="41" t="n">
        <x:v>66</x:v>
      </x:c>
      <x:c r="B67" s="41" t="str">
        <x:v>Weekly</x:v>
      </x:c>
      <x:c r="C67" s="41" t="str">
        <x:v>HYP_REFINE_AUTO002_TOPN_6_V1_DDGRID_EXT_R12_C25_E66_CR50_REDD_RECOVERED_DD8_SLNONE</x:v>
      </x:c>
      <x:c r="D67" s="41" t="str">
        <x:v>dd_guard_grid</x:v>
      </x:c>
      <x:c r="E67" s="41" t="n">
        <x:v>0.505193</x:v>
      </x:c>
      <x:c r="F67" s="41" t="n">
        <x:v>0.120454</x:v>
      </x:c>
      <x:c r="G67" s="41" t="n">
        <x:v>0.384739</x:v>
      </x:c>
      <x:c r="H67" s="41" t="n">
        <x:v>0.505193</x:v>
      </x:c>
      <x:c r="I67" s="41" t="n">
        <x:v>0.383452</x:v>
      </x:c>
      <x:c r="J67" s="41" t="n">
        <x:v>14.8122</x:v>
      </x:c>
      <x:c r="K67" s="41" t="n">
        <x:v>13.5516</x:v>
      </x:c>
      <x:c r="L67" s="41" t="n">
        <x:v>6.8025</x:v>
      </x:c>
      <x:c r="M67" s="41" t="n">
        <x:v>-29.3198</x:v>
      </x:c>
      <x:c r="N67" s="41" t="n">
        <x:v>-35.341</x:v>
      </x:c>
      <x:c r="O67" s="41" t="n">
        <x:v>-56.4737</x:v>
      </x:c>
      <x:c r="P67" s="41" t="str">
        <x:v>1999-01-04</x:v>
      </x:c>
      <x:c r="Q67" s="41" t="str">
        <x:v>2026-05-22</x:v>
      </x:c>
    </x:row>
    <x:row r="68">
      <x:c r="A68" s="41" t="n">
        <x:v>67</x:v>
      </x:c>
      <x:c r="B68" s="41" t="str">
        <x:v>Weekly</x:v>
      </x:c>
      <x:c r="C68" s="41" t="str">
        <x:v>HYP_REFINE_AUTO002_TOPN_6_V1_DDGRID_EXT_R10_C26_E75_CR50_REDD_RECOVERED_DD8_SL20</x:v>
      </x:c>
      <x:c r="D68" s="41" t="str">
        <x:v>dd_guard_grid</x:v>
      </x:c>
      <x:c r="E68" s="41" t="n">
        <x:v>0.505168</x:v>
      </x:c>
      <x:c r="F68" s="41" t="n">
        <x:v>0.120454</x:v>
      </x:c>
      <x:c r="G68" s="41" t="n">
        <x:v>0.384714</x:v>
      </x:c>
      <x:c r="H68" s="41" t="n">
        <x:v>0.505168</x:v>
      </x:c>
      <x:c r="I68" s="41" t="n">
        <x:v>0.400595</x:v>
      </x:c>
      <x:c r="J68" s="41" t="n">
        <x:v>15.6999</x:v>
      </x:c>
      <x:c r="K68" s="41" t="n">
        <x:v>14.8288</x:v>
      </x:c>
      <x:c r="L68" s="41" t="n">
        <x:v>6.8025</x:v>
      </x:c>
      <x:c r="M68" s="41" t="n">
        <x:v>-31.0786</x:v>
      </x:c>
      <x:c r="N68" s="41" t="n">
        <x:v>-37.017</x:v>
      </x:c>
      <x:c r="O68" s="41" t="n">
        <x:v>-56.4737</x:v>
      </x:c>
      <x:c r="P68" s="41" t="str">
        <x:v>1999-01-04</x:v>
      </x:c>
      <x:c r="Q68" s="41" t="str">
        <x:v>2026-05-22</x:v>
      </x:c>
    </x:row>
    <x:row r="69">
      <x:c r="A69" s="41" t="n">
        <x:v>68</x:v>
      </x:c>
      <x:c r="B69" s="41" t="str">
        <x:v>Weekly</x:v>
      </x:c>
      <x:c r="C69" s="41" t="str">
        <x:v>HYP_REFINE_AUTO002_TOPN_6_V1_DDGRID_EXT_R12_C24_E66_CR50_REDD_RECOVERED_DD8_SLNONE</x:v>
      </x:c>
      <x:c r="D69" s="41" t="str">
        <x:v>dd_guard_grid</x:v>
      </x:c>
      <x:c r="E69" s="41" t="n">
        <x:v>0.505066</x:v>
      </x:c>
      <x:c r="F69" s="41" t="n">
        <x:v>0.120454</x:v>
      </x:c>
      <x:c r="G69" s="41" t="n">
        <x:v>0.384612</x:v>
      </x:c>
      <x:c r="H69" s="41" t="n">
        <x:v>0.505066</x:v>
      </x:c>
      <x:c r="I69" s="41" t="n">
        <x:v>0.401916</x:v>
      </x:c>
      <x:c r="J69" s="41" t="n">
        <x:v>14.538</x:v>
      </x:c>
      <x:c r="K69" s="41" t="n">
        <x:v>13.9637</x:v>
      </x:c>
      <x:c r="L69" s="41" t="n">
        <x:v>6.8025</x:v>
      </x:c>
      <x:c r="M69" s="41" t="n">
        <x:v>-28.7844</x:v>
      </x:c>
      <x:c r="N69" s="41" t="n">
        <x:v>-34.7427</x:v>
      </x:c>
      <x:c r="O69" s="41" t="n">
        <x:v>-56.4737</x:v>
      </x:c>
      <x:c r="P69" s="41" t="str">
        <x:v>1999-01-04</x:v>
      </x:c>
      <x:c r="Q69" s="41" t="str">
        <x:v>2026-05-22</x:v>
      </x:c>
    </x:row>
    <x:row r="70">
      <x:c r="A70" s="41" t="n">
        <x:v>69</x:v>
      </x:c>
      <x:c r="B70" s="41" t="str">
        <x:v>Weekly</x:v>
      </x:c>
      <x:c r="C70" s="41" t="str">
        <x:v>HYP_REFINE_AUTO002_TOPN_6_V1_DDGRID_EXT_R12_C26_E66_CR50_REDD_RECOVERED_DD10_SL22</x:v>
      </x:c>
      <x:c r="D70" s="41" t="str">
        <x:v>dd_guard_grid</x:v>
      </x:c>
      <x:c r="E70" s="41" t="n">
        <x:v>0.504507</x:v>
      </x:c>
      <x:c r="F70" s="41" t="n">
        <x:v>0.120454</x:v>
      </x:c>
      <x:c r="G70" s="41" t="n">
        <x:v>0.384053</x:v>
      </x:c>
      <x:c r="H70" s="41" t="n">
        <x:v>0.504507</x:v>
      </x:c>
      <x:c r="I70" s="41" t="n">
        <x:v>0.361125</x:v>
      </x:c>
      <x:c r="J70" s="41" t="n">
        <x:v>15.1887</x:v>
      </x:c>
      <x:c r="K70" s="41" t="n">
        <x:v>13.0465</x:v>
      </x:c>
      <x:c r="L70" s="41" t="n">
        <x:v>6.8025</x:v>
      </x:c>
      <x:c r="M70" s="41" t="n">
        <x:v>-30.106</x:v>
      </x:c>
      <x:c r="N70" s="41" t="n">
        <x:v>-36.1274</x:v>
      </x:c>
      <x:c r="O70" s="41" t="n">
        <x:v>-56.4737</x:v>
      </x:c>
      <x:c r="P70" s="41" t="str">
        <x:v>1999-01-04</x:v>
      </x:c>
      <x:c r="Q70" s="41" t="str">
        <x:v>2026-05-22</x:v>
      </x:c>
    </x:row>
    <x:row r="71">
      <x:c r="A71" s="41" t="n">
        <x:v>70</x:v>
      </x:c>
      <x:c r="B71" s="41" t="str">
        <x:v>Weekly</x:v>
      </x:c>
      <x:c r="C71" s="41" t="str">
        <x:v>HYP_REFINE_AUTO002_TOPN_6_V1_DDGRID_EXT_R12_C24_E75_CR50_REDD_RECOVERED_DD10_SL20</x:v>
      </x:c>
      <x:c r="D71" s="41" t="str">
        <x:v>dd_guard_grid</x:v>
      </x:c>
      <x:c r="E71" s="41" t="n">
        <x:v>0.504229</x:v>
      </x:c>
      <x:c r="F71" s="41" t="n">
        <x:v>0.120454</x:v>
      </x:c>
      <x:c r="G71" s="41" t="n">
        <x:v>0.383775</x:v>
      </x:c>
      <x:c r="H71" s="41" t="n">
        <x:v>0.504229</x:v>
      </x:c>
      <x:c r="I71" s="41" t="n">
        <x:v>0.397706</x:v>
      </x:c>
      <x:c r="J71" s="41" t="n">
        <x:v>15.1493</x:v>
      </x:c>
      <x:c r="K71" s="41" t="n">
        <x:v>14.3336</x:v>
      </x:c>
      <x:c r="L71" s="41" t="n">
        <x:v>6.8025</x:v>
      </x:c>
      <x:c r="M71" s="41" t="n">
        <x:v>-30.0445</x:v>
      </x:c>
      <x:c r="N71" s="41" t="n">
        <x:v>-36.0406</x:v>
      </x:c>
      <x:c r="O71" s="41" t="n">
        <x:v>-56.4737</x:v>
      </x:c>
      <x:c r="P71" s="41" t="str">
        <x:v>1999-01-04</x:v>
      </x:c>
      <x:c r="Q71" s="41" t="str">
        <x:v>2026-05-22</x:v>
      </x:c>
    </x:row>
    <x:row r="72">
      <x:c r="A72" s="41" t="n">
        <x:v>71</x:v>
      </x:c>
      <x:c r="B72" s="41" t="str">
        <x:v>Weekly</x:v>
      </x:c>
      <x:c r="C72" s="41" t="str">
        <x:v>HYP_REFINE_AUTO002_TOPN_6_V1_DDGRID_EXT_R12_C28_E75_CR50_REDD_RECOVERED_DD8_SL25</x:v>
      </x:c>
      <x:c r="D72" s="41" t="str">
        <x:v>dd_guard_grid</x:v>
      </x:c>
      <x:c r="E72" s="41" t="n">
        <x:v>0.504168</x:v>
      </x:c>
      <x:c r="F72" s="41" t="n">
        <x:v>0.120454</x:v>
      </x:c>
      <x:c r="G72" s="41" t="n">
        <x:v>0.383714</x:v>
      </x:c>
      <x:c r="H72" s="41" t="n">
        <x:v>0.504168</x:v>
      </x:c>
      <x:c r="I72" s="41" t="n">
        <x:v>0.365825</x:v>
      </x:c>
      <x:c r="J72" s="41" t="n">
        <x:v>16.3737</x:v>
      </x:c>
      <x:c r="K72" s="41" t="n">
        <x:v>14.2442</x:v>
      </x:c>
      <x:c r="L72" s="41" t="n">
        <x:v>6.8025</x:v>
      </x:c>
      <x:c r="M72" s="41" t="n">
        <x:v>-32.4767</x:v>
      </x:c>
      <x:c r="N72" s="41" t="n">
        <x:v>-38.9371</x:v>
      </x:c>
      <x:c r="O72" s="41" t="n">
        <x:v>-56.4737</x:v>
      </x:c>
      <x:c r="P72" s="41" t="str">
        <x:v>1999-01-04</x:v>
      </x:c>
      <x:c r="Q72" s="41" t="str">
        <x:v>2026-05-22</x:v>
      </x:c>
    </x:row>
    <x:row r="73">
      <x:c r="A73" s="41" t="n">
        <x:v>72</x:v>
      </x:c>
      <x:c r="B73" s="41" t="str">
        <x:v>Weekly</x:v>
      </x:c>
      <x:c r="C73" s="41" t="str">
        <x:v>HYP_REFINE_AUTO002_TOPN_6_V1_DDGRID_LONG_R12_C25_E75_CR42_REDD_RECOVERED_DD8_SL20</x:v>
      </x:c>
      <x:c r="D73" s="41" t="str">
        <x:v>dd_guard_grid</x:v>
      </x:c>
      <x:c r="E73" s="41" t="n">
        <x:v>0.504099</x:v>
      </x:c>
      <x:c r="F73" s="41" t="n">
        <x:v>0.120454</x:v>
      </x:c>
      <x:c r="G73" s="41" t="n">
        <x:v>0.383645</x:v>
      </x:c>
      <x:c r="H73" s="41" t="n">
        <x:v>0.504099</x:v>
      </x:c>
      <x:c r="I73" s="41" t="n">
        <x:v>0.368681</x:v>
      </x:c>
      <x:c r="J73" s="41" t="n">
        <x:v>15.2561</x:v>
      </x:c>
      <x:c r="K73" s="41" t="n">
        <x:v>13.0552</x:v>
      </x:c>
      <x:c r="L73" s="41" t="n">
        <x:v>6.8025</x:v>
      </x:c>
      <x:c r="M73" s="41" t="n">
        <x:v>-30.2641</x:v>
      </x:c>
      <x:c r="N73" s="41" t="n">
        <x:v>-35.4104</x:v>
      </x:c>
      <x:c r="O73" s="41" t="n">
        <x:v>-56.4737</x:v>
      </x:c>
      <x:c r="P73" s="41" t="str">
        <x:v>1999-01-04</x:v>
      </x:c>
      <x:c r="Q73" s="41" t="str">
        <x:v>2026-05-22</x:v>
      </x:c>
    </x:row>
    <x:row r="74">
      <x:c r="A74" s="41" t="n">
        <x:v>73</x:v>
      </x:c>
      <x:c r="B74" s="41" t="str">
        <x:v>Weekly</x:v>
      </x:c>
      <x:c r="C74" s="41" t="str">
        <x:v>HYP_REFINE_AUTO002_TOPN_6_V1_DDGRID_EXT_R12_C24_E75_CR50_REDD_RECOVERED_DD8_SL22</x:v>
      </x:c>
      <x:c r="D74" s="41" t="str">
        <x:v>dd_guard_grid</x:v>
      </x:c>
      <x:c r="E74" s="41" t="n">
        <x:v>0.504048</x:v>
      </x:c>
      <x:c r="F74" s="41" t="n">
        <x:v>0.120454</x:v>
      </x:c>
      <x:c r="G74" s="41" t="n">
        <x:v>0.383594</x:v>
      </x:c>
      <x:c r="H74" s="41" t="n">
        <x:v>0.504048</x:v>
      </x:c>
      <x:c r="I74" s="41" t="n">
        <x:v>0.394977</x:v>
      </x:c>
      <x:c r="J74" s="41" t="n">
        <x:v>15.0727</x:v>
      </x:c>
      <x:c r="K74" s="41" t="n">
        <x:v>14.4589</x:v>
      </x:c>
      <x:c r="L74" s="41" t="n">
        <x:v>6.8025</x:v>
      </x:c>
      <x:c r="M74" s="41" t="n">
        <x:v>-29.9033</x:v>
      </x:c>
      <x:c r="N74" s="41" t="n">
        <x:v>-36.607</x:v>
      </x:c>
      <x:c r="O74" s="41" t="n">
        <x:v>-56.4737</x:v>
      </x:c>
      <x:c r="P74" s="41" t="str">
        <x:v>1999-01-04</x:v>
      </x:c>
      <x:c r="Q74" s="41" t="str">
        <x:v>2026-05-22</x:v>
      </x:c>
    </x:row>
    <x:row r="75">
      <x:c r="A75" s="41" t="n">
        <x:v>74</x:v>
      </x:c>
      <x:c r="B75" s="41" t="str">
        <x:v>Weekly</x:v>
      </x:c>
      <x:c r="C75" s="41" t="str">
        <x:v>HYP_REFINE_AUTO002_TOPN_6_V1_DDGRID_EXT_R12_C25_E66_CR50_REDD_RECOVERED_DD8_SL25</x:v>
      </x:c>
      <x:c r="D75" s="41" t="str">
        <x:v>dd_guard_grid</x:v>
      </x:c>
      <x:c r="E75" s="41" t="n">
        <x:v>0.50378</x:v>
      </x:c>
      <x:c r="F75" s="41" t="n">
        <x:v>0.120454</x:v>
      </x:c>
      <x:c r="G75" s="41" t="n">
        <x:v>0.383326</x:v>
      </x:c>
      <x:c r="H75" s="41" t="n">
        <x:v>0.50378</x:v>
      </x:c>
      <x:c r="I75" s="41" t="n">
        <x:v>0.367286</x:v>
      </x:c>
      <x:c r="J75" s="41" t="n">
        <x:v>14.8103</x:v>
      </x:c>
      <x:c r="K75" s="41" t="n">
        <x:v>13.061</x:v>
      </x:c>
      <x:c r="L75" s="41" t="n">
        <x:v>6.8025</x:v>
      </x:c>
      <x:c r="M75" s="41" t="n">
        <x:v>-29.3985</x:v>
      </x:c>
      <x:c r="N75" s="41" t="n">
        <x:v>-35.561</x:v>
      </x:c>
      <x:c r="O75" s="41" t="n">
        <x:v>-56.4737</x:v>
      </x:c>
      <x:c r="P75" s="41" t="str">
        <x:v>1999-01-04</x:v>
      </x:c>
      <x:c r="Q75" s="41" t="str">
        <x:v>2026-05-22</x:v>
      </x:c>
    </x:row>
    <x:row r="76">
      <x:c r="A76" s="41" t="n">
        <x:v>75</x:v>
      </x:c>
      <x:c r="B76" s="41" t="str">
        <x:v>Weekly</x:v>
      </x:c>
      <x:c r="C76" s="41" t="str">
        <x:v>HYP_REFINE_AUTO002_TOPN_6_V1_DDGRID_EXT_R12_C25_E75_CR50_REDD_RECOVERED_DD6_SLNONE</x:v>
      </x:c>
      <x:c r="D76" s="41" t="str">
        <x:v>dd_guard_grid</x:v>
      </x:c>
      <x:c r="E76" s="41" t="n">
        <x:v>0.502523</x:v>
      </x:c>
      <x:c r="F76" s="41" t="n">
        <x:v>0.120454</x:v>
      </x:c>
      <x:c r="G76" s="41" t="n">
        <x:v>0.382069</x:v>
      </x:c>
      <x:c r="H76" s="41" t="n">
        <x:v>0.502523</x:v>
      </x:c>
      <x:c r="I76" s="41" t="n">
        <x:v>0.373054</x:v>
      </x:c>
      <x:c r="J76" s="41" t="n">
        <x:v>14.9834</x:v>
      </x:c>
      <x:c r="K76" s="41" t="n">
        <x:v>14.0439</x:v>
      </x:c>
      <x:c r="L76" s="41" t="n">
        <x:v>6.8025</x:v>
      </x:c>
      <x:c r="M76" s="41" t="n">
        <x:v>-29.8164</x:v>
      </x:c>
      <x:c r="N76" s="41" t="n">
        <x:v>-37.6458</x:v>
      </x:c>
      <x:c r="O76" s="41" t="n">
        <x:v>-56.4737</x:v>
      </x:c>
      <x:c r="P76" s="41" t="str">
        <x:v>1999-01-04</x:v>
      </x:c>
      <x:c r="Q76" s="41" t="str">
        <x:v>2026-05-22</x:v>
      </x:c>
    </x:row>
    <x:row r="77">
      <x:c r="A77" s="41" t="n">
        <x:v>76</x:v>
      </x:c>
      <x:c r="B77" s="41" t="str">
        <x:v>Weekly</x:v>
      </x:c>
      <x:c r="C77" s="41" t="str">
        <x:v>HYP_REFINE_AUTO002_TOPN_6_V1_DDGRID_EXT_R12_C26_E75_CR40_REDD_RECOVERED_DD6_SL20</x:v>
      </x:c>
      <x:c r="D77" s="41" t="str">
        <x:v>dd_guard_grid</x:v>
      </x:c>
      <x:c r="E77" s="41" t="n">
        <x:v>0.502511</x:v>
      </x:c>
      <x:c r="F77" s="41" t="n">
        <x:v>0.120454</x:v>
      </x:c>
      <x:c r="G77" s="41" t="n">
        <x:v>0.382057</x:v>
      </x:c>
      <x:c r="H77" s="41" t="n">
        <x:v>0.502511</x:v>
      </x:c>
      <x:c r="I77" s="41" t="n">
        <x:v>0.414585</x:v>
      </x:c>
      <x:c r="J77" s="41" t="n">
        <x:v>15.4423</x:v>
      </x:c>
      <x:c r="K77" s="41" t="n">
        <x:v>14.7196</x:v>
      </x:c>
      <x:c r="L77" s="41" t="n">
        <x:v>6.8025</x:v>
      </x:c>
      <x:c r="M77" s="41" t="n">
        <x:v>-30.7302</x:v>
      </x:c>
      <x:c r="N77" s="41" t="n">
        <x:v>-35.5046</x:v>
      </x:c>
      <x:c r="O77" s="41" t="n">
        <x:v>-56.4737</x:v>
      </x:c>
      <x:c r="P77" s="41" t="str">
        <x:v>1999-01-04</x:v>
      </x:c>
      <x:c r="Q77" s="41" t="str">
        <x:v>2026-05-22</x:v>
      </x:c>
    </x:row>
    <x:row r="78">
      <x:c r="A78" s="41" t="n">
        <x:v>77</x:v>
      </x:c>
      <x:c r="B78" s="41" t="str">
        <x:v>Weekly</x:v>
      </x:c>
      <x:c r="C78" s="41" t="str">
        <x:v>HYP_REFINE_AUTO002_TOPN_6_V1_DDGRID_LONG_R12_C22_E70_CR40_REDD_RECOVERED_DD8_SLNONE</x:v>
      </x:c>
      <x:c r="D78" s="41" t="str">
        <x:v>dd_guard_grid</x:v>
      </x:c>
      <x:c r="E78" s="41" t="n">
        <x:v>0.502293</x:v>
      </x:c>
      <x:c r="F78" s="41" t="n">
        <x:v>0.120454</x:v>
      </x:c>
      <x:c r="G78" s="41" t="n">
        <x:v>0.381839</x:v>
      </x:c>
      <x:c r="H78" s="41" t="n">
        <x:v>0.502293</x:v>
      </x:c>
      <x:c r="I78" s="41" t="n">
        <x:v>0.367819</x:v>
      </x:c>
      <x:c r="J78" s="41" t="n">
        <x:v>13.8171</x:v>
      </x:c>
      <x:c r="K78" s="41" t="n">
        <x:v>12.2706</x:v>
      </x:c>
      <x:c r="L78" s="41" t="n">
        <x:v>6.8025</x:v>
      </x:c>
      <x:c r="M78" s="41" t="n">
        <x:v>-27.5081</x:v>
      </x:c>
      <x:c r="N78" s="41" t="n">
        <x:v>-33.3606</x:v>
      </x:c>
      <x:c r="O78" s="41" t="n">
        <x:v>-56.4737</x:v>
      </x:c>
      <x:c r="P78" s="41" t="str">
        <x:v>1999-01-04</x:v>
      </x:c>
      <x:c r="Q78" s="41" t="str">
        <x:v>2026-05-22</x:v>
      </x:c>
    </x:row>
    <x:row r="79">
      <x:c r="A79" s="41" t="n">
        <x:v>78</x:v>
      </x:c>
      <x:c r="B79" s="41" t="str">
        <x:v>Weekly</x:v>
      </x:c>
      <x:c r="C79" s="41" t="str">
        <x:v>HYP_REFINE_AUTO002_TOPN_6_V1_DDGRID_EXT_FINE_R12_C25_E75_CR50_REDD_RECOVERED_DD10_SL20</x:v>
      </x:c>
      <x:c r="D79" s="41" t="str">
        <x:v>dd_guard_grid</x:v>
      </x:c>
      <x:c r="E79" s="41" t="n">
        <x:v>0.501406</x:v>
      </x:c>
      <x:c r="F79" s="41" t="n">
        <x:v>0.120454</x:v>
      </x:c>
      <x:c r="G79" s="41" t="n">
        <x:v>0.380952</x:v>
      </x:c>
      <x:c r="H79" s="41" t="n">
        <x:v>0.501406</x:v>
      </x:c>
      <x:c r="I79" s="41" t="n">
        <x:v>0.396889</x:v>
      </x:c>
      <x:c r="J79" s="41" t="n">
        <x:v>15.4019</x:v>
      </x:c>
      <x:c r="K79" s="41" t="n">
        <x:v>14.5494</x:v>
      </x:c>
      <x:c r="L79" s="41" t="n">
        <x:v>6.8025</x:v>
      </x:c>
      <x:c r="M79" s="41" t="n">
        <x:v>-30.7175</x:v>
      </x:c>
      <x:c r="N79" s="41" t="n">
        <x:v>-36.6586</x:v>
      </x:c>
      <x:c r="O79" s="41" t="n">
        <x:v>-56.4737</x:v>
      </x:c>
      <x:c r="P79" s="41" t="str">
        <x:v>1999-01-04</x:v>
      </x:c>
      <x:c r="Q79" s="41" t="str">
        <x:v>2026-05-22</x:v>
      </x:c>
    </x:row>
    <x:row r="80">
      <x:c r="A80" s="41" t="n">
        <x:v>79</x:v>
      </x:c>
      <x:c r="B80" s="41" t="str">
        <x:v>Weekly</x:v>
      </x:c>
      <x:c r="C80" s="41" t="str">
        <x:v>HYP_REFINE_AUTO002_TOPN_6_V1_DDGRID_LONG_R12_C22_E75_CR45_REDD_RECOVERED_DD8_SLNONE</x:v>
      </x:c>
      <x:c r="D80" s="41" t="str">
        <x:v>dd_guard_grid</x:v>
      </x:c>
      <x:c r="E80" s="41" t="n">
        <x:v>0.501352</x:v>
      </x:c>
      <x:c r="F80" s="41" t="n">
        <x:v>0.120454</x:v>
      </x:c>
      <x:c r="G80" s="41" t="n">
        <x:v>0.380898</x:v>
      </x:c>
      <x:c r="H80" s="41" t="n">
        <x:v>0.501352</x:v>
      </x:c>
      <x:c r="I80" s="41" t="n">
        <x:v>0.373695</x:v>
      </x:c>
      <x:c r="J80" s="41" t="n">
        <x:v>14.2923</x:v>
      </x:c>
      <x:c r="K80" s="41" t="n">
        <x:v>12.9518</x:v>
      </x:c>
      <x:c r="L80" s="41" t="n">
        <x:v>6.8025</x:v>
      </x:c>
      <x:c r="M80" s="41" t="n">
        <x:v>-28.5075</x:v>
      </x:c>
      <x:c r="N80" s="41" t="n">
        <x:v>-34.6588</x:v>
      </x:c>
      <x:c r="O80" s="41" t="n">
        <x:v>-56.4737</x:v>
      </x:c>
      <x:c r="P80" s="41" t="str">
        <x:v>1999-01-04</x:v>
      </x:c>
      <x:c r="Q80" s="41" t="str">
        <x:v>2026-05-22</x:v>
      </x:c>
    </x:row>
    <x:row r="81">
      <x:c r="A81" s="41" t="n">
        <x:v>80</x:v>
      </x:c>
      <x:c r="B81" s="41" t="str">
        <x:v>Weekly</x:v>
      </x:c>
      <x:c r="C81" s="41" t="str">
        <x:v>HYP_REFINE_AUTO002_TOPN_6_V1_DDGRID_LONG_R12_C25_E72_CR40_REDD_RECOVERED_DD8_SL20</x:v>
      </x:c>
      <x:c r="D81" s="41" t="str">
        <x:v>dd_guard_grid</x:v>
      </x:c>
      <x:c r="E81" s="41" t="n">
        <x:v>0.501115</x:v>
      </x:c>
      <x:c r="F81" s="41" t="n">
        <x:v>0.120454</x:v>
      </x:c>
      <x:c r="G81" s="41" t="n">
        <x:v>0.380662</x:v>
      </x:c>
      <x:c r="H81" s="41" t="n">
        <x:v>0.501115</x:v>
      </x:c>
      <x:c r="I81" s="41" t="n">
        <x:v>0.409074</x:v>
      </x:c>
      <x:c r="J81" s="41" t="n">
        <x:v>15.0789</x:v>
      </x:c>
      <x:c r="K81" s="41" t="n">
        <x:v>14.2283</x:v>
      </x:c>
      <x:c r="L81" s="41" t="n">
        <x:v>6.8025</x:v>
      </x:c>
      <x:c r="M81" s="41" t="n">
        <x:v>-30.0907</x:v>
      </x:c>
      <x:c r="N81" s="41" t="n">
        <x:v>-34.7817</x:v>
      </x:c>
      <x:c r="O81" s="41" t="n">
        <x:v>-56.4737</x:v>
      </x:c>
      <x:c r="P81" s="41" t="str">
        <x:v>1999-01-04</x:v>
      </x:c>
      <x:c r="Q81" s="41" t="str">
        <x:v>2026-05-22</x:v>
      </x:c>
    </x:row>
    <x:row r="82">
      <x:c r="A82" s="41" t="n">
        <x:v>81</x:v>
      </x:c>
      <x:c r="B82" s="41" t="str">
        <x:v>Weekly</x:v>
      </x:c>
      <x:c r="C82" s="41" t="str">
        <x:v>HYP_REFINE_AUTO002_TOPN_6_V1_DDGRID_EXT_R12_C26_E75_CR50_REDD_RECOVERED_DD6_SL20</x:v>
      </x:c>
      <x:c r="D82" s="41" t="str">
        <x:v>dd_guard_grid</x:v>
      </x:c>
      <x:c r="E82" s="41" t="n">
        <x:v>0.50105</x:v>
      </x:c>
      <x:c r="F82" s="41" t="n">
        <x:v>0.120454</x:v>
      </x:c>
      <x:c r="G82" s="41" t="n">
        <x:v>0.380596</x:v>
      </x:c>
      <x:c r="H82" s="41" t="n">
        <x:v>0.50105</x:v>
      </x:c>
      <x:c r="I82" s="41" t="n">
        <x:v>0.404027</x:v>
      </x:c>
      <x:c r="J82" s="41" t="n">
        <x:v>15.5719</x:v>
      </x:c>
      <x:c r="K82" s="41" t="n">
        <x:v>14.9559</x:v>
      </x:c>
      <x:c r="L82" s="41" t="n">
        <x:v>6.8025</x:v>
      </x:c>
      <x:c r="M82" s="41" t="n">
        <x:v>-31.0786</x:v>
      </x:c>
      <x:c r="N82" s="41" t="n">
        <x:v>-37.017</x:v>
      </x:c>
      <x:c r="O82" s="41" t="n">
        <x:v>-56.4737</x:v>
      </x:c>
      <x:c r="P82" s="41" t="str">
        <x:v>1999-01-04</x:v>
      </x:c>
      <x:c r="Q82" s="41" t="str">
        <x:v>2026-05-22</x:v>
      </x:c>
    </x:row>
    <x:row r="83">
      <x:c r="A83" s="41" t="n">
        <x:v>82</x:v>
      </x:c>
      <x:c r="B83" s="41" t="str">
        <x:v>No weekly</x:v>
      </x:c>
      <x:c r="C83" s="41" t="str">
        <x:v>HYP_DD20_ADAPT_SL10_GUARD18_12_V1</x:v>
      </x:c>
      <x:c r="D83" s="41" t="str">
        <x:v>dd20_adaptive_research</x:v>
      </x:c>
      <x:c r="E83" s="41" t="n">
        <x:v>0.500908</x:v>
      </x:c>
      <x:c r="F83" s="41" t="n">
        <x:v>0.120454</x:v>
      </x:c>
      <x:c r="G83" s="41" t="n">
        <x:v>0.380454</x:v>
      </x:c>
      <x:c r="H83" s="41" t="n">
        <x:v>-0.015229</x:v>
      </x:c>
      <x:c r="I83" s="41" t="n">
        <x:v>0.500908</x:v>
      </x:c>
      <x:c r="J83" s="41" t="n">
        <x:v>-0.3047</x:v>
      </x:c>
      <x:c r="K83" s="41" t="n">
        <x:v>9.6801</x:v>
      </x:c>
      <x:c r="L83" s="41" t="n">
        <x:v>6.8025</x:v>
      </x:c>
      <x:c r="M83" s="41" t="n">
        <x:v>-20.0091</x:v>
      </x:c>
      <x:c r="N83" s="41" t="n">
        <x:v>-19.3252</x:v>
      </x:c>
      <x:c r="O83" s="41" t="n">
        <x:v>-56.4737</x:v>
      </x:c>
      <x:c r="P83" s="41" t="str">
        <x:v>1999-01-04</x:v>
      </x:c>
      <x:c r="Q83" s="41" t="str">
        <x:v>2026-05-22</x:v>
      </x:c>
    </x:row>
    <x:row r="84">
      <x:c r="A84" s="41" t="n">
        <x:v>83</x:v>
      </x:c>
      <x:c r="B84" s="41" t="str">
        <x:v>Weekly</x:v>
      </x:c>
      <x:c r="C84" s="41" t="str">
        <x:v>HYP_REFINE_AUTO002_TOPN_6_V1_DDGRID_EXT_R12_C28_E75_CR40_REDD_RECOVERED_DD8_SL20</x:v>
      </x:c>
      <x:c r="D84" s="41" t="str">
        <x:v>dd_guard_grid</x:v>
      </x:c>
      <x:c r="E84" s="41" t="n">
        <x:v>0.500712</x:v>
      </x:c>
      <x:c r="F84" s="41" t="n">
        <x:v>0.120454</x:v>
      </x:c>
      <x:c r="G84" s="41" t="n">
        <x:v>0.380258</x:v>
      </x:c>
      <x:c r="H84" s="41" t="n">
        <x:v>0.500712</x:v>
      </x:c>
      <x:c r="I84" s="41" t="n">
        <x:v>0.371565</x:v>
      </x:c>
      <x:c r="J84" s="41" t="n">
        <x:v>16.036</x:v>
      </x:c>
      <x:c r="K84" s="41" t="n">
        <x:v>13.941</x:v>
      </x:c>
      <x:c r="L84" s="41" t="n">
        <x:v>6.8025</x:v>
      </x:c>
      <x:c r="M84" s="41" t="n">
        <x:v>-32.0263</x:v>
      </x:c>
      <x:c r="N84" s="41" t="n">
        <x:v>-37.5197</x:v>
      </x:c>
      <x:c r="O84" s="41" t="n">
        <x:v>-56.4737</x:v>
      </x:c>
      <x:c r="P84" s="41" t="str">
        <x:v>1999-01-04</x:v>
      </x:c>
      <x:c r="Q84" s="41" t="str">
        <x:v>2026-05-22</x:v>
      </x:c>
    </x:row>
    <x:row r="85">
      <x:c r="A85" s="41" t="n">
        <x:v>84</x:v>
      </x:c>
      <x:c r="B85" s="41" t="str">
        <x:v>No weekly</x:v>
      </x:c>
      <x:c r="C85" s="41" t="str">
        <x:v>HYP_DD20_ADAPT_SL10_COOLDOWN_3_V1</x:v>
      </x:c>
      <x:c r="D85" s="41" t="str">
        <x:v>dd20_adaptive_research</x:v>
      </x:c>
      <x:c r="E85" s="41" t="n">
        <x:v>0.500687</x:v>
      </x:c>
      <x:c r="F85" s="41" t="n">
        <x:v>0.120454</x:v>
      </x:c>
      <x:c r="G85" s="41" t="n">
        <x:v>0.380233</x:v>
      </x:c>
      <x:c r="H85" s="41" t="n">
        <x:v>-0.019192</x:v>
      </x:c>
      <x:c r="I85" s="41" t="n">
        <x:v>0.500687</x:v>
      </x:c>
      <x:c r="J85" s="41" t="n">
        <x:v>-0.415</x:v>
      </x:c>
      <x:c r="K85" s="41" t="n">
        <x:v>9.6759</x:v>
      </x:c>
      <x:c r="L85" s="41" t="n">
        <x:v>6.8025</x:v>
      </x:c>
      <x:c r="M85" s="41" t="n">
        <x:v>-21.6239</x:v>
      </x:c>
      <x:c r="N85" s="41" t="n">
        <x:v>-19.3252</x:v>
      </x:c>
      <x:c r="O85" s="41" t="n">
        <x:v>-56.4737</x:v>
      </x:c>
      <x:c r="P85" s="41" t="str">
        <x:v>1999-01-04</x:v>
      </x:c>
      <x:c r="Q85" s="41" t="str">
        <x:v>2026-05-22</x:v>
      </x:c>
    </x:row>
    <x:row r="86">
      <x:c r="A86" s="41" t="n">
        <x:v>85</x:v>
      </x:c>
      <x:c r="B86" s="41" t="str">
        <x:v>No weekly</x:v>
      </x:c>
      <x:c r="C86" s="41" t="str">
        <x:v>HYP_DD20_STOP_DYN8050200_GUARD1810_SL10_V1</x:v>
      </x:c>
      <x:c r="D86" s="41" t="str">
        <x:v>dd20_stop_trailing_repair</x:v>
      </x:c>
      <x:c r="E86" s="41" t="n">
        <x:v>0.500687</x:v>
      </x:c>
      <x:c r="F86" s="41" t="n">
        <x:v>0.120454</x:v>
      </x:c>
      <x:c r="G86" s="41" t="n">
        <x:v>0.380233</x:v>
      </x:c>
      <x:c r="H86" s="41" t="n">
        <x:v>-0.015366</x:v>
      </x:c>
      <x:c r="I86" s="41" t="n">
        <x:v>0.500687</x:v>
      </x:c>
      <x:c r="J86" s="41" t="n">
        <x:v>-0.2867</x:v>
      </x:c>
      <x:c r="K86" s="41" t="n">
        <x:v>9.6759</x:v>
      </x:c>
      <x:c r="L86" s="41" t="n">
        <x:v>6.8025</x:v>
      </x:c>
      <x:c r="M86" s="41" t="n">
        <x:v>-18.6609</x:v>
      </x:c>
      <x:c r="N86" s="41" t="n">
        <x:v>-19.3252</x:v>
      </x:c>
      <x:c r="O86" s="41" t="n">
        <x:v>-56.4737</x:v>
      </x:c>
      <x:c r="P86" s="41" t="str">
        <x:v>1999-01-04</x:v>
      </x:c>
      <x:c r="Q86" s="41" t="str">
        <x:v>2026-05-22</x:v>
      </x:c>
    </x:row>
    <x:row r="87">
      <x:c r="A87" s="41" t="n">
        <x:v>86</x:v>
      </x:c>
      <x:c r="B87" s="41" t="str">
        <x:v>Weekly</x:v>
      </x:c>
      <x:c r="C87" s="41" t="str">
        <x:v>HYP_REFINE_AUTO002_TOPN_6_V1_DDGRID_EXT_R12_C26_E75_CR40_REDD_RECOVERED_DD8_SL20</x:v>
      </x:c>
      <x:c r="D87" s="41" t="str">
        <x:v>dd_guard_grid</x:v>
      </x:c>
      <x:c r="E87" s="41" t="n">
        <x:v>0.50055</x:v>
      </x:c>
      <x:c r="F87" s="41" t="n">
        <x:v>0.120454</x:v>
      </x:c>
      <x:c r="G87" s="41" t="n">
        <x:v>0.380096</x:v>
      </x:c>
      <x:c r="H87" s="41" t="n">
        <x:v>0.50055</x:v>
      </x:c>
      <x:c r="I87" s="41" t="n">
        <x:v>0.410534</x:v>
      </x:c>
      <x:c r="J87" s="41" t="n">
        <x:v>15.382</x:v>
      </x:c>
      <x:c r="K87" s="41" t="n">
        <x:v>14.5758</x:v>
      </x:c>
      <x:c r="L87" s="41" t="n">
        <x:v>6.8025</x:v>
      </x:c>
      <x:c r="M87" s="41" t="n">
        <x:v>-30.7302</x:v>
      </x:c>
      <x:c r="N87" s="41" t="n">
        <x:v>-35.5046</x:v>
      </x:c>
      <x:c r="O87" s="41" t="n">
        <x:v>-56.4737</x:v>
      </x:c>
      <x:c r="P87" s="41" t="str">
        <x:v>1999-01-04</x:v>
      </x:c>
      <x:c r="Q87" s="41" t="str">
        <x:v>2026-05-22</x:v>
      </x:c>
    </x:row>
    <x:row r="88">
      <x:c r="A88" s="41" t="n">
        <x:v>87</x:v>
      </x:c>
      <x:c r="B88" s="41" t="str">
        <x:v>Weekly</x:v>
      </x:c>
      <x:c r="C88" s="41" t="str">
        <x:v>HYP_REFINE_AUTO002_TOPN_6_V1_DDGRID_EXT_R12_C25_E66_CR40_REDD_RECOVERED_DD8_SL25</x:v>
      </x:c>
      <x:c r="D88" s="41" t="str">
        <x:v>dd_guard_grid</x:v>
      </x:c>
      <x:c r="E88" s="41" t="n">
        <x:v>0.500014</x:v>
      </x:c>
      <x:c r="F88" s="41" t="n">
        <x:v>0.120454</x:v>
      </x:c>
      <x:c r="G88" s="41" t="n">
        <x:v>0.37956</x:v>
      </x:c>
      <x:c r="H88" s="41" t="n">
        <x:v>0.500014</x:v>
      </x:c>
      <x:c r="I88" s="41" t="n">
        <x:v>0.333123</x:v>
      </x:c>
      <x:c r="J88" s="41" t="n">
        <x:v>14.7447</x:v>
      </x:c>
      <x:c r="K88" s="41" t="n">
        <x:v>11.743</x:v>
      </x:c>
      <x:c r="L88" s="41" t="n">
        <x:v>6.8025</x:v>
      </x:c>
      <x:c r="M88" s="41" t="n">
        <x:v>-29.4886</x:v>
      </x:c>
      <x:c r="N88" s="41" t="n">
        <x:v>-35.2511</x:v>
      </x:c>
      <x:c r="O88" s="41" t="n">
        <x:v>-56.4737</x:v>
      </x:c>
      <x:c r="P88" s="41" t="str">
        <x:v>1999-01-04</x:v>
      </x:c>
      <x:c r="Q88" s="41" t="str">
        <x:v>2026-05-22</x:v>
      </x:c>
    </x:row>
    <x:row r="89">
      <x:c r="A89" s="41" t="n">
        <x:v>88</x:v>
      </x:c>
      <x:c r="B89" s="41" t="str">
        <x:v>Weekly</x:v>
      </x:c>
      <x:c r="C89" s="41" t="str">
        <x:v>HYP_REFINE_AUTO002_TOPN_6_V1_DDGRID_EXT_R12_C26_E75_CR40_REDD_RECOVERED_DD10_SL20</x:v>
      </x:c>
      <x:c r="D89" s="41" t="str">
        <x:v>dd_guard_grid</x:v>
      </x:c>
      <x:c r="E89" s="41" t="n">
        <x:v>0.499595</x:v>
      </x:c>
      <x:c r="F89" s="41" t="n">
        <x:v>0.120454</x:v>
      </x:c>
      <x:c r="G89" s="41" t="n">
        <x:v>0.379141</x:v>
      </x:c>
      <x:c r="H89" s="41" t="n">
        <x:v>0.499595</x:v>
      </x:c>
      <x:c r="I89" s="41" t="n">
        <x:v>0.403402</x:v>
      </x:c>
      <x:c r="J89" s="41" t="n">
        <x:v>15.3527</x:v>
      </x:c>
      <x:c r="K89" s="41" t="n">
        <x:v>14.3226</x:v>
      </x:c>
      <x:c r="L89" s="41" t="n">
        <x:v>6.8025</x:v>
      </x:c>
      <x:c r="M89" s="41" t="n">
        <x:v>-30.7302</x:v>
      </x:c>
      <x:c r="N89" s="41" t="n">
        <x:v>-35.5046</x:v>
      </x:c>
      <x:c r="O89" s="41" t="n">
        <x:v>-56.4737</x:v>
      </x:c>
      <x:c r="P89" s="41" t="str">
        <x:v>1999-01-04</x:v>
      </x:c>
      <x:c r="Q89" s="41" t="str">
        <x:v>2026-05-22</x:v>
      </x:c>
    </x:row>
    <x:row r="90">
      <x:c r="A90" s="41" t="n">
        <x:v>89</x:v>
      </x:c>
      <x:c r="B90" s="41" t="str">
        <x:v>Weekly</x:v>
      </x:c>
      <x:c r="C90" s="41" t="str">
        <x:v>HYP_REFINE_AUTO002_TOPN_6_V1_DDGRID_EXT_R12_C24_E66_CR50_REDD_RECOVERED_DD10_SL20</x:v>
      </x:c>
      <x:c r="D90" s="41" t="str">
        <x:v>dd_guard_grid</x:v>
      </x:c>
      <x:c r="E90" s="41" t="n">
        <x:v>0.499465</x:v>
      </x:c>
      <x:c r="F90" s="41" t="n">
        <x:v>0.120454</x:v>
      </x:c>
      <x:c r="G90" s="41" t="n">
        <x:v>0.379012</x:v>
      </x:c>
      <x:c r="H90" s="41" t="n">
        <x:v>0.499465</x:v>
      </x:c>
      <x:c r="I90" s="41" t="n">
        <x:v>0.388231</x:v>
      </x:c>
      <x:c r="J90" s="41" t="n">
        <x:v>14.5255</x:v>
      </x:c>
      <x:c r="K90" s="41" t="n">
        <x:v>13.4201</x:v>
      </x:c>
      <x:c r="L90" s="41" t="n">
        <x:v>6.8025</x:v>
      </x:c>
      <x:c r="M90" s="41" t="n">
        <x:v>-29.0822</x:v>
      </x:c>
      <x:c r="N90" s="41" t="n">
        <x:v>-34.5674</x:v>
      </x:c>
      <x:c r="O90" s="41" t="n">
        <x:v>-56.4737</x:v>
      </x:c>
      <x:c r="P90" s="41" t="str">
        <x:v>1999-01-04</x:v>
      </x:c>
      <x:c r="Q90" s="41" t="str">
        <x:v>2026-05-22</x:v>
      </x:c>
    </x:row>
    <x:row r="91">
      <x:c r="A91" s="41" t="n">
        <x:v>90</x:v>
      </x:c>
      <x:c r="B91" s="41" t="str">
        <x:v>Weekly</x:v>
      </x:c>
      <x:c r="C91" s="41" t="str">
        <x:v>HYP_REFINE_AUTO002_TOPN_6_V1_DDGRID_EXT_R12_C26_E66_CR50_REDD_RECOVERED_DD8_SLNONE</x:v>
      </x:c>
      <x:c r="D91" s="41" t="str">
        <x:v>dd_guard_grid</x:v>
      </x:c>
      <x:c r="E91" s="41" t="n">
        <x:v>0.499146</x:v>
      </x:c>
      <x:c r="F91" s="41" t="n">
        <x:v>0.120454</x:v>
      </x:c>
      <x:c r="G91" s="41" t="n">
        <x:v>0.378692</x:v>
      </x:c>
      <x:c r="H91" s="41" t="n">
        <x:v>0.499146</x:v>
      </x:c>
      <x:c r="I91" s="41" t="n">
        <x:v>0.383731</x:v>
      </x:c>
      <x:c r="J91" s="41" t="n">
        <x:v>14.7861</x:v>
      </x:c>
      <x:c r="K91" s="41" t="n">
        <x:v>13.5615</x:v>
      </x:c>
      <x:c r="L91" s="41" t="n">
        <x:v>6.8025</x:v>
      </x:c>
      <x:c r="M91" s="41" t="n">
        <x:v>-29.6228</x:v>
      </x:c>
      <x:c r="N91" s="41" t="n">
        <x:v>-35.341</x:v>
      </x:c>
      <x:c r="O91" s="41" t="n">
        <x:v>-56.4737</x:v>
      </x:c>
      <x:c r="P91" s="41" t="str">
        <x:v>1999-01-04</x:v>
      </x:c>
      <x:c r="Q91" s="41" t="str">
        <x:v>2026-05-22</x:v>
      </x:c>
    </x:row>
    <x:row r="92">
      <x:c r="A92" s="41" t="n">
        <x:v>91</x:v>
      </x:c>
      <x:c r="B92" s="41" t="str">
        <x:v>Weekly</x:v>
      </x:c>
      <x:c r="C92" s="41" t="str">
        <x:v>HYP_REFINE_AUTO002_TOPN_6_V1_DDGRID_EXT_FINE_R12_C25_E66_CR50_REDD_RECOVERED_DD8_SL20</x:v>
      </x:c>
      <x:c r="D92" s="41" t="str">
        <x:v>dd_guard_grid</x:v>
      </x:c>
      <x:c r="E92" s="41" t="n">
        <x:v>0.499141</x:v>
      </x:c>
      <x:c r="F92" s="41" t="n">
        <x:v>0.120454</x:v>
      </x:c>
      <x:c r="G92" s="41" t="n">
        <x:v>0.378687</x:v>
      </x:c>
      <x:c r="H92" s="41" t="n">
        <x:v>0.499141</x:v>
      </x:c>
      <x:c r="I92" s="41" t="n">
        <x:v>0.410173</x:v>
      </x:c>
      <x:c r="J92" s="41" t="n">
        <x:v>14.9379</x:v>
      </x:c>
      <x:c r="K92" s="41" t="n">
        <x:v>14.1538</x:v>
      </x:c>
      <x:c r="L92" s="41" t="n">
        <x:v>6.8025</x:v>
      </x:c>
      <x:c r="M92" s="41" t="n">
        <x:v>-29.9272</x:v>
      </x:c>
      <x:c r="N92" s="41" t="n">
        <x:v>-34.507</x:v>
      </x:c>
      <x:c r="O92" s="41" t="n">
        <x:v>-56.4737</x:v>
      </x:c>
      <x:c r="P92" s="41" t="str">
        <x:v>1999-01-04</x:v>
      </x:c>
      <x:c r="Q92" s="41" t="str">
        <x:v>2026-05-22</x:v>
      </x:c>
    </x:row>
    <x:row r="93">
      <x:c r="A93" s="41" t="n">
        <x:v>92</x:v>
      </x:c>
      <x:c r="B93" s="41" t="str">
        <x:v>Weekly</x:v>
      </x:c>
      <x:c r="C93" s="41" t="str">
        <x:v>HYP_REFINE_AUTO002_TOPN_6_V1_DDGRID_EXT_R12_C25_E66_CR33_REDD_RECOVERED_DD8_SL20</x:v>
      </x:c>
      <x:c r="D93" s="41" t="str">
        <x:v>dd_guard_grid</x:v>
      </x:c>
      <x:c r="E93" s="41" t="n">
        <x:v>0.498396</x:v>
      </x:c>
      <x:c r="F93" s="41" t="n">
        <x:v>0.120454</x:v>
      </x:c>
      <x:c r="G93" s="41" t="n">
        <x:v>0.377942</x:v>
      </x:c>
      <x:c r="H93" s="41" t="n">
        <x:v>0.498396</x:v>
      </x:c>
      <x:c r="I93" s="41" t="n">
        <x:v>0.40825</x:v>
      </x:c>
      <x:c r="J93" s="41" t="n">
        <x:v>14.6011</x:v>
      </x:c>
      <x:c r="K93" s="41" t="n">
        <x:v>13.4537</x:v>
      </x:c>
      <x:c r="L93" s="41" t="n">
        <x:v>6.8025</x:v>
      </x:c>
      <x:c r="M93" s="41" t="n">
        <x:v>-29.2961</x:v>
      </x:c>
      <x:c r="N93" s="41" t="n">
        <x:v>-32.9547</x:v>
      </x:c>
      <x:c r="O93" s="41" t="n">
        <x:v>-56.4737</x:v>
      </x:c>
      <x:c r="P93" s="41" t="str">
        <x:v>1999-01-04</x:v>
      </x:c>
      <x:c r="Q93" s="41" t="str">
        <x:v>2026-05-22</x:v>
      </x:c>
    </x:row>
    <x:row r="94">
      <x:c r="A94" s="41" t="n">
        <x:v>93</x:v>
      </x:c>
      <x:c r="B94" s="41" t="str">
        <x:v>Weekly</x:v>
      </x:c>
      <x:c r="C94" s="41" t="str">
        <x:v>HYP_REFINE_AUTO002_TOPN_6_V1_DDGRID_EXT_R12_C24_E66_CR50_REDD_RECOVERED_DD6_SL20</x:v>
      </x:c>
      <x:c r="D94" s="41" t="str">
        <x:v>dd_guard_grid</x:v>
      </x:c>
      <x:c r="E94" s="41" t="n">
        <x:v>0.497916</x:v>
      </x:c>
      <x:c r="F94" s="41" t="n">
        <x:v>0.120454</x:v>
      </x:c>
      <x:c r="G94" s="41" t="n">
        <x:v>0.377463</x:v>
      </x:c>
      <x:c r="H94" s="41" t="n">
        <x:v>0.497916</x:v>
      </x:c>
      <x:c r="I94" s="41" t="n">
        <x:v>0.395739</x:v>
      </x:c>
      <x:c r="J94" s="41" t="n">
        <x:v>14.4805</x:v>
      </x:c>
      <x:c r="K94" s="41" t="n">
        <x:v>13.6797</x:v>
      </x:c>
      <x:c r="L94" s="41" t="n">
        <x:v>6.8025</x:v>
      </x:c>
      <x:c r="M94" s="41" t="n">
        <x:v>-29.0822</x:v>
      </x:c>
      <x:c r="N94" s="41" t="n">
        <x:v>-34.5674</x:v>
      </x:c>
      <x:c r="O94" s="41" t="n">
        <x:v>-56.4737</x:v>
      </x:c>
      <x:c r="P94" s="41" t="str">
        <x:v>1999-01-04</x:v>
      </x:c>
      <x:c r="Q94" s="41" t="str">
        <x:v>2026-05-22</x:v>
      </x:c>
    </x:row>
    <x:row r="95">
      <x:c r="A95" s="41" t="n">
        <x:v>94</x:v>
      </x:c>
      <x:c r="B95" s="41" t="str">
        <x:v>Weekly</x:v>
      </x:c>
      <x:c r="C95" s="41" t="str">
        <x:v>HYP_REFINE_AUTO002_TOPN_6_V1_DDGRID_EXT_R12_C24_E75_CR50_REDD_RECOVERED_DD8_SLNONE</x:v>
      </x:c>
      <x:c r="D95" s="41" t="str">
        <x:v>dd_guard_grid</x:v>
      </x:c>
      <x:c r="E95" s="41" t="n">
        <x:v>0.497293</x:v>
      </x:c>
      <x:c r="F95" s="41" t="n">
        <x:v>0.120454</x:v>
      </x:c>
      <x:c r="G95" s="41" t="n">
        <x:v>0.376839</x:v>
      </x:c>
      <x:c r="H95" s="41" t="n">
        <x:v>0.497293</x:v>
      </x:c>
      <x:c r="I95" s="41" t="n">
        <x:v>0.387936</x:v>
      </x:c>
      <x:c r="J95" s="41" t="n">
        <x:v>15.062</x:v>
      </x:c>
      <x:c r="K95" s="41" t="n">
        <x:v>14.3017</x:v>
      </x:c>
      <x:c r="L95" s="41" t="n">
        <x:v>6.8025</x:v>
      </x:c>
      <x:c r="M95" s="41" t="n">
        <x:v>-30.288</x:v>
      </x:c>
      <x:c r="N95" s="41" t="n">
        <x:v>-36.8663</x:v>
      </x:c>
      <x:c r="O95" s="41" t="n">
        <x:v>-56.4737</x:v>
      </x:c>
      <x:c r="P95" s="41" t="str">
        <x:v>1999-01-04</x:v>
      </x:c>
      <x:c r="Q95" s="41" t="str">
        <x:v>2026-05-22</x:v>
      </x:c>
    </x:row>
    <x:row r="96">
      <x:c r="A96" s="41" t="n">
        <x:v>95</x:v>
      </x:c>
      <x:c r="B96" s="41" t="str">
        <x:v>Weekly</x:v>
      </x:c>
      <x:c r="C96" s="41" t="str">
        <x:v>HYP_REFINE_AUTO002_TOPN_6_V1_DDGRID_EXT_R14_C25_E75_CR50_REDD_RECOVERED_DD8_SL18</x:v>
      </x:c>
      <x:c r="D96" s="41" t="str">
        <x:v>dd_guard_grid</x:v>
      </x:c>
      <x:c r="E96" s="41" t="n">
        <x:v>0.496875</x:v>
      </x:c>
      <x:c r="F96" s="41" t="n">
        <x:v>0.120454</x:v>
      </x:c>
      <x:c r="G96" s="41" t="n">
        <x:v>0.376421</x:v>
      </x:c>
      <x:c r="H96" s="41" t="n">
        <x:v>0.496875</x:v>
      </x:c>
      <x:c r="I96" s="41" t="n">
        <x:v>0.380818</x:v>
      </x:c>
      <x:c r="J96" s="41" t="n">
        <x:v>15.5274</x:v>
      </x:c>
      <x:c r="K96" s="41" t="n">
        <x:v>13.853</x:v>
      </x:c>
      <x:c r="L96" s="41" t="n">
        <x:v>6.8025</x:v>
      </x:c>
      <x:c r="M96" s="41" t="n">
        <x:v>-31.2501</x:v>
      </x:c>
      <x:c r="N96" s="41" t="n">
        <x:v>-36.377</x:v>
      </x:c>
      <x:c r="O96" s="41" t="n">
        <x:v>-56.4737</x:v>
      </x:c>
      <x:c r="P96" s="41" t="str">
        <x:v>1999-01-04</x:v>
      </x:c>
      <x:c r="Q96" s="41" t="str">
        <x:v>2026-05-22</x:v>
      </x:c>
    </x:row>
    <x:row r="97">
      <x:c r="A97" s="41" t="n">
        <x:v>96</x:v>
      </x:c>
      <x:c r="B97" s="41" t="str">
        <x:v>Weekly</x:v>
      </x:c>
      <x:c r="C97" s="41" t="str">
        <x:v>HYP_REFINE_AUTO002_TOPN_6_V1_DDGRID_EXT_R12_C25_E60_CR50_REDD_RECOVERED_DD10_SL20</x:v>
      </x:c>
      <x:c r="D97" s="41" t="str">
        <x:v>dd_guard_grid</x:v>
      </x:c>
      <x:c r="E97" s="41" t="n">
        <x:v>0.496803</x:v>
      </x:c>
      <x:c r="F97" s="41" t="n">
        <x:v>0.120454</x:v>
      </x:c>
      <x:c r="G97" s="41" t="n">
        <x:v>0.376349</x:v>
      </x:c>
      <x:c r="H97" s="41" t="n">
        <x:v>0.496803</x:v>
      </x:c>
      <x:c r="I97" s="41" t="n">
        <x:v>0.358618</x:v>
      </x:c>
      <x:c r="J97" s="41" t="n">
        <x:v>14.0275</x:v>
      </x:c>
      <x:c r="K97" s="41" t="n">
        <x:v>12.2979</x:v>
      </x:c>
      <x:c r="L97" s="41" t="n">
        <x:v>6.8025</x:v>
      </x:c>
      <x:c r="M97" s="41" t="n">
        <x:v>-28.2355</x:v>
      </x:c>
      <x:c r="N97" s="41" t="n">
        <x:v>-34.2925</x:v>
      </x:c>
      <x:c r="O97" s="41" t="n">
        <x:v>-56.4737</x:v>
      </x:c>
      <x:c r="P97" s="41" t="str">
        <x:v>1999-01-04</x:v>
      </x:c>
      <x:c r="Q97" s="41" t="str">
        <x:v>2026-05-22</x:v>
      </x:c>
    </x:row>
    <x:row r="98">
      <x:c r="A98" s="41" t="n">
        <x:v>97</x:v>
      </x:c>
      <x:c r="B98" s="41" t="str">
        <x:v>Weekly</x:v>
      </x:c>
      <x:c r="C98" s="41" t="str">
        <x:v>HYP_REFINE_AUTO002_TOPN_6_V1_DDGRID_EXT_R10_C25_E66_CR50_REDD_RECOVERED_DD8_SL20</x:v>
      </x:c>
      <x:c r="D98" s="41" t="str">
        <x:v>dd_guard_grid</x:v>
      </x:c>
      <x:c r="E98" s="41" t="n">
        <x:v>0.496772</x:v>
      </x:c>
      <x:c r="F98" s="41" t="n">
        <x:v>0.120454</x:v>
      </x:c>
      <x:c r="G98" s="41" t="n">
        <x:v>0.376318</x:v>
      </x:c>
      <x:c r="H98" s="41" t="n">
        <x:v>0.496772</x:v>
      </x:c>
      <x:c r="I98" s="41" t="n">
        <x:v>0.425072</x:v>
      </x:c>
      <x:c r="J98" s="41" t="n">
        <x:v>14.867</x:v>
      </x:c>
      <x:c r="K98" s="41" t="n">
        <x:v>14.194</x:v>
      </x:c>
      <x:c r="L98" s="41" t="n">
        <x:v>6.8025</x:v>
      </x:c>
      <x:c r="M98" s="41" t="n">
        <x:v>-29.9272</x:v>
      </x:c>
      <x:c r="N98" s="41" t="n">
        <x:v>-33.392</x:v>
      </x:c>
      <x:c r="O98" s="41" t="n">
        <x:v>-56.4737</x:v>
      </x:c>
      <x:c r="P98" s="41" t="str">
        <x:v>1999-01-04</x:v>
      </x:c>
      <x:c r="Q98" s="41" t="str">
        <x:v>2026-05-22</x:v>
      </x:c>
    </x:row>
    <x:row r="99">
      <x:c r="A99" s="41" t="n">
        <x:v>98</x:v>
      </x:c>
      <x:c r="B99" s="41" t="str">
        <x:v>Weekly</x:v>
      </x:c>
      <x:c r="C99" s="41" t="str">
        <x:v>HYP_REFINE_AUTO002_TOPN_6_V1_DDGRID_EXT_R12_C26_E66_CR50_REDD_RECOVERED_DD10_SL20</x:v>
      </x:c>
      <x:c r="D99" s="41" t="str">
        <x:v>dd_guard_grid</x:v>
      </x:c>
      <x:c r="E99" s="41" t="n">
        <x:v>0.496618</x:v>
      </x:c>
      <x:c r="F99" s="41" t="n">
        <x:v>0.120454</x:v>
      </x:c>
      <x:c r="G99" s="41" t="n">
        <x:v>0.376164</x:v>
      </x:c>
      <x:c r="H99" s="41" t="n">
        <x:v>0.496618</x:v>
      </x:c>
      <x:c r="I99" s="41" t="n">
        <x:v>0.376377</x:v>
      </x:c>
      <x:c r="J99" s="41" t="n">
        <x:v>15.2527</x:v>
      </x:c>
      <x:c r="K99" s="41" t="n">
        <x:v>13.4315</x:v>
      </x:c>
      <x:c r="L99" s="41" t="n">
        <x:v>6.8025</x:v>
      </x:c>
      <x:c r="M99" s="41" t="n">
        <x:v>-30.713</x:v>
      </x:c>
      <x:c r="N99" s="41" t="n">
        <x:v>-35.6863</x:v>
      </x:c>
      <x:c r="O99" s="41" t="n">
        <x:v>-56.4737</x:v>
      </x:c>
      <x:c r="P99" s="41" t="str">
        <x:v>1999-01-04</x:v>
      </x:c>
      <x:c r="Q99" s="41" t="str">
        <x:v>2026-05-22</x:v>
      </x:c>
    </x:row>
    <x:row r="100">
      <x:c r="A100" s="41" t="n">
        <x:v>99</x:v>
      </x:c>
      <x:c r="B100" s="41" t="str">
        <x:v>Weekly</x:v>
      </x:c>
      <x:c r="C100" s="41" t="str">
        <x:v>HYP_REFINE_AUTO002_TOPN_6_V1_DDGRID_EXT_R12_C24_E75_CR50_REDD_RECOVERED_DD8_SL25</x:v>
      </x:c>
      <x:c r="D100" s="41" t="str">
        <x:v>dd_guard_grid</x:v>
      </x:c>
      <x:c r="E100" s="41" t="n">
        <x:v>0.496585</x:v>
      </x:c>
      <x:c r="F100" s="41" t="n">
        <x:v>0.120454</x:v>
      </x:c>
      <x:c r="G100" s="41" t="n">
        <x:v>0.376131</x:v>
      </x:c>
      <x:c r="H100" s="41" t="n">
        <x:v>0.496585</x:v>
      </x:c>
      <x:c r="I100" s="41" t="n">
        <x:v>0.374987</x:v>
      </x:c>
      <x:c r="J100" s="41" t="n">
        <x:v>14.8345</x:v>
      </x:c>
      <x:c r="K100" s="41" t="n">
        <x:v>13.9646</x:v>
      </x:c>
      <x:c r="L100" s="41" t="n">
        <x:v>6.8025</x:v>
      </x:c>
      <x:c r="M100" s="41" t="n">
        <x:v>-29.873</x:v>
      </x:c>
      <x:c r="N100" s="41" t="n">
        <x:v>-37.2402</x:v>
      </x:c>
      <x:c r="O100" s="41" t="n">
        <x:v>-56.4737</x:v>
      </x:c>
      <x:c r="P100" s="41" t="str">
        <x:v>1999-01-04</x:v>
      </x:c>
      <x:c r="Q100" s="41" t="str">
        <x:v>2026-05-22</x:v>
      </x:c>
    </x:row>
    <x:row r="101">
      <x:c r="A101" s="41" t="n">
        <x:v>100</x:v>
      </x:c>
      <x:c r="B101" s="41" t="str">
        <x:v>Weekly</x:v>
      </x:c>
      <x:c r="C101" s="41" t="str">
        <x:v>HYP_REFINE_AUTO002_TOPN_6_V1_DDGRID_EXT_R12_C28_E75_CR50_REDD_RECOVERED_DD8_SL22</x:v>
      </x:c>
      <x:c r="D101" s="41" t="str">
        <x:v>dd_guard_grid</x:v>
      </x:c>
      <x:c r="E101" s="41" t="n">
        <x:v>0.494976</x:v>
      </x:c>
      <x:c r="F101" s="41" t="n">
        <x:v>0.120454</x:v>
      </x:c>
      <x:c r="G101" s="41" t="n">
        <x:v>0.374522</x:v>
      </x:c>
      <x:c r="H101" s="41" t="n">
        <x:v>0.494976</x:v>
      </x:c>
      <x:c r="I101" s="41" t="n">
        <x:v>0.363614</x:v>
      </x:c>
      <x:c r="J101" s="41" t="n">
        <x:v>16.247</x:v>
      </x:c>
      <x:c r="K101" s="41" t="n">
        <x:v>14.2853</x:v>
      </x:c>
      <x:c r="L101" s="41" t="n">
        <x:v>6.8025</x:v>
      </x:c>
      <x:c r="M101" s="41" t="n">
        <x:v>-32.8238</x:v>
      </x:c>
      <x:c r="N101" s="41" t="n">
        <x:v>-39.287</x:v>
      </x:c>
      <x:c r="O101" s="41" t="n">
        <x:v>-56.4737</x:v>
      </x:c>
      <x:c r="P101" s="41" t="str">
        <x:v>1999-01-04</x:v>
      </x:c>
      <x:c r="Q101" s="41" t="str">
        <x:v>2026-05-22</x:v>
      </x:c>
    </x:row>
    <x:row r="102">
      <x:c r="A102" s="41" t="n">
        <x:v>101</x:v>
      </x:c>
      <x:c r="B102" s="41" t="str">
        <x:v>Weekly</x:v>
      </x:c>
      <x:c r="C102" s="41" t="str">
        <x:v>HYP_REFINE_AUTO002_TOPN_6_V1_DDGRID_LONG_R12_C22_E70_CR45_REDD_RECOVERED_DD8_SL20</x:v>
      </x:c>
      <x:c r="D102" s="41" t="str">
        <x:v>dd_guard_grid</x:v>
      </x:c>
      <x:c r="E102" s="41" t="n">
        <x:v>0.494872</x:v>
      </x:c>
      <x:c r="F102" s="41" t="n">
        <x:v>0.120454</x:v>
      </x:c>
      <x:c r="G102" s="41" t="n">
        <x:v>0.374418</x:v>
      </x:c>
      <x:c r="H102" s="41" t="n">
        <x:v>0.494872</x:v>
      </x:c>
      <x:c r="I102" s="41" t="n">
        <x:v>0.400686</x:v>
      </x:c>
      <x:c r="J102" s="41" t="n">
        <x:v>13.9527</x:v>
      </x:c>
      <x:c r="K102" s="41" t="n">
        <x:v>13.5823</x:v>
      </x:c>
      <x:c r="L102" s="41" t="n">
        <x:v>6.8025</x:v>
      </x:c>
      <x:c r="M102" s="41" t="n">
        <x:v>-28.1946</x:v>
      </x:c>
      <x:c r="N102" s="41" t="n">
        <x:v>-33.8977</x:v>
      </x:c>
      <x:c r="O102" s="41" t="n">
        <x:v>-56.4737</x:v>
      </x:c>
      <x:c r="P102" s="41" t="str">
        <x:v>1999-01-04</x:v>
      </x:c>
      <x:c r="Q102" s="41" t="str">
        <x:v>2026-05-22</x:v>
      </x:c>
    </x:row>
    <x:row r="103">
      <x:c r="A103" s="41" t="n">
        <x:v>102</x:v>
      </x:c>
      <x:c r="B103" s="41" t="str">
        <x:v>Weekly</x:v>
      </x:c>
      <x:c r="C103" s="41" t="str">
        <x:v>HYP_REFINE_AUTO002_TOPN_6_V1_DDGRID_EXT_R12_C26_E75_CR50_REDD_RECOVERED_DD6_SL25</x:v>
      </x:c>
      <x:c r="D103" s="41" t="str">
        <x:v>dd_guard_grid</x:v>
      </x:c>
      <x:c r="E103" s="41" t="n">
        <x:v>0.494606</x:v>
      </x:c>
      <x:c r="F103" s="41" t="n">
        <x:v>0.120454</x:v>
      </x:c>
      <x:c r="G103" s="41" t="n">
        <x:v>0.374152</x:v>
      </x:c>
      <x:c r="H103" s="41" t="n">
        <x:v>0.494606</x:v>
      </x:c>
      <x:c r="I103" s="41" t="n">
        <x:v>0.362611</x:v>
      </x:c>
      <x:c r="J103" s="41" t="n">
        <x:v>15.449</x:v>
      </x:c>
      <x:c r="K103" s="41" t="n">
        <x:v>13.7635</x:v>
      </x:c>
      <x:c r="L103" s="41" t="n">
        <x:v>6.8025</x:v>
      </x:c>
      <x:c r="M103" s="41" t="n">
        <x:v>-31.2351</x:v>
      </x:c>
      <x:c r="N103" s="41" t="n">
        <x:v>-37.9565</x:v>
      </x:c>
      <x:c r="O103" s="41" t="n">
        <x:v>-56.4737</x:v>
      </x:c>
      <x:c r="P103" s="41" t="str">
        <x:v>1999-01-04</x:v>
      </x:c>
      <x:c r="Q103" s="41" t="str">
        <x:v>2026-05-22</x:v>
      </x:c>
    </x:row>
    <x:row r="104">
      <x:c r="A104" s="41" t="n">
        <x:v>103</x:v>
      </x:c>
      <x:c r="B104" s="41" t="str">
        <x:v>Weekly</x:v>
      </x:c>
      <x:c r="C104" s="41" t="str">
        <x:v>HYP_REFINE_AUTO002_TOPN_6_V1_DDGRID_EXT_R12_C26_E75_CR50_REDD_RECOVERED_DD6_SLNONE</x:v>
      </x:c>
      <x:c r="D104" s="41" t="str">
        <x:v>dd_guard_grid</x:v>
      </x:c>
      <x:c r="E104" s="41" t="n">
        <x:v>0.494486</x:v>
      </x:c>
      <x:c r="F104" s="41" t="n">
        <x:v>0.120454</x:v>
      </x:c>
      <x:c r="G104" s="41" t="n">
        <x:v>0.374032</x:v>
      </x:c>
      <x:c r="H104" s="41" t="n">
        <x:v>0.494486</x:v>
      </x:c>
      <x:c r="I104" s="41" t="n">
        <x:v>0.376805</x:v>
      </x:c>
      <x:c r="J104" s="41" t="n">
        <x:v>15.1548</x:v>
      </x:c>
      <x:c r="K104" s="41" t="n">
        <x:v>14.4197</x:v>
      </x:c>
      <x:c r="L104" s="41" t="n">
        <x:v>6.8025</x:v>
      </x:c>
      <x:c r="M104" s="41" t="n">
        <x:v>-30.6476</x:v>
      </x:c>
      <x:c r="N104" s="41" t="n">
        <x:v>-38.2683</x:v>
      </x:c>
      <x:c r="O104" s="41" t="n">
        <x:v>-56.4737</x:v>
      </x:c>
      <x:c r="P104" s="41" t="str">
        <x:v>1999-01-04</x:v>
      </x:c>
      <x:c r="Q104" s="41" t="str">
        <x:v>2026-05-22</x:v>
      </x:c>
    </x:row>
    <x:row r="105">
      <x:c r="A105" s="41" t="n">
        <x:v>104</x:v>
      </x:c>
      <x:c r="B105" s="41" t="str">
        <x:v>Weekly</x:v>
      </x:c>
      <x:c r="C105" s="41" t="str">
        <x:v>HYP_REFINE_AUTO002_TOPN_6_V1_DDGRID_EXT_FINE_R12_C24_E75_CR50_REDD_RECOVERED_DD8_SL20</x:v>
      </x:c>
      <x:c r="D105" s="41" t="str">
        <x:v>dd_guard_grid</x:v>
      </x:c>
      <x:c r="E105" s="41" t="n">
        <x:v>0.494382</x:v>
      </x:c>
      <x:c r="F105" s="41" t="n">
        <x:v>0.120454</x:v>
      </x:c>
      <x:c r="G105" s="41" t="n">
        <x:v>0.373928</x:v>
      </x:c>
      <x:c r="H105" s="41" t="n">
        <x:v>0.494382</x:v>
      </x:c>
      <x:c r="I105" s="41" t="n">
        <x:v>0.407974</x:v>
      </x:c>
      <x:c r="J105" s="41" t="n">
        <x:v>14.8535</x:v>
      </x:c>
      <x:c r="K105" s="41" t="n">
        <x:v>14.7036</x:v>
      </x:c>
      <x:c r="L105" s="41" t="n">
        <x:v>6.8025</x:v>
      </x:c>
      <x:c r="M105" s="41" t="n">
        <x:v>-30.0445</x:v>
      </x:c>
      <x:c r="N105" s="41" t="n">
        <x:v>-36.0406</x:v>
      </x:c>
      <x:c r="O105" s="41" t="n">
        <x:v>-56.4737</x:v>
      </x:c>
      <x:c r="P105" s="41" t="str">
        <x:v>1999-01-04</x:v>
      </x:c>
      <x:c r="Q105" s="41" t="str">
        <x:v>2026-05-22</x:v>
      </x:c>
    </x:row>
    <x:row r="106">
      <x:c r="A106" s="41" t="n">
        <x:v>105</x:v>
      </x:c>
      <x:c r="B106" s="41" t="str">
        <x:v>Weekly</x:v>
      </x:c>
      <x:c r="C106" s="41" t="str">
        <x:v>HYP_REFINE_AUTO002_TOPN_6_V1_DDGRID_EXT_R12_C26_E75_CR50_REDD_RECOVERED_DD6_SL22</x:v>
      </x:c>
      <x:c r="D106" s="41" t="str">
        <x:v>dd_guard_grid</x:v>
      </x:c>
      <x:c r="E106" s="41" t="n">
        <x:v>0.494366</x:v>
      </x:c>
      <x:c r="F106" s="41" t="n">
        <x:v>0.120454</x:v>
      </x:c>
      <x:c r="G106" s="41" t="n">
        <x:v>0.373912</x:v>
      </x:c>
      <x:c r="H106" s="41" t="n">
        <x:v>0.494366</x:v>
      </x:c>
      <x:c r="I106" s="41" t="n">
        <x:v>0.379139</x:v>
      </x:c>
      <x:c r="J106" s="41" t="n">
        <x:v>15.3857</x:v>
      </x:c>
      <x:c r="K106" s="41" t="n">
        <x:v>14.2724</x:v>
      </x:c>
      <x:c r="L106" s="41" t="n">
        <x:v>6.8025</x:v>
      </x:c>
      <x:c r="M106" s="41" t="n">
        <x:v>-31.1222</x:v>
      </x:c>
      <x:c r="N106" s="41" t="n">
        <x:v>-37.6443</x:v>
      </x:c>
      <x:c r="O106" s="41" t="n">
        <x:v>-56.4737</x:v>
      </x:c>
      <x:c r="P106" s="41" t="str">
        <x:v>1999-01-04</x:v>
      </x:c>
      <x:c r="Q106" s="41" t="str">
        <x:v>2026-05-22</x:v>
      </x:c>
    </x:row>
    <x:row r="107">
      <x:c r="A107" s="41" t="n">
        <x:v>106</x:v>
      </x:c>
      <x:c r="B107" s="41" t="str">
        <x:v>Weekly</x:v>
      </x:c>
      <x:c r="C107" s="41" t="str">
        <x:v>HYP_REFINE_AUTO002_TOPN_6_V1_DDGRID_LONG_R12_C23_E75_CR42_REDD_RECOVERED_DD8_SL24</x:v>
      </x:c>
      <x:c r="D107" s="41" t="str">
        <x:v>dd_guard_grid</x:v>
      </x:c>
      <x:c r="E107" s="41" t="n">
        <x:v>0.493873</x:v>
      </x:c>
      <x:c r="F107" s="41" t="n">
        <x:v>0.120454</x:v>
      </x:c>
      <x:c r="G107" s="41" t="n">
        <x:v>0.373419</x:v>
      </x:c>
      <x:c r="H107" s="41" t="n">
        <x:v>0.493873</x:v>
      </x:c>
      <x:c r="I107" s="41" t="n">
        <x:v>0.410352</x:v>
      </x:c>
      <x:c r="J107" s="41" t="n">
        <x:v>14.0691</x:v>
      </x:c>
      <x:c r="K107" s="41" t="n">
        <x:v>14.1355</x:v>
      </x:c>
      <x:c r="L107" s="41" t="n">
        <x:v>6.8025</x:v>
      </x:c>
      <x:c r="M107" s="41" t="n">
        <x:v>-28.4872</x:v>
      </x:c>
      <x:c r="N107" s="41" t="n">
        <x:v>-34.4473</x:v>
      </x:c>
      <x:c r="O107" s="41" t="n">
        <x:v>-56.4737</x:v>
      </x:c>
      <x:c r="P107" s="41" t="str">
        <x:v>1999-01-04</x:v>
      </x:c>
      <x:c r="Q107" s="41" t="str">
        <x:v>2026-05-22</x:v>
      </x:c>
    </x:row>
    <x:row r="108">
      <x:c r="A108" s="41" t="n">
        <x:v>107</x:v>
      </x:c>
      <x:c r="B108" s="41" t="str">
        <x:v>Weekly</x:v>
      </x:c>
      <x:c r="C108" s="41" t="str">
        <x:v>HYP_REFINE_AUTO002_TOPN_6_V1_DDGRID_LONG_R12_C22_E68_CR45_REDD_RECOVERED_DD8_SL20</x:v>
      </x:c>
      <x:c r="D108" s="41" t="str">
        <x:v>dd_guard_grid</x:v>
      </x:c>
      <x:c r="E108" s="41" t="n">
        <x:v>0.493838</x:v>
      </x:c>
      <x:c r="F108" s="41" t="n">
        <x:v>0.120454</x:v>
      </x:c>
      <x:c r="G108" s="41" t="n">
        <x:v>0.373385</x:v>
      </x:c>
      <x:c r="H108" s="41" t="n">
        <x:v>0.493838</x:v>
      </x:c>
      <x:c r="I108" s="41" t="n">
        <x:v>0.404172</x:v>
      </x:c>
      <x:c r="J108" s="41" t="n">
        <x:v>13.8229</x:v>
      </x:c>
      <x:c r="K108" s="41" t="n">
        <x:v>13.5279</x:v>
      </x:c>
      <x:c r="L108" s="41" t="n">
        <x:v>6.8025</x:v>
      </x:c>
      <x:c r="M108" s="41" t="n">
        <x:v>-27.9908</x:v>
      </x:c>
      <x:c r="N108" s="41" t="n">
        <x:v>-33.4707</x:v>
      </x:c>
      <x:c r="O108" s="41" t="n">
        <x:v>-56.4737</x:v>
      </x:c>
      <x:c r="P108" s="41" t="str">
        <x:v>1999-01-04</x:v>
      </x:c>
      <x:c r="Q108" s="41" t="str">
        <x:v>2026-05-22</x:v>
      </x:c>
    </x:row>
    <x:row r="109">
      <x:c r="A109" s="41" t="n">
        <x:v>108</x:v>
      </x:c>
      <x:c r="B109" s="41" t="str">
        <x:v>Weekly</x:v>
      </x:c>
      <x:c r="C109" s="41" t="str">
        <x:v>HYP_REFINE_AUTO002_TOPN_6_V1_DDGRID_EXT_FINE_R12_C25_E75_CR50_REDD_RECOVERED_DD8_SL22</x:v>
      </x:c>
      <x:c r="D109" s="41" t="str">
        <x:v>dd_guard_grid</x:v>
      </x:c>
      <x:c r="E109" s="41" t="n">
        <x:v>0.493828</x:v>
      </x:c>
      <x:c r="F109" s="41" t="n">
        <x:v>0.120454</x:v>
      </x:c>
      <x:c r="G109" s="41" t="n">
        <x:v>0.373374</x:v>
      </x:c>
      <x:c r="H109" s="41" t="n">
        <x:v>0.493828</x:v>
      </x:c>
      <x:c r="I109" s="41" t="n">
        <x:v>0.392343</x:v>
      </x:c>
      <x:c r="J109" s="41" t="n">
        <x:v>15.252</x:v>
      </x:c>
      <x:c r="K109" s="41" t="n">
        <x:v>14.445</x:v>
      </x:c>
      <x:c r="L109" s="41" t="n">
        <x:v>6.8025</x:v>
      </x:c>
      <x:c r="M109" s="41" t="n">
        <x:v>-30.8852</x:v>
      </x:c>
      <x:c r="N109" s="41" t="n">
        <x:v>-36.8172</x:v>
      </x:c>
      <x:c r="O109" s="41" t="n">
        <x:v>-56.4737</x:v>
      </x:c>
      <x:c r="P109" s="41" t="str">
        <x:v>1999-01-04</x:v>
      </x:c>
      <x:c r="Q109" s="41" t="str">
        <x:v>2026-05-22</x:v>
      </x:c>
    </x:row>
    <x:row r="110">
      <x:c r="A110" s="41" t="n">
        <x:v>109</x:v>
      </x:c>
      <x:c r="B110" s="41" t="str">
        <x:v>Weekly</x:v>
      </x:c>
      <x:c r="C110" s="41" t="str">
        <x:v>HYP_REFINE_AUTO002_TOPN_6_V1_DDGRID_EXT_FINE_R12_C25_E75_CR50_REDD_RECOVERED_DD8_SL18</x:v>
      </x:c>
      <x:c r="D110" s="41" t="str">
        <x:v>dd_guard_grid</x:v>
      </x:c>
      <x:c r="E110" s="41" t="n">
        <x:v>0.493453</x:v>
      </x:c>
      <x:c r="F110" s="41" t="n">
        <x:v>0.120454</x:v>
      </x:c>
      <x:c r="G110" s="41" t="n">
        <x:v>0.372999</x:v>
      </x:c>
      <x:c r="H110" s="41" t="n">
        <x:v>0.493453</x:v>
      </x:c>
      <x:c r="I110" s="41" t="n">
        <x:v>0.394902</x:v>
      </x:c>
      <x:c r="J110" s="41" t="n">
        <x:v>15.2386</x:v>
      </x:c>
      <x:c r="K110" s="41" t="n">
        <x:v>14.0793</x:v>
      </x:c>
      <x:c r="L110" s="41" t="n">
        <x:v>6.8025</x:v>
      </x:c>
      <x:c r="M110" s="41" t="n">
        <x:v>-30.8816</x:v>
      </x:c>
      <x:c r="N110" s="41" t="n">
        <x:v>-35.6527</x:v>
      </x:c>
      <x:c r="O110" s="41" t="n">
        <x:v>-56.4737</x:v>
      </x:c>
      <x:c r="P110" s="41" t="str">
        <x:v>1999-01-04</x:v>
      </x:c>
      <x:c r="Q110" s="41" t="str">
        <x:v>2026-05-22</x:v>
      </x:c>
    </x:row>
    <x:row r="111">
      <x:c r="A111" s="41" t="n">
        <x:v>110</x:v>
      </x:c>
      <x:c r="B111" s="41" t="str">
        <x:v>Weekly</x:v>
      </x:c>
      <x:c r="C111" s="41" t="str">
        <x:v>HYP_REFINE_AUTO002_TOPN_6_V1_DDGRID_EXT_R12_C26_E66_CR50_REDD_RECOVERED_DD8_SL25</x:v>
      </x:c>
      <x:c r="D111" s="41" t="str">
        <x:v>dd_guard_grid</x:v>
      </x:c>
      <x:c r="E111" s="41" t="n">
        <x:v>0.49341</x:v>
      </x:c>
      <x:c r="F111" s="41" t="n">
        <x:v>0.120454</x:v>
      </x:c>
      <x:c r="G111" s="41" t="n">
        <x:v>0.372956</x:v>
      </x:c>
      <x:c r="H111" s="41" t="n">
        <x:v>0.49341</x:v>
      </x:c>
      <x:c r="I111" s="41" t="n">
        <x:v>0.359527</x:v>
      </x:c>
      <x:c r="J111" s="41" t="n">
        <x:v>14.8532</x:v>
      </x:c>
      <x:c r="K111" s="41" t="n">
        <x:v>12.9707</x:v>
      </x:c>
      <x:c r="L111" s="41" t="n">
        <x:v>6.8025</x:v>
      </x:c>
      <x:c r="M111" s="41" t="n">
        <x:v>-30.1032</x:v>
      </x:c>
      <x:c r="N111" s="41" t="n">
        <x:v>-36.0771</x:v>
      </x:c>
      <x:c r="O111" s="41" t="n">
        <x:v>-56.4737</x:v>
      </x:c>
      <x:c r="P111" s="41" t="str">
        <x:v>1999-01-04</x:v>
      </x:c>
      <x:c r="Q111" s="41" t="str">
        <x:v>2026-05-22</x:v>
      </x:c>
    </x:row>
    <x:row r="112">
      <x:c r="A112" s="41" t="n">
        <x:v>111</x:v>
      </x:c>
      <x:c r="B112" s="41" t="str">
        <x:v>Weekly</x:v>
      </x:c>
      <x:c r="C112" s="41" t="str">
        <x:v>HYP_REFINE_AUTO002_TOPN_6_V1_DDGRID_EXT_R12_C25_E66_CR50_REDD_RECOVERED_DD12_SL22</x:v>
      </x:c>
      <x:c r="D112" s="41" t="str">
        <x:v>dd_guard_grid</x:v>
      </x:c>
      <x:c r="E112" s="41" t="n">
        <x:v>0.493098</x:v>
      </x:c>
      <x:c r="F112" s="41" t="n">
        <x:v>0.120454</x:v>
      </x:c>
      <x:c r="G112" s="41" t="n">
        <x:v>0.372644</x:v>
      </x:c>
      <x:c r="H112" s="41" t="n">
        <x:v>0.493098</x:v>
      </x:c>
      <x:c r="I112" s="41" t="n">
        <x:v>0.373177</x:v>
      </x:c>
      <x:c r="J112" s="41" t="n">
        <x:v>14.7374</x:v>
      </x:c>
      <x:c r="K112" s="41" t="n">
        <x:v>13.2678</x:v>
      </x:c>
      <x:c r="L112" s="41" t="n">
        <x:v>6.8025</x:v>
      </x:c>
      <x:c r="M112" s="41" t="n">
        <x:v>-29.8873</x:v>
      </x:c>
      <x:c r="N112" s="41" t="n">
        <x:v>-35.5538</x:v>
      </x:c>
      <x:c r="O112" s="41" t="n">
        <x:v>-56.4737</x:v>
      </x:c>
      <x:c r="P112" s="41" t="str">
        <x:v>1999-01-04</x:v>
      </x:c>
      <x:c r="Q112" s="41" t="str">
        <x:v>2026-05-22</x:v>
      </x:c>
    </x:row>
    <x:row r="113">
      <x:c r="A113" s="41" t="n">
        <x:v>112</x:v>
      </x:c>
      <x:c r="B113" s="41" t="str">
        <x:v>Weekly</x:v>
      </x:c>
      <x:c r="C113" s="41" t="str">
        <x:v>HYP_REFINE_AUTO002_TOPN_6_V1_DDGRID_EXT_R12_C25_E60_CR50_REDD_RECOVERED_DD10_SL22</x:v>
      </x:c>
      <x:c r="D113" s="41" t="str">
        <x:v>dd_guard_grid</x:v>
      </x:c>
      <x:c r="E113" s="41" t="n">
        <x:v>0.492843</x:v>
      </x:c>
      <x:c r="F113" s="41" t="n">
        <x:v>0.120454</x:v>
      </x:c>
      <x:c r="G113" s="41" t="n">
        <x:v>0.372389</x:v>
      </x:c>
      <x:c r="H113" s="41" t="n">
        <x:v>0.492843</x:v>
      </x:c>
      <x:c r="I113" s="41" t="n">
        <x:v>0.367808</x:v>
      </x:c>
      <x:c r="J113" s="41" t="n">
        <x:v>13.8484</x:v>
      </x:c>
      <x:c r="K113" s="41" t="n">
        <x:v>12.4244</x:v>
      </x:c>
      <x:c r="L113" s="41" t="n">
        <x:v>6.8025</x:v>
      </x:c>
      <x:c r="M113" s="41" t="n">
        <x:v>-28.0991</x:v>
      </x:c>
      <x:c r="N113" s="41" t="n">
        <x:v>-33.7796</x:v>
      </x:c>
      <x:c r="O113" s="41" t="n">
        <x:v>-56.4737</x:v>
      </x:c>
      <x:c r="P113" s="41" t="str">
        <x:v>1999-01-04</x:v>
      </x:c>
      <x:c r="Q113" s="41" t="str">
        <x:v>2026-05-22</x:v>
      </x:c>
    </x:row>
    <x:row r="114">
      <x:c r="A114" s="41" t="n">
        <x:v>113</x:v>
      </x:c>
      <x:c r="B114" s="41" t="str">
        <x:v>Weekly</x:v>
      </x:c>
      <x:c r="C114" s="41" t="str">
        <x:v>HYP_REFINE_AUTO002_TOPN_6_V1_DDGRID_EXT_R12_C28_E75_CR50_REDD_RECOVERED_DD8_SL20</x:v>
      </x:c>
      <x:c r="D114" s="41" t="str">
        <x:v>dd_guard_grid</x:v>
      </x:c>
      <x:c r="E114" s="41" t="n">
        <x:v>0.492738</x:v>
      </x:c>
      <x:c r="F114" s="41" t="n">
        <x:v>0.120454</x:v>
      </x:c>
      <x:c r="G114" s="41" t="n">
        <x:v>0.372284</x:v>
      </x:c>
      <x:c r="H114" s="41" t="n">
        <x:v>0.492738</x:v>
      </x:c>
      <x:c r="I114" s="41" t="n">
        <x:v>0.383445</x:v>
      </x:c>
      <x:c r="J114" s="41" t="n">
        <x:v>16.2083</x:v>
      </x:c>
      <x:c r="K114" s="41" t="n">
        <x:v>14.8691</x:v>
      </x:c>
      <x:c r="L114" s="41" t="n">
        <x:v>6.8025</x:v>
      </x:c>
      <x:c r="M114" s="41" t="n">
        <x:v>-32.8943</x:v>
      </x:c>
      <x:c r="N114" s="41" t="n">
        <x:v>-38.7776</x:v>
      </x:c>
      <x:c r="O114" s="41" t="n">
        <x:v>-56.4737</x:v>
      </x:c>
      <x:c r="P114" s="41" t="str">
        <x:v>1999-01-04</x:v>
      </x:c>
      <x:c r="Q114" s="41" t="str">
        <x:v>2026-05-22</x:v>
      </x:c>
    </x:row>
    <x:row r="115">
      <x:c r="A115" s="41" t="n">
        <x:v>114</x:v>
      </x:c>
      <x:c r="B115" s="41" t="str">
        <x:v>Weekly</x:v>
      </x:c>
      <x:c r="C115" s="41" t="str">
        <x:v>HYP_REFINE_AUTO002_TOPN_6_V1_DDGRID_EXT_R12_C28_E75_CR50_REDD_RECOVERED_DD10_SL20</x:v>
      </x:c>
      <x:c r="D115" s="41" t="str">
        <x:v>dd_guard_grid</x:v>
      </x:c>
      <x:c r="E115" s="41" t="n">
        <x:v>0.49259</x:v>
      </x:c>
      <x:c r="F115" s="41" t="n">
        <x:v>0.120454</x:v>
      </x:c>
      <x:c r="G115" s="41" t="n">
        <x:v>0.372136</x:v>
      </x:c>
      <x:c r="H115" s="41" t="n">
        <x:v>0.49259</x:v>
      </x:c>
      <x:c r="I115" s="41" t="n">
        <x:v>0.377969</x:v>
      </x:c>
      <x:c r="J115" s="41" t="n">
        <x:v>16.2034</x:v>
      </x:c>
      <x:c r="K115" s="41" t="n">
        <x:v>14.6567</x:v>
      </x:c>
      <x:c r="L115" s="41" t="n">
        <x:v>6.8025</x:v>
      </x:c>
      <x:c r="M115" s="41" t="n">
        <x:v>-32.8943</x:v>
      </x:c>
      <x:c r="N115" s="41" t="n">
        <x:v>-38.7776</x:v>
      </x:c>
      <x:c r="O115" s="41" t="n">
        <x:v>-56.4737</x:v>
      </x:c>
      <x:c r="P115" s="41" t="str">
        <x:v>1999-01-04</x:v>
      </x:c>
      <x:c r="Q115" s="41" t="str">
        <x:v>2026-05-22</x:v>
      </x:c>
    </x:row>
    <x:row r="116">
      <x:c r="A116" s="41" t="n">
        <x:v>115</x:v>
      </x:c>
      <x:c r="B116" s="41" t="str">
        <x:v>Weekly</x:v>
      </x:c>
      <x:c r="C116" s="41" t="str">
        <x:v>HYP_REFINE_AUTO002_TOPN_6_V1_DDGRID_EXT_R12_C22_E66_CR50_REDD_RECOVERED_DD8_SL20</x:v>
      </x:c>
      <x:c r="D116" s="41" t="str">
        <x:v>dd_guard_grid</x:v>
      </x:c>
      <x:c r="E116" s="41" t="n">
        <x:v>0.492428</x:v>
      </x:c>
      <x:c r="F116" s="41" t="n">
        <x:v>0.120454</x:v>
      </x:c>
      <x:c r="G116" s="41" t="n">
        <x:v>0.371974</x:v>
      </x:c>
      <x:c r="H116" s="41" t="n">
        <x:v>0.492428</x:v>
      </x:c>
      <x:c r="I116" s="41" t="n">
        <x:v>0.383422</x:v>
      </x:c>
      <x:c r="J116" s="41" t="n">
        <x:v>13.964</x:v>
      </x:c>
      <x:c r="K116" s="41" t="n">
        <x:v>13.124</x:v>
      </x:c>
      <x:c r="L116" s="41" t="n">
        <x:v>6.8025</x:v>
      </x:c>
      <x:c r="M116" s="41" t="n">
        <x:v>-28.3575</x:v>
      </x:c>
      <x:c r="N116" s="41" t="n">
        <x:v>-34.2286</x:v>
      </x:c>
      <x:c r="O116" s="41" t="n">
        <x:v>-56.4737</x:v>
      </x:c>
      <x:c r="P116" s="41" t="str">
        <x:v>1999-01-04</x:v>
      </x:c>
      <x:c r="Q116" s="41" t="str">
        <x:v>2026-05-22</x:v>
      </x:c>
    </x:row>
    <x:row r="117">
      <x:c r="A117" s="41" t="n">
        <x:v>116</x:v>
      </x:c>
      <x:c r="B117" s="41" t="str">
        <x:v>Weekly</x:v>
      </x:c>
      <x:c r="C117" s="41" t="str">
        <x:v>HYP_REFINE_AUTO002_TOPN_6_V1_DDGRID_EXT_FINE_R10_C24_E75_CR50_REDD_RECOVERED_DD8_SL20</x:v>
      </x:c>
      <x:c r="D117" s="41" t="str">
        <x:v>dd_guard_grid</x:v>
      </x:c>
      <x:c r="E117" s="41" t="n">
        <x:v>0.49187</x:v>
      </x:c>
      <x:c r="F117" s="41" t="n">
        <x:v>0.120454</x:v>
      </x:c>
      <x:c r="G117" s="41" t="n">
        <x:v>0.371416</x:v>
      </x:c>
      <x:c r="H117" s="41" t="n">
        <x:v>0.49187</x:v>
      </x:c>
      <x:c r="I117" s="41" t="n">
        <x:v>0.40412</x:v>
      </x:c>
      <x:c r="J117" s="41" t="n">
        <x:v>14.778</x:v>
      </x:c>
      <x:c r="K117" s="41" t="n">
        <x:v>14.5647</x:v>
      </x:c>
      <x:c r="L117" s="41" t="n">
        <x:v>6.8025</x:v>
      </x:c>
      <x:c r="M117" s="41" t="n">
        <x:v>-30.0445</x:v>
      </x:c>
      <x:c r="N117" s="41" t="n">
        <x:v>-36.0406</x:v>
      </x:c>
      <x:c r="O117" s="41" t="n">
        <x:v>-56.4737</x:v>
      </x:c>
      <x:c r="P117" s="41" t="str">
        <x:v>1999-01-04</x:v>
      </x:c>
      <x:c r="Q117" s="41" t="str">
        <x:v>2026-05-22</x:v>
      </x:c>
    </x:row>
    <x:row r="118">
      <x:c r="A118" s="41" t="n">
        <x:v>117</x:v>
      </x:c>
      <x:c r="B118" s="41" t="str">
        <x:v>Weekly</x:v>
      </x:c>
      <x:c r="C118" s="41" t="str">
        <x:v>HYP_REFINE_AUTO002_TOPN_6_V1_DDGRID_EXT_R12_C26_E66_CR40_REDD_RECOVERED_DD8_SL20</x:v>
      </x:c>
      <x:c r="D118" s="41" t="str">
        <x:v>dd_guard_grid</x:v>
      </x:c>
      <x:c r="E118" s="41" t="n">
        <x:v>0.490993</x:v>
      </x:c>
      <x:c r="F118" s="41" t="n">
        <x:v>0.120454</x:v>
      </x:c>
      <x:c r="G118" s="41" t="n">
        <x:v>0.370539</x:v>
      </x:c>
      <x:c r="H118" s="41" t="n">
        <x:v>0.490993</x:v>
      </x:c>
      <x:c r="I118" s="41" t="n">
        <x:v>0.388639</x:v>
      </x:c>
      <x:c r="J118" s="41" t="n">
        <x:v>14.7852</x:v>
      </x:c>
      <x:c r="K118" s="41" t="n">
        <x:v>13.7682</x:v>
      </x:c>
      <x:c r="L118" s="41" t="n">
        <x:v>6.8025</x:v>
      </x:c>
      <x:c r="M118" s="41" t="n">
        <x:v>-30.1128</x:v>
      </x:c>
      <x:c r="N118" s="41" t="n">
        <x:v>-35.4266</x:v>
      </x:c>
      <x:c r="O118" s="41" t="n">
        <x:v>-56.4737</x:v>
      </x:c>
      <x:c r="P118" s="41" t="str">
        <x:v>1999-01-04</x:v>
      </x:c>
      <x:c r="Q118" s="41" t="str">
        <x:v>2026-05-22</x:v>
      </x:c>
    </x:row>
    <x:row r="119">
      <x:c r="A119" s="41" t="n">
        <x:v>118</x:v>
      </x:c>
      <x:c r="B119" s="41" t="str">
        <x:v>Weekly</x:v>
      </x:c>
      <x:c r="C119" s="41" t="str">
        <x:v>HYP_REFINE_AUTO002_TOPN_6_V1_DDGRID_EXT_R12_C24_E75_CR50_REDD_RECOVERED_DD10_SL22</x:v>
      </x:c>
      <x:c r="D119" s="41" t="str">
        <x:v>dd_guard_grid</x:v>
      </x:c>
      <x:c r="E119" s="41" t="n">
        <x:v>0.490768</x:v>
      </x:c>
      <x:c r="F119" s="41" t="n">
        <x:v>0.120454</x:v>
      </x:c>
      <x:c r="G119" s="41" t="n">
        <x:v>0.370314</x:v>
      </x:c>
      <x:c r="H119" s="41" t="n">
        <x:v>0.490768</x:v>
      </x:c>
      <x:c r="I119" s="41" t="n">
        <x:v>0.390582</x:v>
      </x:c>
      <x:c r="J119" s="41" t="n">
        <x:v>14.6756</x:v>
      </x:c>
      <x:c r="K119" s="41" t="n">
        <x:v>14.2981</x:v>
      </x:c>
      <x:c r="L119" s="41" t="n">
        <x:v>6.8025</x:v>
      </x:c>
      <x:c r="M119" s="41" t="n">
        <x:v>-29.9033</x:v>
      </x:c>
      <x:c r="N119" s="41" t="n">
        <x:v>-36.6071</x:v>
      </x:c>
      <x:c r="O119" s="41" t="n">
        <x:v>-56.4737</x:v>
      </x:c>
      <x:c r="P119" s="41" t="str">
        <x:v>1999-01-04</x:v>
      </x:c>
      <x:c r="Q119" s="41" t="str">
        <x:v>2026-05-22</x:v>
      </x:c>
    </x:row>
    <x:row r="120">
      <x:c r="A120" s="41" t="n">
        <x:v>119</x:v>
      </x:c>
      <x:c r="B120" s="41" t="str">
        <x:v>Weekly</x:v>
      </x:c>
      <x:c r="C120" s="41" t="str">
        <x:v>HYP_REFINE_AUTO002_TOPN_6_V1_DDGRID_LONG_R13_C21_E75_CR45_REDD_RECOVERED_DD8_SL20</x:v>
      </x:c>
      <x:c r="D120" s="41" t="str">
        <x:v>dd_guard_grid</x:v>
      </x:c>
      <x:c r="E120" s="41" t="n">
        <x:v>0.489806</x:v>
      </x:c>
      <x:c r="F120" s="41" t="n">
        <x:v>0.120454</x:v>
      </x:c>
      <x:c r="G120" s="41" t="n">
        <x:v>0.369352</x:v>
      </x:c>
      <x:c r="H120" s="41" t="n">
        <x:v>0.489806</x:v>
      </x:c>
      <x:c r="I120" s="41" t="n">
        <x:v>0.406359</x:v>
      </x:c>
      <x:c r="J120" s="41" t="n">
        <x:v>14.3343</x:v>
      </x:c>
      <x:c r="K120" s="41" t="n">
        <x:v>13.6992</x:v>
      </x:c>
      <x:c r="L120" s="41" t="n">
        <x:v>6.8025</x:v>
      </x:c>
      <x:c r="M120" s="41" t="n">
        <x:v>-29.2654</x:v>
      </x:c>
      <x:c r="N120" s="41" t="n">
        <x:v>-33.712</x:v>
      </x:c>
      <x:c r="O120" s="41" t="n">
        <x:v>-56.4737</x:v>
      </x:c>
      <x:c r="P120" s="41" t="str">
        <x:v>1999-01-04</x:v>
      </x:c>
      <x:c r="Q120" s="41" t="str">
        <x:v>2026-05-22</x:v>
      </x:c>
    </x:row>
    <x:row r="121">
      <x:c r="A121" s="41" t="n">
        <x:v>120</x:v>
      </x:c>
      <x:c r="B121" s="41" t="str">
        <x:v>Weekly</x:v>
      </x:c>
      <x:c r="C121" s="41" t="str">
        <x:v>HYP_REFINE_AUTO002_TOPN_6_V1_DDGRID_EXT_R12_C24_E66_CR40_REDD_RECOVERED_DD6_SL20</x:v>
      </x:c>
      <x:c r="D121" s="41" t="str">
        <x:v>dd_guard_grid</x:v>
      </x:c>
      <x:c r="E121" s="41" t="n">
        <x:v>0.489733</x:v>
      </x:c>
      <x:c r="F121" s="41" t="n">
        <x:v>0.120454</x:v>
      </x:c>
      <x:c r="G121" s="41" t="n">
        <x:v>0.369279</x:v>
      </x:c>
      <x:c r="H121" s="41" t="n">
        <x:v>0.489733</x:v>
      </x:c>
      <x:c r="I121" s="41" t="n">
        <x:v>0.404727</x:v>
      </x:c>
      <x:c r="J121" s="41" t="n">
        <x:v>14.1536</x:v>
      </x:c>
      <x:c r="K121" s="41" t="n">
        <x:v>13.7184</x:v>
      </x:c>
      <x:c r="L121" s="41" t="n">
        <x:v>6.8025</x:v>
      </x:c>
      <x:c r="M121" s="41" t="n">
        <x:v>-28.9006</x:v>
      </x:c>
      <x:c r="N121" s="41" t="n">
        <x:v>-33.8953</x:v>
      </x:c>
      <x:c r="O121" s="41" t="n">
        <x:v>-56.4737</x:v>
      </x:c>
      <x:c r="P121" s="41" t="str">
        <x:v>1999-01-04</x:v>
      </x:c>
      <x:c r="Q121" s="41" t="str">
        <x:v>2026-05-22</x:v>
      </x:c>
    </x:row>
    <x:row r="122">
      <x:c r="A122" s="41" t="n">
        <x:v>121</x:v>
      </x:c>
      <x:c r="B122" s="41" t="str">
        <x:v>No weekly</x:v>
      </x:c>
      <x:c r="C122" s="41" t="str">
        <x:v>SP500_MOMENTUM_TREND_CONCENTRATION_V1</x:v>
      </x:c>
      <x:c r="D122" s="41" t="str">
        <x:v>cross_sectional_momentum</x:v>
      </x:c>
      <x:c r="E122" s="41" t="n">
        <x:v>0.489662</x:v>
      </x:c>
      <x:c r="F122" s="41" t="n">
        <x:v>0.120454</x:v>
      </x:c>
      <x:c r="G122" s="41" t="n">
        <x:v>0.369208</x:v>
      </x:c>
      <x:c r="H122" s="41" t="n">
        <x:v>0.335482</x:v>
      </x:c>
      <x:c r="I122" s="41" t="n">
        <x:v>0.489662</x:v>
      </x:c>
      <x:c r="J122" s="41" t="n">
        <x:v>13.9093</x:v>
      </x:c>
      <x:c r="K122" s="41" t="n">
        <x:v>29.9942</x:v>
      </x:c>
      <x:c r="L122" s="41" t="n">
        <x:v>6.8025</x:v>
      </x:c>
      <x:c r="M122" s="41" t="n">
        <x:v>-41.4605</x:v>
      </x:c>
      <x:c r="N122" s="41" t="n">
        <x:v>-61.255</x:v>
      </x:c>
      <x:c r="O122" s="41" t="n">
        <x:v>-56.4737</x:v>
      </x:c>
      <x:c r="P122" s="41" t="str">
        <x:v>1999-01-04</x:v>
      </x:c>
      <x:c r="Q122" s="41" t="str">
        <x:v>2026-05-22</x:v>
      </x:c>
    </x:row>
    <x:row r="123">
      <x:c r="A123" s="41" t="n">
        <x:v>122</x:v>
      </x:c>
      <x:c r="B123" s="41" t="str">
        <x:v>Weekly</x:v>
      </x:c>
      <x:c r="C123" s="41" t="str">
        <x:v>HYP_REFINE_AUTO002_TOPN_6_V1_DDGRID_EXT_R10_C25_E75_CR50_REDD_RECOVERED_DD8_SL22</x:v>
      </x:c>
      <x:c r="D123" s="41" t="str">
        <x:v>dd_guard_grid</x:v>
      </x:c>
      <x:c r="E123" s="41" t="n">
        <x:v>0.4896</x:v>
      </x:c>
      <x:c r="F123" s="41" t="n">
        <x:v>0.120454</x:v>
      </x:c>
      <x:c r="G123" s="41" t="n">
        <x:v>0.369146</x:v>
      </x:c>
      <x:c r="H123" s="41" t="n">
        <x:v>0.4896</x:v>
      </x:c>
      <x:c r="I123" s="41" t="n">
        <x:v>0.392768</x:v>
      </x:c>
      <x:c r="J123" s="41" t="n">
        <x:v>15.1214</x:v>
      </x:c>
      <x:c r="K123" s="41" t="n">
        <x:v>14.4606</x:v>
      </x:c>
      <x:c r="L123" s="41" t="n">
        <x:v>6.8025</x:v>
      </x:c>
      <x:c r="M123" s="41" t="n">
        <x:v>-30.8852</x:v>
      </x:c>
      <x:c r="N123" s="41" t="n">
        <x:v>-36.8172</x:v>
      </x:c>
      <x:c r="O123" s="41" t="n">
        <x:v>-56.4737</x:v>
      </x:c>
      <x:c r="P123" s="41" t="str">
        <x:v>1999-01-04</x:v>
      </x:c>
      <x:c r="Q123" s="41" t="str">
        <x:v>2026-05-22</x:v>
      </x:c>
    </x:row>
    <x:row r="124">
      <x:c r="A124" s="41" t="n">
        <x:v>123</x:v>
      </x:c>
      <x:c r="B124" s="41" t="str">
        <x:v>Weekly</x:v>
      </x:c>
      <x:c r="C124" s="41" t="str">
        <x:v>HYP_REFINE_AUTO002_TOPN_6_V1_DDGRID_EXT_R12_C24_E75_CR50_REDD_RECOVERED_DD10_SL25</x:v>
      </x:c>
      <x:c r="D124" s="41" t="str">
        <x:v>dd_guard_grid</x:v>
      </x:c>
      <x:c r="E124" s="41" t="n">
        <x:v>0.489161</x:v>
      </x:c>
      <x:c r="F124" s="41" t="n">
        <x:v>0.120454</x:v>
      </x:c>
      <x:c r="G124" s="41" t="n">
        <x:v>0.368707</x:v>
      </x:c>
      <x:c r="H124" s="41" t="n">
        <x:v>0.489161</x:v>
      </x:c>
      <x:c r="I124" s="41" t="n">
        <x:v>0.378422</x:v>
      </x:c>
      <x:c r="J124" s="41" t="n">
        <x:v>14.6127</x:v>
      </x:c>
      <x:c r="K124" s="41" t="n">
        <x:v>14.0925</x:v>
      </x:c>
      <x:c r="L124" s="41" t="n">
        <x:v>6.8025</x:v>
      </x:c>
      <x:c r="M124" s="41" t="n">
        <x:v>-29.873</x:v>
      </x:c>
      <x:c r="N124" s="41" t="n">
        <x:v>-37.2402</x:v>
      </x:c>
      <x:c r="O124" s="41" t="n">
        <x:v>-56.4737</x:v>
      </x:c>
      <x:c r="P124" s="41" t="str">
        <x:v>1999-01-04</x:v>
      </x:c>
      <x:c r="Q124" s="41" t="str">
        <x:v>2026-05-22</x:v>
      </x:c>
    </x:row>
    <x:row r="125">
      <x:c r="A125" s="41" t="n">
        <x:v>124</x:v>
      </x:c>
      <x:c r="B125" s="41" t="str">
        <x:v>Weekly</x:v>
      </x:c>
      <x:c r="C125" s="41" t="str">
        <x:v>HYP_REFINE_AUTO002_TOPN_6_V1_DDGRID_LONG_R13_C23_E75_CR45_REDD_RECOVERED_DD8_SL20</x:v>
      </x:c>
      <x:c r="D125" s="41" t="str">
        <x:v>dd_guard_grid</x:v>
      </x:c>
      <x:c r="E125" s="41" t="n">
        <x:v>0.488351</x:v>
      </x:c>
      <x:c r="F125" s="41" t="n">
        <x:v>0.120454</x:v>
      </x:c>
      <x:c r="G125" s="41" t="n">
        <x:v>0.367897</x:v>
      </x:c>
      <x:c r="H125" s="41" t="n">
        <x:v>0.488351</x:v>
      </x:c>
      <x:c r="I125" s="41" t="n">
        <x:v>0.366937</x:v>
      </x:c>
      <x:c r="J125" s="41" t="n">
        <x:v>14.0749</x:v>
      </x:c>
      <x:c r="K125" s="41" t="n">
        <x:v>12.6289</x:v>
      </x:c>
      <x:c r="L125" s="41" t="n">
        <x:v>6.8025</x:v>
      </x:c>
      <x:c r="M125" s="41" t="n">
        <x:v>-28.8212</x:v>
      </x:c>
      <x:c r="N125" s="41" t="n">
        <x:v>-34.4171</x:v>
      </x:c>
      <x:c r="O125" s="41" t="n">
        <x:v>-56.4737</x:v>
      </x:c>
      <x:c r="P125" s="41" t="str">
        <x:v>1999-01-04</x:v>
      </x:c>
      <x:c r="Q125" s="41" t="str">
        <x:v>2026-05-22</x:v>
      </x:c>
    </x:row>
    <x:row r="126">
      <x:c r="A126" s="41" t="n">
        <x:v>125</x:v>
      </x:c>
      <x:c r="B126" s="41" t="str">
        <x:v>Weekly</x:v>
      </x:c>
      <x:c r="C126" s="41" t="str">
        <x:v>HYP_REFINE_AUTO002_TOPN_6_V1_DDGRID_EXT_FINE_R12_C25_E75_CR50_REDD_RECOVERED_DD6_SL20</x:v>
      </x:c>
      <x:c r="D126" s="41" t="str">
        <x:v>dd_guard_grid</x:v>
      </x:c>
      <x:c r="E126" s="41" t="n">
        <x:v>0.488304</x:v>
      </x:c>
      <x:c r="F126" s="41" t="n">
        <x:v>0.120454</x:v>
      </x:c>
      <x:c r="G126" s="41" t="n">
        <x:v>0.36785</x:v>
      </x:c>
      <x:c r="H126" s="41" t="n">
        <x:v>0.488304</x:v>
      </x:c>
      <x:c r="I126" s="41" t="n">
        <x:v>0.402545</x:v>
      </x:c>
      <x:c r="J126" s="41" t="n">
        <x:v>14.9995</x:v>
      </x:c>
      <x:c r="K126" s="41" t="n">
        <x:v>14.7567</x:v>
      </x:c>
      <x:c r="L126" s="41" t="n">
        <x:v>6.8025</x:v>
      </x:c>
      <x:c r="M126" s="41" t="n">
        <x:v>-30.7175</x:v>
      </x:c>
      <x:c r="N126" s="41" t="n">
        <x:v>-36.6586</x:v>
      </x:c>
      <x:c r="O126" s="41" t="n">
        <x:v>-56.4737</x:v>
      </x:c>
      <x:c r="P126" s="41" t="str">
        <x:v>1999-01-04</x:v>
      </x:c>
      <x:c r="Q126" s="41" t="str">
        <x:v>2026-05-22</x:v>
      </x:c>
    </x:row>
    <x:row r="127">
      <x:c r="A127" s="41" t="n">
        <x:v>126</x:v>
      </x:c>
      <x:c r="B127" s="41" t="str">
        <x:v>Weekly</x:v>
      </x:c>
      <x:c r="C127" s="41" t="str">
        <x:v>HYP_REFINE_AUTO002_TOPN_6_V1_DDGRID_EXT_R12_C25_E75_CR50_REDD_RECOVERED_DD8_SL25</x:v>
      </x:c>
      <x:c r="D127" s="41" t="str">
        <x:v>dd_guard_grid</x:v>
      </x:c>
      <x:c r="E127" s="41" t="n">
        <x:v>0.487858</x:v>
      </x:c>
      <x:c r="F127" s="41" t="n">
        <x:v>0.120454</x:v>
      </x:c>
      <x:c r="G127" s="41" t="n">
        <x:v>0.367404</x:v>
      </x:c>
      <x:c r="H127" s="41" t="n">
        <x:v>0.487858</x:v>
      </x:c>
      <x:c r="I127" s="41" t="n">
        <x:v>0.375412</x:v>
      </x:c>
      <x:c r="J127" s="41" t="n">
        <x:v>14.9659</x:v>
      </x:c>
      <x:c r="K127" s="41" t="n">
        <x:v>14.0242</x:v>
      </x:c>
      <x:c r="L127" s="41" t="n">
        <x:v>6.8025</x:v>
      </x:c>
      <x:c r="M127" s="41" t="n">
        <x:v>-30.6767</x:v>
      </x:c>
      <x:c r="N127" s="41" t="n">
        <x:v>-37.3568</x:v>
      </x:c>
      <x:c r="O127" s="41" t="n">
        <x:v>-56.4737</x:v>
      </x:c>
      <x:c r="P127" s="41" t="str">
        <x:v>1999-01-04</x:v>
      </x:c>
      <x:c r="Q127" s="41" t="str">
        <x:v>2026-05-22</x:v>
      </x:c>
    </x:row>
    <x:row r="128">
      <x:c r="A128" s="41" t="n">
        <x:v>127</x:v>
      </x:c>
      <x:c r="B128" s="41" t="str">
        <x:v>Weekly</x:v>
      </x:c>
      <x:c r="C128" s="41" t="str">
        <x:v>HYP_REFINE_AUTO002_TOPN_6_V1_DDGRID_EXT_R12_C25_E66_CR50_REDD_RECOVERED_DD6_SLNONE</x:v>
      </x:c>
      <x:c r="D128" s="41" t="str">
        <x:v>dd_guard_grid</x:v>
      </x:c>
      <x:c r="E128" s="41" t="n">
        <x:v>0.487103</x:v>
      </x:c>
      <x:c r="F128" s="41" t="n">
        <x:v>0.120454</x:v>
      </x:c>
      <x:c r="G128" s="41" t="n">
        <x:v>0.366649</x:v>
      </x:c>
      <x:c r="H128" s="41" t="n">
        <x:v>0.487103</x:v>
      </x:c>
      <x:c r="I128" s="41" t="n">
        <x:v>0.383922</x:v>
      </x:c>
      <x:c r="J128" s="41" t="n">
        <x:v>14.2818</x:v>
      </x:c>
      <x:c r="K128" s="41" t="n">
        <x:v>13.7557</x:v>
      </x:c>
      <x:c r="L128" s="41" t="n">
        <x:v>6.8025</x:v>
      </x:c>
      <x:c r="M128" s="41" t="n">
        <x:v>-29.3198</x:v>
      </x:c>
      <x:c r="N128" s="41" t="n">
        <x:v>-35.8296</x:v>
      </x:c>
      <x:c r="O128" s="41" t="n">
        <x:v>-56.4737</x:v>
      </x:c>
      <x:c r="P128" s="41" t="str">
        <x:v>1999-01-04</x:v>
      </x:c>
      <x:c r="Q128" s="41" t="str">
        <x:v>2026-05-22</x:v>
      </x:c>
    </x:row>
    <x:row r="129">
      <x:c r="A129" s="41" t="n">
        <x:v>128</x:v>
      </x:c>
      <x:c r="B129" s="41" t="str">
        <x:v>Weekly</x:v>
      </x:c>
      <x:c r="C129" s="41" t="str">
        <x:v>HYP_REFINE_AUTO002_TOPN_6_V1_DDGRID_EXT_R12_C25_E60_CR50_REDD_RECOVERED_DD8_SL20</x:v>
      </x:c>
      <x:c r="D129" s="41" t="str">
        <x:v>dd_guard_grid</x:v>
      </x:c>
      <x:c r="E129" s="41" t="n">
        <x:v>0.486982</x:v>
      </x:c>
      <x:c r="F129" s="41" t="n">
        <x:v>0.120454</x:v>
      </x:c>
      <x:c r="G129" s="41" t="n">
        <x:v>0.366528</x:v>
      </x:c>
      <x:c r="H129" s="41" t="n">
        <x:v>0.486982</x:v>
      </x:c>
      <x:c r="I129" s="41" t="n">
        <x:v>0.338475</x:v>
      </x:c>
      <x:c r="J129" s="41" t="n">
        <x:v>13.7502</x:v>
      </x:c>
      <x:c r="K129" s="41" t="n">
        <x:v>11.5261</x:v>
      </x:c>
      <x:c r="L129" s="41" t="n">
        <x:v>6.8025</x:v>
      </x:c>
      <x:c r="M129" s="41" t="n">
        <x:v>-28.2355</x:v>
      </x:c>
      <x:c r="N129" s="41" t="n">
        <x:v>-34.0529</x:v>
      </x:c>
      <x:c r="O129" s="41" t="n">
        <x:v>-56.4737</x:v>
      </x:c>
      <x:c r="P129" s="41" t="str">
        <x:v>1999-01-04</x:v>
      </x:c>
      <x:c r="Q129" s="41" t="str">
        <x:v>2026-05-22</x:v>
      </x:c>
    </x:row>
    <x:row r="130">
      <x:c r="A130" s="41" t="n">
        <x:v>129</x:v>
      </x:c>
      <x:c r="B130" s="41" t="str">
        <x:v>Weekly</x:v>
      </x:c>
      <x:c r="C130" s="41" t="str">
        <x:v>HYP_REFINE_AUTO002_TOPN_6_V1_DDGRID_EXT_R12_C24_E75_CR50_REDD_RECOVERED_DD10_SLNONE</x:v>
      </x:c>
      <x:c r="D130" s="41" t="str">
        <x:v>dd_guard_grid</x:v>
      </x:c>
      <x:c r="E130" s="41" t="n">
        <x:v>0.486773</x:v>
      </x:c>
      <x:c r="F130" s="41" t="n">
        <x:v>0.120454</x:v>
      </x:c>
      <x:c r="G130" s="41" t="n">
        <x:v>0.366319</x:v>
      </x:c>
      <x:c r="H130" s="41" t="n">
        <x:v>0.486773</x:v>
      </x:c>
      <x:c r="I130" s="41" t="n">
        <x:v>0.384256</x:v>
      </x:c>
      <x:c r="J130" s="41" t="n">
        <x:v>14.7434</x:v>
      </x:c>
      <x:c r="K130" s="41" t="n">
        <x:v>14.1661</x:v>
      </x:c>
      <x:c r="L130" s="41" t="n">
        <x:v>6.8025</x:v>
      </x:c>
      <x:c r="M130" s="41" t="n">
        <x:v>-30.288</x:v>
      </x:c>
      <x:c r="N130" s="41" t="n">
        <x:v>-36.8663</x:v>
      </x:c>
      <x:c r="O130" s="41" t="n">
        <x:v>-56.4737</x:v>
      </x:c>
      <x:c r="P130" s="41" t="str">
        <x:v>1999-01-04</x:v>
      </x:c>
      <x:c r="Q130" s="41" t="str">
        <x:v>2026-05-22</x:v>
      </x:c>
    </x:row>
    <x:row r="131">
      <x:c r="A131" s="41" t="n">
        <x:v>130</x:v>
      </x:c>
      <x:c r="B131" s="41" t="str">
        <x:v>Weekly</x:v>
      </x:c>
      <x:c r="C131" s="41" t="str">
        <x:v>HYP_REFINE_AUTO002_TOPN_6_V1_DDGRID_EXT_R12_C25_E60_CR50_REDD_RECOVERED_DD8_SL25</x:v>
      </x:c>
      <x:c r="D131" s="41" t="str">
        <x:v>dd_guard_grid</x:v>
      </x:c>
      <x:c r="E131" s="41" t="n">
        <x:v>0.486706</x:v>
      </x:c>
      <x:c r="F131" s="41" t="n">
        <x:v>0.120454</x:v>
      </x:c>
      <x:c r="G131" s="41" t="n">
        <x:v>0.366252</x:v>
      </x:c>
      <x:c r="H131" s="41" t="n">
        <x:v>0.486706</x:v>
      </x:c>
      <x:c r="I131" s="41" t="n">
        <x:v>0.332977</x:v>
      </x:c>
      <x:c r="J131" s="41" t="n">
        <x:v>13.6843</x:v>
      </x:c>
      <x:c r="K131" s="41" t="n">
        <x:v>11.5194</x:v>
      </x:c>
      <x:c r="L131" s="41" t="n">
        <x:v>6.8025</x:v>
      </x:c>
      <x:c r="M131" s="41" t="n">
        <x:v>-28.1162</x:v>
      </x:c>
      <x:c r="N131" s="41" t="n">
        <x:v>-34.5952</x:v>
      </x:c>
      <x:c r="O131" s="41" t="n">
        <x:v>-56.4737</x:v>
      </x:c>
      <x:c r="P131" s="41" t="str">
        <x:v>1999-01-04</x:v>
      </x:c>
      <x:c r="Q131" s="41" t="str">
        <x:v>2026-05-22</x:v>
      </x:c>
    </x:row>
    <x:row r="132">
      <x:c r="A132" s="41" t="n">
        <x:v>131</x:v>
      </x:c>
      <x:c r="B132" s="41" t="str">
        <x:v>Weekly</x:v>
      </x:c>
      <x:c r="C132" s="41" t="str">
        <x:v>HYP_REFINE_AUTO002_TOPN_6_V1_DDGRID_LONG_R13_C22_E75_CR45_REDD_RECOVERED_DD8_SL20</x:v>
      </x:c>
      <x:c r="D132" s="41" t="str">
        <x:v>dd_guard_grid</x:v>
      </x:c>
      <x:c r="E132" s="41" t="n">
        <x:v>0.486471</x:v>
      </x:c>
      <x:c r="F132" s="41" t="n">
        <x:v>0.120454</x:v>
      </x:c>
      <x:c r="G132" s="41" t="n">
        <x:v>0.366017</x:v>
      </x:c>
      <x:c r="H132" s="41" t="n">
        <x:v>0.486471</x:v>
      </x:c>
      <x:c r="I132" s="41" t="n">
        <x:v>0.393805</x:v>
      </x:c>
      <x:c r="J132" s="41" t="n">
        <x:v>14.5173</x:v>
      </x:c>
      <x:c r="K132" s="41" t="n">
        <x:v>13.2928</x:v>
      </x:c>
      <x:c r="L132" s="41" t="n">
        <x:v>6.8025</x:v>
      </x:c>
      <x:c r="M132" s="41" t="n">
        <x:v>-29.8421</x:v>
      </x:c>
      <x:c r="N132" s="41" t="n">
        <x:v>-33.7549</x:v>
      </x:c>
      <x:c r="O132" s="41" t="n">
        <x:v>-56.4737</x:v>
      </x:c>
      <x:c r="P132" s="41" t="str">
        <x:v>1999-01-04</x:v>
      </x:c>
      <x:c r="Q132" s="41" t="str">
        <x:v>2026-05-22</x:v>
      </x:c>
    </x:row>
    <x:row r="133">
      <x:c r="A133" s="41" t="n">
        <x:v>132</x:v>
      </x:c>
      <x:c r="B133" s="41" t="str">
        <x:v>Weekly</x:v>
      </x:c>
      <x:c r="C133" s="41" t="str">
        <x:v>HYP_REFINE_AUTO002_TOPN_6_V1_DDGRID_EXT_R12_C26_E66_CR50_REDD_RECOVERED_DD8_SL20</x:v>
      </x:c>
      <x:c r="D133" s="41" t="str">
        <x:v>dd_guard_grid</x:v>
      </x:c>
      <x:c r="E133" s="41" t="n">
        <x:v>0.486438</x:v>
      </x:c>
      <x:c r="F133" s="41" t="n">
        <x:v>0.120454</x:v>
      </x:c>
      <x:c r="G133" s="41" t="n">
        <x:v>0.365984</x:v>
      </x:c>
      <x:c r="H133" s="41" t="n">
        <x:v>0.486438</x:v>
      </x:c>
      <x:c r="I133" s="41" t="n">
        <x:v>0.387998</x:v>
      </x:c>
      <x:c r="J133" s="41" t="n">
        <x:v>14.94</x:v>
      </x:c>
      <x:c r="K133" s="41" t="n">
        <x:v>13.8462</x:v>
      </x:c>
      <x:c r="L133" s="41" t="n">
        <x:v>6.8025</x:v>
      </x:c>
      <x:c r="M133" s="41" t="n">
        <x:v>-30.713</x:v>
      </x:c>
      <x:c r="N133" s="41" t="n">
        <x:v>-35.6863</x:v>
      </x:c>
      <x:c r="O133" s="41" t="n">
        <x:v>-56.4737</x:v>
      </x:c>
      <x:c r="P133" s="41" t="str">
        <x:v>1999-01-04</x:v>
      </x:c>
      <x:c r="Q133" s="41" t="str">
        <x:v>2026-05-22</x:v>
      </x:c>
    </x:row>
    <x:row r="134">
      <x:c r="A134" s="41" t="n">
        <x:v>133</x:v>
      </x:c>
      <x:c r="B134" s="41" t="str">
        <x:v>Weekly</x:v>
      </x:c>
      <x:c r="C134" s="41" t="str">
        <x:v>HYP_REFINE_AUTO002_TOPN_6_V1_DDGRID_CHEAP_R12_C23_E75_CR45_REDD_RECOVERED_DD8_SL20</x:v>
      </x:c>
      <x:c r="D134" s="41" t="str">
        <x:v>dd_guard_grid</x:v>
      </x:c>
      <x:c r="E134" s="41" t="n">
        <x:v>0.486023</x:v>
      </x:c>
      <x:c r="F134" s="41" t="n">
        <x:v>0.120454</x:v>
      </x:c>
      <x:c r="G134" s="41" t="n">
        <x:v>0.365569</x:v>
      </x:c>
      <x:c r="H134" s="41" t="n">
        <x:v>0.486023</x:v>
      </x:c>
      <x:c r="I134" s="41" t="n">
        <x:v>0.381911</x:v>
      </x:c>
      <x:c r="J134" s="41" t="n">
        <x:v>14.0078</x:v>
      </x:c>
      <x:c r="K134" s="41" t="n">
        <x:v>13.1443</x:v>
      </x:c>
      <x:c r="L134" s="41" t="n">
        <x:v>6.8025</x:v>
      </x:c>
      <x:c r="M134" s="41" t="n">
        <x:v>-28.8212</x:v>
      </x:c>
      <x:c r="N134" s="41" t="n">
        <x:v>-34.4171</x:v>
      </x:c>
      <x:c r="O134" s="41" t="n">
        <x:v>-56.4737</x:v>
      </x:c>
      <x:c r="P134" s="41" t="str">
        <x:v>1999-01-04</x:v>
      </x:c>
      <x:c r="Q134" s="41" t="str">
        <x:v>2026-05-22</x:v>
      </x:c>
    </x:row>
    <x:row r="135">
      <x:c r="A135" s="41" t="n">
        <x:v>134</x:v>
      </x:c>
      <x:c r="B135" s="41" t="str">
        <x:v>Weekly</x:v>
      </x:c>
      <x:c r="C135" s="41" t="str">
        <x:v>HYP_REFINE_AUTO002_TOPN_6_V1_DDGRID_LONG_R12_C23_E75_CR45_REDD_RECOVERED_DD8_SL20</x:v>
      </x:c>
      <x:c r="D135" s="41" t="str">
        <x:v>dd_guard_grid</x:v>
      </x:c>
      <x:c r="E135" s="41" t="n">
        <x:v>0.486023</x:v>
      </x:c>
      <x:c r="F135" s="41" t="n">
        <x:v>0.120454</x:v>
      </x:c>
      <x:c r="G135" s="41" t="n">
        <x:v>0.365569</x:v>
      </x:c>
      <x:c r="H135" s="41" t="n">
        <x:v>0.486023</x:v>
      </x:c>
      <x:c r="I135" s="41" t="n">
        <x:v>0.381911</x:v>
      </x:c>
      <x:c r="J135" s="41" t="n">
        <x:v>14.0078</x:v>
      </x:c>
      <x:c r="K135" s="41" t="n">
        <x:v>13.1443</x:v>
      </x:c>
      <x:c r="L135" s="41" t="n">
        <x:v>6.8025</x:v>
      </x:c>
      <x:c r="M135" s="41" t="n">
        <x:v>-28.8212</x:v>
      </x:c>
      <x:c r="N135" s="41" t="n">
        <x:v>-34.4171</x:v>
      </x:c>
      <x:c r="O135" s="41" t="n">
        <x:v>-56.4737</x:v>
      </x:c>
      <x:c r="P135" s="41" t="str">
        <x:v>1999-01-04</x:v>
      </x:c>
      <x:c r="Q135" s="41" t="str">
        <x:v>2026-05-22</x:v>
      </x:c>
    </x:row>
    <x:row r="136">
      <x:c r="A136" s="41" t="n">
        <x:v>135</x:v>
      </x:c>
      <x:c r="B136" s="41" t="str">
        <x:v>Weekly</x:v>
      </x:c>
      <x:c r="C136" s="41" t="str">
        <x:v>HYP_REFINE_AUTO002_TOPN_6_V1_DDGRID_EXT_R12_C25_E75_CR50_REDD_RECOVERED_DD10_SL22</x:v>
      </x:c>
      <x:c r="D136" s="41" t="str">
        <x:v>dd_guard_grid</x:v>
      </x:c>
      <x:c r="E136" s="41" t="n">
        <x:v>0.485806</x:v>
      </x:c>
      <x:c r="F136" s="41" t="n">
        <x:v>0.120454</x:v>
      </x:c>
      <x:c r="G136" s="41" t="n">
        <x:v>0.365352</x:v>
      </x:c>
      <x:c r="H136" s="41" t="n">
        <x:v>0.485806</x:v>
      </x:c>
      <x:c r="I136" s="41" t="n">
        <x:v>0.390432</x:v>
      </x:c>
      <x:c r="J136" s="41" t="n">
        <x:v>15.0042</x:v>
      </x:c>
      <x:c r="K136" s="41" t="n">
        <x:v>14.3746</x:v>
      </x:c>
      <x:c r="L136" s="41" t="n">
        <x:v>6.8025</x:v>
      </x:c>
      <x:c r="M136" s="41" t="n">
        <x:v>-30.8852</x:v>
      </x:c>
      <x:c r="N136" s="41" t="n">
        <x:v>-36.8172</x:v>
      </x:c>
      <x:c r="O136" s="41" t="n">
        <x:v>-56.4737</x:v>
      </x:c>
      <x:c r="P136" s="41" t="str">
        <x:v>1999-01-04</x:v>
      </x:c>
      <x:c r="Q136" s="41" t="str">
        <x:v>2026-05-22</x:v>
      </x:c>
    </x:row>
    <x:row r="137">
      <x:c r="A137" s="41" t="n">
        <x:v>136</x:v>
      </x:c>
      <x:c r="B137" s="41" t="str">
        <x:v>Weekly</x:v>
      </x:c>
      <x:c r="C137" s="41" t="str">
        <x:v>HYP_REFINE_AUTO002_TOPN_6_V1_DDGRID_EXT_R12_C26_E66_CR50_REDD_RECOVERED_DD12_SL20</x:v>
      </x:c>
      <x:c r="D137" s="41" t="str">
        <x:v>dd_guard_grid</x:v>
      </x:c>
      <x:c r="E137" s="41" t="n">
        <x:v>0.485389</x:v>
      </x:c>
      <x:c r="F137" s="41" t="n">
        <x:v>0.120454</x:v>
      </x:c>
      <x:c r="G137" s="41" t="n">
        <x:v>0.364935</x:v>
      </x:c>
      <x:c r="H137" s="41" t="n">
        <x:v>0.485389</x:v>
      </x:c>
      <x:c r="I137" s="41" t="n">
        <x:v>0.373234</x:v>
      </x:c>
      <x:c r="J137" s="41" t="n">
        <x:v>14.9078</x:v>
      </x:c>
      <x:c r="K137" s="41" t="n">
        <x:v>13.3193</x:v>
      </x:c>
      <x:c r="L137" s="41" t="n">
        <x:v>6.8025</x:v>
      </x:c>
      <x:c r="M137" s="41" t="n">
        <x:v>-30.713</x:v>
      </x:c>
      <x:c r="N137" s="41" t="n">
        <x:v>-35.6863</x:v>
      </x:c>
      <x:c r="O137" s="41" t="n">
        <x:v>-56.4737</x:v>
      </x:c>
      <x:c r="P137" s="41" t="str">
        <x:v>1999-01-04</x:v>
      </x:c>
      <x:c r="Q137" s="41" t="str">
        <x:v>2026-05-22</x:v>
      </x:c>
    </x:row>
    <x:row r="138">
      <x:c r="A138" s="41" t="n">
        <x:v>137</x:v>
      </x:c>
      <x:c r="B138" s="41" t="str">
        <x:v>Weekly</x:v>
      </x:c>
      <x:c r="C138" s="41" t="str">
        <x:v>HYP_REFINE_AUTO002_TOPN_6_V1_DDGRID_EXT_R12_C26_E75_CR50_REDD_RECOVERED_DD8_SL18</x:v>
      </x:c>
      <x:c r="D138" s="41" t="str">
        <x:v>dd_guard_grid</x:v>
      </x:c>
      <x:c r="E138" s="41" t="n">
        <x:v>0.485148</x:v>
      </x:c>
      <x:c r="F138" s="41" t="n">
        <x:v>0.120454</x:v>
      </x:c>
      <x:c r="G138" s="41" t="n">
        <x:v>0.364694</x:v>
      </x:c>
      <x:c r="H138" s="41" t="n">
        <x:v>0.485148</x:v>
      </x:c>
      <x:c r="I138" s="41" t="n">
        <x:v>0.3799</x:v>
      </x:c>
      <x:c r="J138" s="41" t="n">
        <x:v>15.0579</x:v>
      </x:c>
      <x:c r="K138" s="41" t="n">
        <x:v>14.0399</x:v>
      </x:c>
      <x:c r="L138" s="41" t="n">
        <x:v>6.8025</x:v>
      </x:c>
      <x:c r="M138" s="41" t="n">
        <x:v>-31.0378</x:v>
      </x:c>
      <x:c r="N138" s="41" t="n">
        <x:v>-36.9568</x:v>
      </x:c>
      <x:c r="O138" s="41" t="n">
        <x:v>-56.4737</x:v>
      </x:c>
      <x:c r="P138" s="41" t="str">
        <x:v>1999-01-04</x:v>
      </x:c>
      <x:c r="Q138" s="41" t="str">
        <x:v>2026-05-22</x:v>
      </x:c>
    </x:row>
    <x:row r="139">
      <x:c r="A139" s="41" t="n">
        <x:v>138</x:v>
      </x:c>
      <x:c r="B139" s="41" t="str">
        <x:v>Weekly</x:v>
      </x:c>
      <x:c r="C139" s="41" t="str">
        <x:v>HYP_REFINE_AUTO002_TOPN_6_V1_DDGRID_EXT_R12_C25_E66_CR50_REDD_RECOVERED_DD6_SL25</x:v>
      </x:c>
      <x:c r="D139" s="41" t="str">
        <x:v>dd_guard_grid</x:v>
      </x:c>
      <x:c r="E139" s="41" t="n">
        <x:v>0.485056</x:v>
      </x:c>
      <x:c r="F139" s="41" t="n">
        <x:v>0.120454</x:v>
      </x:c>
      <x:c r="G139" s="41" t="n">
        <x:v>0.364602</x:v>
      </x:c>
      <x:c r="H139" s="41" t="n">
        <x:v>0.485056</x:v>
      </x:c>
      <x:c r="I139" s="41" t="n">
        <x:v>0.379232</x:v>
      </x:c>
      <x:c r="J139" s="41" t="n">
        <x:v>14.2599</x:v>
      </x:c>
      <x:c r="K139" s="41" t="n">
        <x:v>13.4858</x:v>
      </x:c>
      <x:c r="L139" s="41" t="n">
        <x:v>6.8025</x:v>
      </x:c>
      <x:c r="M139" s="41" t="n">
        <x:v>-29.3985</x:v>
      </x:c>
      <x:c r="N139" s="41" t="n">
        <x:v>-35.561</x:v>
      </x:c>
      <x:c r="O139" s="41" t="n">
        <x:v>-56.4737</x:v>
      </x:c>
      <x:c r="P139" s="41" t="str">
        <x:v>1999-01-04</x:v>
      </x:c>
      <x:c r="Q139" s="41" t="str">
        <x:v>2026-05-22</x:v>
      </x:c>
    </x:row>
    <x:row r="140">
      <x:c r="A140" s="41" t="n">
        <x:v>139</x:v>
      </x:c>
      <x:c r="B140" s="41" t="str">
        <x:v>Weekly</x:v>
      </x:c>
      <x:c r="C140" s="41" t="str">
        <x:v>HYP_REFINE_AUTO002_TOPN_6_V1_DDGRID_EXT_R12_C26_E75_CR50_REDD_RECOVERED_DD12_SL18</x:v>
      </x:c>
      <x:c r="D140" s="41" t="str">
        <x:v>dd_guard_grid</x:v>
      </x:c>
      <x:c r="E140" s="41" t="n">
        <x:v>0.484757</x:v>
      </x:c>
      <x:c r="F140" s="41" t="n">
        <x:v>0.120454</x:v>
      </x:c>
      <x:c r="G140" s="41" t="n">
        <x:v>0.364304</x:v>
      </x:c>
      <x:c r="H140" s="41" t="n">
        <x:v>0.484757</x:v>
      </x:c>
      <x:c r="I140" s="41" t="n">
        <x:v>0.38338</x:v>
      </x:c>
      <x:c r="J140" s="41" t="n">
        <x:v>15.0458</x:v>
      </x:c>
      <x:c r="K140" s="41" t="n">
        <x:v>14.1685</x:v>
      </x:c>
      <x:c r="L140" s="41" t="n">
        <x:v>6.8025</x:v>
      </x:c>
      <x:c r="M140" s="41" t="n">
        <x:v>-31.0378</x:v>
      </x:c>
      <x:c r="N140" s="41" t="n">
        <x:v>-36.9568</x:v>
      </x:c>
      <x:c r="O140" s="41" t="n">
        <x:v>-56.4737</x:v>
      </x:c>
      <x:c r="P140" s="41" t="str">
        <x:v>1999-01-04</x:v>
      </x:c>
      <x:c r="Q140" s="41" t="str">
        <x:v>2026-05-22</x:v>
      </x:c>
    </x:row>
    <x:row r="141">
      <x:c r="A141" s="41" t="n">
        <x:v>140</x:v>
      </x:c>
      <x:c r="B141" s="41" t="str">
        <x:v>Weekly</x:v>
      </x:c>
      <x:c r="C141" s="41" t="str">
        <x:v>HYP_REFINE_AUTO002_TOPN_6_V1_DDGRID_EXT_R12_C25_E60_CR50_REDD_RECOVERED_DD8_SL22</x:v>
      </x:c>
      <x:c r="D141" s="41" t="str">
        <x:v>dd_guard_grid</x:v>
      </x:c>
      <x:c r="E141" s="41" t="n">
        <x:v>0.484595</x:v>
      </x:c>
      <x:c r="F141" s="41" t="n">
        <x:v>0.120454</x:v>
      </x:c>
      <x:c r="G141" s="41" t="n">
        <x:v>0.364141</x:v>
      </x:c>
      <x:c r="H141" s="41" t="n">
        <x:v>0.484595</x:v>
      </x:c>
      <x:c r="I141" s="41" t="n">
        <x:v>0.34332</x:v>
      </x:c>
      <x:c r="J141" s="41" t="n">
        <x:v>13.6167</x:v>
      </x:c>
      <x:c r="K141" s="41" t="n">
        <x:v>11.9364</x:v>
      </x:c>
      <x:c r="L141" s="41" t="n">
        <x:v>6.8025</x:v>
      </x:c>
      <x:c r="M141" s="41" t="n">
        <x:v>-28.0991</x:v>
      </x:c>
      <x:c r="N141" s="41" t="n">
        <x:v>-34.7675</x:v>
      </x:c>
      <x:c r="O141" s="41" t="n">
        <x:v>-56.4737</x:v>
      </x:c>
      <x:c r="P141" s="41" t="str">
        <x:v>1999-01-04</x:v>
      </x:c>
      <x:c r="Q141" s="41" t="str">
        <x:v>2026-05-22</x:v>
      </x:c>
    </x:row>
    <x:row r="142">
      <x:c r="A142" s="41" t="n">
        <x:v>141</x:v>
      </x:c>
      <x:c r="B142" s="41" t="str">
        <x:v>Weekly</x:v>
      </x:c>
      <x:c r="C142" s="41" t="str">
        <x:v>HYP_REFINE_AUTO002_TOPN_6_V1_DDGRID_EXT_R12_C24_E60_CR40_REDD_RECOVERED_DD8_SL20</x:v>
      </x:c>
      <x:c r="D142" s="41" t="str">
        <x:v>dd_guard_grid</x:v>
      </x:c>
      <x:c r="E142" s="41" t="n">
        <x:v>0.484553</x:v>
      </x:c>
      <x:c r="F142" s="41" t="n">
        <x:v>0.120454</x:v>
      </x:c>
      <x:c r="G142" s="41" t="n">
        <x:v>0.364099</x:v>
      </x:c>
      <x:c r="H142" s="41" t="n">
        <x:v>0.484553</x:v>
      </x:c>
      <x:c r="I142" s="41" t="n">
        <x:v>0.367289</x:v>
      </x:c>
      <x:c r="J142" s="41" t="n">
        <x:v>13.6828</x:v>
      </x:c>
      <x:c r="K142" s="41" t="n">
        <x:v>11.6841</x:v>
      </x:c>
      <x:c r="L142" s="41" t="n">
        <x:v>6.8025</x:v>
      </x:c>
      <x:c r="M142" s="41" t="n">
        <x:v>-28.2381</x:v>
      </x:c>
      <x:c r="N142" s="41" t="n">
        <x:v>-31.8117</x:v>
      </x:c>
      <x:c r="O142" s="41" t="n">
        <x:v>-56.4737</x:v>
      </x:c>
      <x:c r="P142" s="41" t="str">
        <x:v>1999-01-04</x:v>
      </x:c>
      <x:c r="Q142" s="41" t="str">
        <x:v>2026-05-22</x:v>
      </x:c>
    </x:row>
    <x:row r="143">
      <x:c r="A143" s="41" t="n">
        <x:v>142</x:v>
      </x:c>
      <x:c r="B143" s="41" t="str">
        <x:v>Weekly</x:v>
      </x:c>
      <x:c r="C143" s="41" t="str">
        <x:v>HYP_REFINE_AUTO002_TOPN_6_V1_DDGRID_EXT_R12_C25_E75_CR50_REDD_RECOVERED_DD10_SL25</x:v>
      </x:c>
      <x:c r="D143" s="41" t="str">
        <x:v>dd_guard_grid</x:v>
      </x:c>
      <x:c r="E143" s="41" t="n">
        <x:v>0.483982</x:v>
      </x:c>
      <x:c r="F143" s="41" t="n">
        <x:v>0.120454</x:v>
      </x:c>
      <x:c r="G143" s="41" t="n">
        <x:v>0.363528</x:v>
      </x:c>
      <x:c r="H143" s="41" t="n">
        <x:v>0.483982</x:v>
      </x:c>
      <x:c r="I143" s="41" t="n">
        <x:v>0.383676</x:v>
      </x:c>
      <x:c r="J143" s="41" t="n">
        <x:v>14.847</x:v>
      </x:c>
      <x:c r="K143" s="41" t="n">
        <x:v>14.3329</x:v>
      </x:c>
      <x:c r="L143" s="41" t="n">
        <x:v>6.8025</x:v>
      </x:c>
      <x:c r="M143" s="41" t="n">
        <x:v>-30.6767</x:v>
      </x:c>
      <x:c r="N143" s="41" t="n">
        <x:v>-37.3568</x:v>
      </x:c>
      <x:c r="O143" s="41" t="n">
        <x:v>-56.4737</x:v>
      </x:c>
      <x:c r="P143" s="41" t="str">
        <x:v>1999-01-04</x:v>
      </x:c>
      <x:c r="Q143" s="41" t="str">
        <x:v>2026-05-22</x:v>
      </x:c>
    </x:row>
    <x:row r="144">
      <x:c r="A144" s="41" t="n">
        <x:v>143</x:v>
      </x:c>
      <x:c r="B144" s="41" t="str">
        <x:v>Weekly</x:v>
      </x:c>
      <x:c r="C144" s="41" t="str">
        <x:v>HYP_REFINE_AUTO002_TOPN_6_V1_DDGRID_EXT_R14_C25_E66_CR50_REDD_RECOVERED_DD8_SL20</x:v>
      </x:c>
      <x:c r="D144" s="41" t="str">
        <x:v>dd_guard_grid</x:v>
      </x:c>
      <x:c r="E144" s="41" t="n">
        <x:v>0.483891</x:v>
      </x:c>
      <x:c r="F144" s="41" t="n">
        <x:v>0.120454</x:v>
      </x:c>
      <x:c r="G144" s="41" t="n">
        <x:v>0.363437</x:v>
      </x:c>
      <x:c r="H144" s="41" t="n">
        <x:v>0.483891</x:v>
      </x:c>
      <x:c r="I144" s="41" t="n">
        <x:v>0.380341</x:v>
      </x:c>
      <x:c r="J144" s="41" t="n">
        <x:v>15.012</x:v>
      </x:c>
      <x:c r="K144" s="41" t="n">
        <x:v>13.7602</x:v>
      </x:c>
      <x:c r="L144" s="41" t="n">
        <x:v>6.8025</x:v>
      </x:c>
      <x:c r="M144" s="41" t="n">
        <x:v>-31.0236</x:v>
      </x:c>
      <x:c r="N144" s="41" t="n">
        <x:v>-36.1787</x:v>
      </x:c>
      <x:c r="O144" s="41" t="n">
        <x:v>-56.4737</x:v>
      </x:c>
      <x:c r="P144" s="41" t="str">
        <x:v>1999-01-04</x:v>
      </x:c>
      <x:c r="Q144" s="41" t="str">
        <x:v>2026-05-22</x:v>
      </x:c>
    </x:row>
    <x:row r="145">
      <x:c r="A145" s="41" t="n">
        <x:v>144</x:v>
      </x:c>
      <x:c r="B145" s="41" t="str">
        <x:v>Weekly</x:v>
      </x:c>
      <x:c r="C145" s="41" t="str">
        <x:v>HYP_REFINE_AUTO002_TOPN_6_V1_DDGRID_LONG_R12_C23_E75_CR45_REDD_RECOVERED_DD9_SL20</x:v>
      </x:c>
      <x:c r="D145" s="41" t="str">
        <x:v>dd_guard_grid</x:v>
      </x:c>
      <x:c r="E145" s="41" t="n">
        <x:v>0.483861</x:v>
      </x:c>
      <x:c r="F145" s="41" t="n">
        <x:v>0.120454</x:v>
      </x:c>
      <x:c r="G145" s="41" t="n">
        <x:v>0.363407</x:v>
      </x:c>
      <x:c r="H145" s="41" t="n">
        <x:v>0.483861</x:v>
      </x:c>
      <x:c r="I145" s="41" t="n">
        <x:v>0.378033</x:v>
      </x:c>
      <x:c r="J145" s="41" t="n">
        <x:v>13.9455</x:v>
      </x:c>
      <x:c r="K145" s="41" t="n">
        <x:v>13.0108</x:v>
      </x:c>
      <x:c r="L145" s="41" t="n">
        <x:v>6.8025</x:v>
      </x:c>
      <x:c r="M145" s="41" t="n">
        <x:v>-28.8212</x:v>
      </x:c>
      <x:c r="N145" s="41" t="n">
        <x:v>-34.4171</x:v>
      </x:c>
      <x:c r="O145" s="41" t="n">
        <x:v>-56.4737</x:v>
      </x:c>
      <x:c r="P145" s="41" t="str">
        <x:v>1999-01-04</x:v>
      </x:c>
      <x:c r="Q145" s="41" t="str">
        <x:v>2026-05-22</x:v>
      </x:c>
    </x:row>
    <x:row r="146">
      <x:c r="A146" s="41" t="n">
        <x:v>145</x:v>
      </x:c>
      <x:c r="B146" s="41" t="str">
        <x:v>Weekly</x:v>
      </x:c>
      <x:c r="C146" s="41" t="str">
        <x:v>HYP_REFINE_AUTO002_TOPN_6_V1_DDGRID_EXT_R12_C24_E75_CR50_REDD_RECOVERED_DD6_SLNONE</x:v>
      </x:c>
      <x:c r="D146" s="41" t="str">
        <x:v>dd_guard_grid</x:v>
      </x:c>
      <x:c r="E146" s="41" t="n">
        <x:v>0.483341</x:v>
      </x:c>
      <x:c r="F146" s="41" t="n">
        <x:v>0.120454</x:v>
      </x:c>
      <x:c r="G146" s="41" t="n">
        <x:v>0.362888</x:v>
      </x:c>
      <x:c r="H146" s="41" t="n">
        <x:v>0.483341</x:v>
      </x:c>
      <x:c r="I146" s="41" t="n">
        <x:v>0.396828</x:v>
      </x:c>
      <x:c r="J146" s="41" t="n">
        <x:v>14.6394</x:v>
      </x:c>
      <x:c r="K146" s="41" t="n">
        <x:v>14.6296</x:v>
      </x:c>
      <x:c r="L146" s="41" t="n">
        <x:v>6.8025</x:v>
      </x:c>
      <x:c r="M146" s="41" t="n">
        <x:v>-30.288</x:v>
      </x:c>
      <x:c r="N146" s="41" t="n">
        <x:v>-36.8663</x:v>
      </x:c>
      <x:c r="O146" s="41" t="n">
        <x:v>-56.4737</x:v>
      </x:c>
      <x:c r="P146" s="41" t="str">
        <x:v>1999-01-04</x:v>
      </x:c>
      <x:c r="Q146" s="41" t="str">
        <x:v>2026-05-22</x:v>
      </x:c>
    </x:row>
    <x:row r="147">
      <x:c r="A147" s="41" t="n">
        <x:v>146</x:v>
      </x:c>
      <x:c r="B147" s="41" t="str">
        <x:v>Weekly</x:v>
      </x:c>
      <x:c r="C147" s="41" t="str">
        <x:v>HYP_REFINE_AUTO002_TOPN_6_V1_DDGRID_EXT_R12_C24_E66_CR40_REDD_RECOVERED_DD10_SL20</x:v>
      </x:c>
      <x:c r="D147" s="41" t="str">
        <x:v>dd_guard_grid</x:v>
      </x:c>
      <x:c r="E147" s="41" t="n">
        <x:v>0.48317</x:v>
      </x:c>
      <x:c r="F147" s="41" t="n">
        <x:v>0.120454</x:v>
      </x:c>
      <x:c r="G147" s="41" t="n">
        <x:v>0.362716</x:v>
      </x:c>
      <x:c r="H147" s="41" t="n">
        <x:v>0.48317</x:v>
      </x:c>
      <x:c r="I147" s="41" t="n">
        <x:v>0.391217</x:v>
      </x:c>
      <x:c r="J147" s="41" t="n">
        <x:v>13.9639</x:v>
      </x:c>
      <x:c r="K147" s="41" t="n">
        <x:v>13.2604</x:v>
      </x:c>
      <x:c r="L147" s="41" t="n">
        <x:v>6.8025</x:v>
      </x:c>
      <x:c r="M147" s="41" t="n">
        <x:v>-28.9006</x:v>
      </x:c>
      <x:c r="N147" s="41" t="n">
        <x:v>-33.8953</x:v>
      </x:c>
      <x:c r="O147" s="41" t="n">
        <x:v>-56.4737</x:v>
      </x:c>
      <x:c r="P147" s="41" t="str">
        <x:v>1999-01-04</x:v>
      </x:c>
      <x:c r="Q147" s="41" t="str">
        <x:v>2026-05-22</x:v>
      </x:c>
    </x:row>
    <x:row r="148">
      <x:c r="A148" s="41" t="n">
        <x:v>147</x:v>
      </x:c>
      <x:c r="B148" s="41" t="str">
        <x:v>Weekly</x:v>
      </x:c>
      <x:c r="C148" s="41" t="str">
        <x:v>HYP_REFINE_AUTO002_TOPN_6_V1_DDGRID_EXT_R14_C24_E75_CR50_REDD_RECOVERED_DD8_SL20</x:v>
      </x:c>
      <x:c r="D148" s="41" t="str">
        <x:v>dd_guard_grid</x:v>
      </x:c>
      <x:c r="E148" s="41" t="n">
        <x:v>0.482708</x:v>
      </x:c>
      <x:c r="F148" s="41" t="n">
        <x:v>0.120454</x:v>
      </x:c>
      <x:c r="G148" s="41" t="n">
        <x:v>0.362254</x:v>
      </x:c>
      <x:c r="H148" s="41" t="n">
        <x:v>0.482708</x:v>
      </x:c>
      <x:c r="I148" s="41" t="n">
        <x:v>0.376301</x:v>
      </x:c>
      <x:c r="J148" s="41" t="n">
        <x:v>14.8081</x:v>
      </x:c>
      <x:c r="K148" s="41" t="n">
        <x:v>13.7691</x:v>
      </x:c>
      <x:c r="L148" s="41" t="n">
        <x:v>6.8025</x:v>
      </x:c>
      <x:c r="M148" s="41" t="n">
        <x:v>-30.6772</x:v>
      </x:c>
      <x:c r="N148" s="41" t="n">
        <x:v>-36.5906</x:v>
      </x:c>
      <x:c r="O148" s="41" t="n">
        <x:v>-56.4737</x:v>
      </x:c>
      <x:c r="P148" s="41" t="str">
        <x:v>1999-01-04</x:v>
      </x:c>
      <x:c r="Q148" s="41" t="str">
        <x:v>2026-05-22</x:v>
      </x:c>
    </x:row>
    <x:row r="149">
      <x:c r="A149" s="41" t="n">
        <x:v>148</x:v>
      </x:c>
      <x:c r="B149" s="41" t="str">
        <x:v>Weekly</x:v>
      </x:c>
      <x:c r="C149" s="41" t="str">
        <x:v>HYP_REFINE_AUTO002_TOPN_6_V1_DDGRID_LONG_R12_C23_E72_CR45_REDD_RECOVERED_DD8_SL20</x:v>
      </x:c>
      <x:c r="D149" s="41" t="str">
        <x:v>dd_guard_grid</x:v>
      </x:c>
      <x:c r="E149" s="41" t="n">
        <x:v>0.482623</x:v>
      </x:c>
      <x:c r="F149" s="41" t="n">
        <x:v>0.120454</x:v>
      </x:c>
      <x:c r="G149" s="41" t="n">
        <x:v>0.362169</x:v>
      </x:c>
      <x:c r="H149" s="41" t="n">
        <x:v>0.482623</x:v>
      </x:c>
      <x:c r="I149" s="41" t="n">
        <x:v>0.415435</x:v>
      </x:c>
      <x:c r="J149" s="41" t="n">
        <x:v>13.7715</x:v>
      </x:c>
      <x:c r="K149" s="41" t="n">
        <x:v>14.2572</x:v>
      </x:c>
      <x:c r="L149" s="41" t="n">
        <x:v>6.8025</x:v>
      </x:c>
      <x:c r="M149" s="41" t="n">
        <x:v>-28.5347</x:v>
      </x:c>
      <x:c r="N149" s="41" t="n">
        <x:v>-34.3187</x:v>
      </x:c>
      <x:c r="O149" s="41" t="n">
        <x:v>-56.4737</x:v>
      </x:c>
      <x:c r="P149" s="41" t="str">
        <x:v>1999-01-04</x:v>
      </x:c>
      <x:c r="Q149" s="41" t="str">
        <x:v>2026-05-22</x:v>
      </x:c>
    </x:row>
    <x:row r="150">
      <x:c r="A150" s="41" t="n">
        <x:v>149</x:v>
      </x:c>
      <x:c r="B150" s="41" t="str">
        <x:v>Weekly</x:v>
      </x:c>
      <x:c r="C150" s="41" t="str">
        <x:v>HYP_REFINE_AUTO002_TOPN_6_V1_DDGRID_EXT_R12_C24_E75_CR50_REDD_RECOVERED_DD6_SL22</x:v>
      </x:c>
      <x:c r="D150" s="41" t="str">
        <x:v>dd_guard_grid</x:v>
      </x:c>
      <x:c r="E150" s="41" t="n">
        <x:v>0.482545</x:v>
      </x:c>
      <x:c r="F150" s="41" t="n">
        <x:v>0.120454</x:v>
      </x:c>
      <x:c r="G150" s="41" t="n">
        <x:v>0.362091</x:v>
      </x:c>
      <x:c r="H150" s="41" t="n">
        <x:v>0.482545</x:v>
      </x:c>
      <x:c r="I150" s="41" t="n">
        <x:v>0.394275</x:v>
      </x:c>
      <x:c r="J150" s="41" t="n">
        <x:v>14.4297</x:v>
      </x:c>
      <x:c r="K150" s="41" t="n">
        <x:v>14.2502</x:v>
      </x:c>
      <x:c r="L150" s="41" t="n">
        <x:v>6.8025</x:v>
      </x:c>
      <x:c r="M150" s="41" t="n">
        <x:v>-29.9033</x:v>
      </x:c>
      <x:c r="N150" s="41" t="n">
        <x:v>-36.1428</x:v>
      </x:c>
      <x:c r="O150" s="41" t="n">
        <x:v>-56.4737</x:v>
      </x:c>
      <x:c r="P150" s="41" t="str">
        <x:v>1999-01-04</x:v>
      </x:c>
      <x:c r="Q150" s="41" t="str">
        <x:v>2026-05-22</x:v>
      </x:c>
    </x:row>
    <x:row r="151">
      <x:c r="A151" s="41" t="n">
        <x:v>150</x:v>
      </x:c>
      <x:c r="B151" s="41" t="str">
        <x:v>Weekly</x:v>
      </x:c>
      <x:c r="C151" s="41" t="str">
        <x:v>HYP_REFINE_AUTO002_TOPN_6_V1_DDGRID_EXT_R12_C22_E75_CR50_REDD_RECOVERED_DD8_SL20</x:v>
      </x:c>
      <x:c r="D151" s="41" t="str">
        <x:v>dd_guard_grid</x:v>
      </x:c>
      <x:c r="E151" s="41" t="n">
        <x:v>0.482321</x:v>
      </x:c>
      <x:c r="F151" s="41" t="n">
        <x:v>0.120454</x:v>
      </x:c>
      <x:c r="G151" s="41" t="n">
        <x:v>0.361867</x:v>
      </x:c>
      <x:c r="H151" s="41" t="n">
        <x:v>0.482321</x:v>
      </x:c>
      <x:c r="I151" s="41" t="n">
        <x:v>0.409464</x:v>
      </x:c>
      <x:c r="J151" s="41" t="n">
        <x:v>14.5903</x:v>
      </x:c>
      <x:c r="K151" s="41" t="n">
        <x:v>14.4011</x:v>
      </x:c>
      <x:c r="L151" s="41" t="n">
        <x:v>6.8025</x:v>
      </x:c>
      <x:c r="M151" s="41" t="n">
        <x:v>-30.2501</x:v>
      </x:c>
      <x:c r="N151" s="41" t="n">
        <x:v>-35.1707</x:v>
      </x:c>
      <x:c r="O151" s="41" t="n">
        <x:v>-56.4737</x:v>
      </x:c>
      <x:c r="P151" s="41" t="str">
        <x:v>1999-01-04</x:v>
      </x:c>
      <x:c r="Q151" s="41" t="str">
        <x:v>2026-05-22</x:v>
      </x:c>
    </x:row>
    <x:row r="152">
      <x:c r="A152" s="41" t="n">
        <x:v>151</x:v>
      </x:c>
      <x:c r="B152" s="41" t="str">
        <x:v>Weekly</x:v>
      </x:c>
      <x:c r="C152" s="41" t="str">
        <x:v>HYP_REFINE_AUTO002_TOPN_6_V1_DDGRID_LONG_R12_C22_E75_CR50_REDD_RECOVERED_DD8_SL20</x:v>
      </x:c>
      <x:c r="D152" s="41" t="str">
        <x:v>dd_guard_grid</x:v>
      </x:c>
      <x:c r="E152" s="41" t="n">
        <x:v>0.482321</x:v>
      </x:c>
      <x:c r="F152" s="41" t="n">
        <x:v>0.120454</x:v>
      </x:c>
      <x:c r="G152" s="41" t="n">
        <x:v>0.361867</x:v>
      </x:c>
      <x:c r="H152" s="41" t="n">
        <x:v>0.482321</x:v>
      </x:c>
      <x:c r="I152" s="41" t="n">
        <x:v>0.409464</x:v>
      </x:c>
      <x:c r="J152" s="41" t="n">
        <x:v>14.5903</x:v>
      </x:c>
      <x:c r="K152" s="41" t="n">
        <x:v>14.4011</x:v>
      </x:c>
      <x:c r="L152" s="41" t="n">
        <x:v>6.8025</x:v>
      </x:c>
      <x:c r="M152" s="41" t="n">
        <x:v>-30.2501</x:v>
      </x:c>
      <x:c r="N152" s="41" t="n">
        <x:v>-35.1707</x:v>
      </x:c>
      <x:c r="O152" s="41" t="n">
        <x:v>-56.4737</x:v>
      </x:c>
      <x:c r="P152" s="41" t="str">
        <x:v>1999-01-04</x:v>
      </x:c>
      <x:c r="Q152" s="41" t="str">
        <x:v>2026-05-22</x:v>
      </x:c>
    </x:row>
    <x:row r="153">
      <x:c r="A153" s="41" t="n">
        <x:v>152</x:v>
      </x:c>
      <x:c r="B153" s="41" t="str">
        <x:v>Weekly</x:v>
      </x:c>
      <x:c r="C153" s="41" t="str">
        <x:v>HYP_REFINE_AUTO002_TOPN_6_V1_DDGRID_EXT_R12_C22_E66_CR50_REDD_RECOVERED_DD8_SL22</x:v>
      </x:c>
      <x:c r="D153" s="41" t="str">
        <x:v>dd_guard_grid</x:v>
      </x:c>
      <x:c r="E153" s="41" t="n">
        <x:v>0.482279</x:v>
      </x:c>
      <x:c r="F153" s="41" t="n">
        <x:v>0.120454</x:v>
      </x:c>
      <x:c r="G153" s="41" t="n">
        <x:v>0.361825</x:v>
      </x:c>
      <x:c r="H153" s="41" t="n">
        <x:v>0.482279</x:v>
      </x:c>
      <x:c r="I153" s="41" t="n">
        <x:v>0.378027</x:v>
      </x:c>
      <x:c r="J153" s="41" t="n">
        <x:v>13.6065</x:v>
      </x:c>
      <x:c r="K153" s="41" t="n">
        <x:v>13.0755</x:v>
      </x:c>
      <x:c r="L153" s="41" t="n">
        <x:v>6.8025</x:v>
      </x:c>
      <x:c r="M153" s="41" t="n">
        <x:v>-28.213</x:v>
      </x:c>
      <x:c r="N153" s="41" t="n">
        <x:v>-34.5886</x:v>
      </x:c>
      <x:c r="O153" s="41" t="n">
        <x:v>-56.4737</x:v>
      </x:c>
      <x:c r="P153" s="41" t="str">
        <x:v>1999-01-04</x:v>
      </x:c>
      <x:c r="Q153" s="41" t="str">
        <x:v>2026-05-22</x:v>
      </x:c>
    </x:row>
    <x:row r="154">
      <x:c r="A154" s="41" t="n">
        <x:v>153</x:v>
      </x:c>
      <x:c r="B154" s="41" t="str">
        <x:v>Weekly</x:v>
      </x:c>
      <x:c r="C154" s="41" t="str">
        <x:v>HYP_REFINE_AUTO002_TOPN_6_V1_DDGRID_EXT_R12_C24_E60_CR50_REDD_RECOVERED_DD8_SL20</x:v>
      </x:c>
      <x:c r="D154" s="41" t="str">
        <x:v>dd_guard_grid</x:v>
      </x:c>
      <x:c r="E154" s="41" t="n">
        <x:v>0.482091</x:v>
      </x:c>
      <x:c r="F154" s="41" t="n">
        <x:v>0.120454</x:v>
      </x:c>
      <x:c r="G154" s="41" t="n">
        <x:v>0.361638</x:v>
      </x:c>
      <x:c r="H154" s="41" t="n">
        <x:v>0.482091</x:v>
      </x:c>
      <x:c r="I154" s="41" t="n">
        <x:v>0.350888</x:v>
      </x:c>
      <x:c r="J154" s="41" t="n">
        <x:v>13.7215</x:v>
      </x:c>
      <x:c r="K154" s="41" t="n">
        <x:v>11.8145</x:v>
      </x:c>
      <x:c r="L154" s="41" t="n">
        <x:v>6.8025</x:v>
      </x:c>
      <x:c r="M154" s="41" t="n">
        <x:v>-28.4624</x:v>
      </x:c>
      <x:c r="N154" s="41" t="n">
        <x:v>-33.6704</x:v>
      </x:c>
      <x:c r="O154" s="41" t="n">
        <x:v>-56.4737</x:v>
      </x:c>
      <x:c r="P154" s="41" t="str">
        <x:v>1999-01-04</x:v>
      </x:c>
      <x:c r="Q154" s="41" t="str">
        <x:v>2026-05-22</x:v>
      </x:c>
    </x:row>
    <x:row r="155">
      <x:c r="A155" s="41" t="n">
        <x:v>154</x:v>
      </x:c>
      <x:c r="B155" s="41" t="str">
        <x:v>Weekly</x:v>
      </x:c>
      <x:c r="C155" s="41" t="str">
        <x:v>HYP_REFINE_AUTO002_TOPN_6_V1_DDGRID_EXT_R12_C22_E75_CR50_REDD_RECOVERED_DD8_SL22</x:v>
      </x:c>
      <x:c r="D155" s="41" t="str">
        <x:v>dd_guard_grid</x:v>
      </x:c>
      <x:c r="E155" s="41" t="n">
        <x:v>0.481909</x:v>
      </x:c>
      <x:c r="F155" s="41" t="n">
        <x:v>0.120454</x:v>
      </x:c>
      <x:c r="G155" s="41" t="n">
        <x:v>0.361455</x:v>
      </x:c>
      <x:c r="H155" s="41" t="n">
        <x:v>0.481909</x:v>
      </x:c>
      <x:c r="I155" s="41" t="n">
        <x:v>0.398627</x:v>
      </x:c>
      <x:c r="J155" s="41" t="n">
        <x:v>14.51</x:v>
      </x:c>
      <x:c r="K155" s="41" t="n">
        <x:v>14.032</x:v>
      </x:c>
      <x:c r="L155" s="41" t="n">
        <x:v>6.8025</x:v>
      </x:c>
      <x:c r="M155" s="41" t="n">
        <x:v>-30.1094</x:v>
      </x:c>
      <x:c r="N155" s="41" t="n">
        <x:v>-35.2009</x:v>
      </x:c>
      <x:c r="O155" s="41" t="n">
        <x:v>-56.4737</x:v>
      </x:c>
      <x:c r="P155" s="41" t="str">
        <x:v>1999-01-04</x:v>
      </x:c>
      <x:c r="Q155" s="41" t="str">
        <x:v>2026-05-22</x:v>
      </x:c>
    </x:row>
    <x:row r="156">
      <x:c r="A156" s="41" t="n">
        <x:v>155</x:v>
      </x:c>
      <x:c r="B156" s="41" t="str">
        <x:v>Weekly</x:v>
      </x:c>
      <x:c r="C156" s="41" t="str">
        <x:v>HYP_REFINE_AUTO002_TOPN_6_V1_DDGRID_EXT_R12_C28_E66_CR50_REDD_RECOVERED_DD8_SL20</x:v>
      </x:c>
      <x:c r="D156" s="41" t="str">
        <x:v>dd_guard_grid</x:v>
      </x:c>
      <x:c r="E156" s="41" t="n">
        <x:v>0.481905</x:v>
      </x:c>
      <x:c r="F156" s="41" t="n">
        <x:v>0.120454</x:v>
      </x:c>
      <x:c r="G156" s="41" t="n">
        <x:v>0.361451</x:v>
      </x:c>
      <x:c r="H156" s="41" t="n">
        <x:v>0.481905</x:v>
      </x:c>
      <x:c r="I156" s="41" t="n">
        <x:v>0.394864</x:v>
      </x:c>
      <x:c r="J156" s="41" t="n">
        <x:v>14.9384</x:v>
      </x:c>
      <x:c r="K156" s="41" t="n">
        <x:v>14.0449</x:v>
      </x:c>
      <x:c r="L156" s="41" t="n">
        <x:v>6.8025</x:v>
      </x:c>
      <x:c r="M156" s="41" t="n">
        <x:v>-30.9987</x:v>
      </x:c>
      <x:c r="N156" s="41" t="n">
        <x:v>-35.569</x:v>
      </x:c>
      <x:c r="O156" s="41" t="n">
        <x:v>-56.4737</x:v>
      </x:c>
      <x:c r="P156" s="41" t="str">
        <x:v>1999-01-04</x:v>
      </x:c>
      <x:c r="Q156" s="41" t="str">
        <x:v>2026-05-22</x:v>
      </x:c>
    </x:row>
    <x:row r="157">
      <x:c r="A157" s="41" t="n">
        <x:v>156</x:v>
      </x:c>
      <x:c r="B157" s="41" t="str">
        <x:v>Weekly</x:v>
      </x:c>
      <x:c r="C157" s="41" t="str">
        <x:v>HYP_REFINE_AUTO002_TOPN_6_V1_DDGRID_EXT_R12_C25_E66_CR50_REDD_RECOVERED_DD6_SL20</x:v>
      </x:c>
      <x:c r="D157" s="41" t="str">
        <x:v>dd_guard_grid</x:v>
      </x:c>
      <x:c r="E157" s="41" t="n">
        <x:v>0.481855</x:v>
      </x:c>
      <x:c r="F157" s="41" t="n">
        <x:v>0.120454</x:v>
      </x:c>
      <x:c r="G157" s="41" t="n">
        <x:v>0.361401</x:v>
      </x:c>
      <x:c r="H157" s="41" t="n">
        <x:v>0.481855</x:v>
      </x:c>
      <x:c r="I157" s="41" t="n">
        <x:v>0.394488</x:v>
      </x:c>
      <x:c r="J157" s="41" t="n">
        <x:v>14.4206</x:v>
      </x:c>
      <x:c r="K157" s="41" t="n">
        <x:v>13.6679</x:v>
      </x:c>
      <x:c r="L157" s="41" t="n">
        <x:v>6.8025</x:v>
      </x:c>
      <x:c r="M157" s="41" t="n">
        <x:v>-29.9272</x:v>
      </x:c>
      <x:c r="N157" s="41" t="n">
        <x:v>-34.6471</x:v>
      </x:c>
      <x:c r="O157" s="41" t="n">
        <x:v>-56.4737</x:v>
      </x:c>
      <x:c r="P157" s="41" t="str">
        <x:v>1999-01-04</x:v>
      </x:c>
      <x:c r="Q157" s="41" t="str">
        <x:v>2026-05-22</x:v>
      </x:c>
    </x:row>
    <x:row r="158">
      <x:c r="A158" s="41" t="n">
        <x:v>157</x:v>
      </x:c>
      <x:c r="B158" s="41" t="str">
        <x:v>Weekly</x:v>
      </x:c>
      <x:c r="C158" s="41" t="str">
        <x:v>HYP_REFINE_AUTO002_TOPN_6_V1_DDGRID_EXT_R12_C24_E60_CR50_REDD_RECOVERED_DD8_SL22</x:v>
      </x:c>
      <x:c r="D158" s="41" t="str">
        <x:v>dd_guard_grid</x:v>
      </x:c>
      <x:c r="E158" s="41" t="n">
        <x:v>0.481321</x:v>
      </x:c>
      <x:c r="F158" s="41" t="n">
        <x:v>0.120454</x:v>
      </x:c>
      <x:c r="G158" s="41" t="n">
        <x:v>0.360867</x:v>
      </x:c>
      <x:c r="H158" s="41" t="n">
        <x:v>0.481321</x:v>
      </x:c>
      <x:c r="I158" s="41" t="n">
        <x:v>0.363015</x:v>
      </x:c>
      <x:c r="J158" s="41" t="n">
        <x:v>13.6254</x:v>
      </x:c>
      <x:c r="K158" s="41" t="n">
        <x:v>12.4826</x:v>
      </x:c>
      <x:c r="L158" s="41" t="n">
        <x:v>6.8025</x:v>
      </x:c>
      <x:c r="M158" s="41" t="n">
        <x:v>-28.3082</x:v>
      </x:c>
      <x:c r="N158" s="41" t="n">
        <x:v>-34.386</x:v>
      </x:c>
      <x:c r="O158" s="41" t="n">
        <x:v>-56.4737</x:v>
      </x:c>
      <x:c r="P158" s="41" t="str">
        <x:v>1999-01-04</x:v>
      </x:c>
      <x:c r="Q158" s="41" t="str">
        <x:v>2026-05-22</x:v>
      </x:c>
    </x:row>
    <x:row r="159">
      <x:c r="A159" s="41" t="n">
        <x:v>158</x:v>
      </x:c>
      <x:c r="B159" s="41" t="str">
        <x:v>Weekly</x:v>
      </x:c>
      <x:c r="C159" s="41" t="str">
        <x:v>HYP_REFINE_AUTO002_TOPN_6_V1_DDGRID_LONG_R12_C21_E75_CR45_REDD_RECOVERED_DD8_SL22</x:v>
      </x:c>
      <x:c r="D159" s="41" t="str">
        <x:v>dd_guard_grid</x:v>
      </x:c>
      <x:c r="E159" s="41" t="n">
        <x:v>0.481271</x:v>
      </x:c>
      <x:c r="F159" s="41" t="n">
        <x:v>0.120454</x:v>
      </x:c>
      <x:c r="G159" s="41" t="n">
        <x:v>0.360817</x:v>
      </x:c>
      <x:c r="H159" s="41" t="n">
        <x:v>0.481271</x:v>
      </x:c>
      <x:c r="I159" s="41" t="n">
        <x:v>0.394644</x:v>
      </x:c>
      <x:c r="J159" s="41" t="n">
        <x:v>14.0227</x:v>
      </x:c>
      <x:c r="K159" s="41" t="n">
        <x:v>13.5</x:v>
      </x:c>
      <x:c r="L159" s="41" t="n">
        <x:v>6.8025</x:v>
      </x:c>
      <x:c r="M159" s="41" t="n">
        <x:v>-29.1368</x:v>
      </x:c>
      <x:c r="N159" s="41" t="n">
        <x:v>-34.208</x:v>
      </x:c>
      <x:c r="O159" s="41" t="n">
        <x:v>-56.4737</x:v>
      </x:c>
      <x:c r="P159" s="41" t="str">
        <x:v>1999-01-04</x:v>
      </x:c>
      <x:c r="Q159" s="41" t="str">
        <x:v>2026-05-22</x:v>
      </x:c>
    </x:row>
    <x:row r="160">
      <x:c r="A160" s="41" t="n">
        <x:v>159</x:v>
      </x:c>
      <x:c r="B160" s="41" t="str">
        <x:v>Weekly</x:v>
      </x:c>
      <x:c r="C160" s="41" t="str">
        <x:v>HYP_REFINE_AUTO002_TOPN_6_V1_DDGRID_EXT_R12_C22_E75_CR50_REDD_RECOVERED_DD8_SL25</x:v>
      </x:c>
      <x:c r="D160" s="41" t="str">
        <x:v>dd_guard_grid</x:v>
      </x:c>
      <x:c r="E160" s="41" t="n">
        <x:v>0.48112</x:v>
      </x:c>
      <x:c r="F160" s="41" t="n">
        <x:v>0.120454</x:v>
      </x:c>
      <x:c r="G160" s="41" t="n">
        <x:v>0.360666</x:v>
      </x:c>
      <x:c r="H160" s="41" t="n">
        <x:v>0.48112</x:v>
      </x:c>
      <x:c r="I160" s="41" t="n">
        <x:v>0.393704</x:v>
      </x:c>
      <x:c r="J160" s="41" t="n">
        <x:v>14.4865</x:v>
      </x:c>
      <x:c r="K160" s="41" t="n">
        <x:v>14.0188</x:v>
      </x:c>
      <x:c r="L160" s="41" t="n">
        <x:v>6.8025</x:v>
      </x:c>
      <x:c r="M160" s="41" t="n">
        <x:v>-30.1099</x:v>
      </x:c>
      <x:c r="N160" s="41" t="n">
        <x:v>-35.6075</x:v>
      </x:c>
      <x:c r="O160" s="41" t="n">
        <x:v>-56.4737</x:v>
      </x:c>
      <x:c r="P160" s="41" t="str">
        <x:v>1999-01-04</x:v>
      </x:c>
      <x:c r="Q160" s="41" t="str">
        <x:v>2026-05-22</x:v>
      </x:c>
    </x:row>
    <x:row r="161">
      <x:c r="A161" s="41" t="n">
        <x:v>160</x:v>
      </x:c>
      <x:c r="B161" s="41" t="str">
        <x:v>Weekly</x:v>
      </x:c>
      <x:c r="C161" s="41" t="str">
        <x:v>HYP_REFINE_AUTO002_TOPN_6_V1_DDGRID_LONG_R12_C22_E75_CR42_REDD_RECOVERED_DD8_SLNONE</x:v>
      </x:c>
      <x:c r="D161" s="41" t="str">
        <x:v>dd_guard_grid</x:v>
      </x:c>
      <x:c r="E161" s="41" t="n">
        <x:v>0.480841</x:v>
      </x:c>
      <x:c r="F161" s="41" t="n">
        <x:v>0.120454</x:v>
      </x:c>
      <x:c r="G161" s="41" t="n">
        <x:v>0.360387</x:v>
      </x:c>
      <x:c r="H161" s="41" t="n">
        <x:v>0.480841</x:v>
      </x:c>
      <x:c r="I161" s="41" t="n">
        <x:v>0.372873</x:v>
      </x:c>
      <x:c r="J161" s="41" t="n">
        <x:v>13.9986</x:v>
      </x:c>
      <x:c r="K161" s="41" t="n">
        <x:v>12.5814</x:v>
      </x:c>
      <x:c r="L161" s="41" t="n">
        <x:v>6.8025</x:v>
      </x:c>
      <x:c r="M161" s="41" t="n">
        <x:v>-29.1127</x:v>
      </x:c>
      <x:c r="N161" s="41" t="n">
        <x:v>-33.7418</x:v>
      </x:c>
      <x:c r="O161" s="41" t="n">
        <x:v>-56.4737</x:v>
      </x:c>
      <x:c r="P161" s="41" t="str">
        <x:v>1999-01-04</x:v>
      </x:c>
      <x:c r="Q161" s="41" t="str">
        <x:v>2026-05-22</x:v>
      </x:c>
    </x:row>
    <x:row r="162">
      <x:c r="A162" s="41" t="n">
        <x:v>161</x:v>
      </x:c>
      <x:c r="B162" s="41" t="str">
        <x:v>Weekly</x:v>
      </x:c>
      <x:c r="C162" s="41" t="str">
        <x:v>HYP_REFINE_AUTO002_TOPN_6_V1_DDGRID_EXT_R12_C25_E66_CR50_REDD_RECOVERED_DD10_SL20</x:v>
      </x:c>
      <x:c r="D162" s="41" t="str">
        <x:v>dd_guard_grid</x:v>
      </x:c>
      <x:c r="E162" s="41" t="n">
        <x:v>0.480812</x:v>
      </x:c>
      <x:c r="F162" s="41" t="n">
        <x:v>0.120454</x:v>
      </x:c>
      <x:c r="G162" s="41" t="n">
        <x:v>0.360358</x:v>
      </x:c>
      <x:c r="H162" s="41" t="n">
        <x:v>0.480812</x:v>
      </x:c>
      <x:c r="I162" s="41" t="n">
        <x:v>0.39438</x:v>
      </x:c>
      <x:c r="J162" s="41" t="n">
        <x:v>14.3894</x:v>
      </x:c>
      <x:c r="K162" s="41" t="n">
        <x:v>13.6021</x:v>
      </x:c>
      <x:c r="L162" s="41" t="n">
        <x:v>6.8025</x:v>
      </x:c>
      <x:c r="M162" s="41" t="n">
        <x:v>-29.9272</x:v>
      </x:c>
      <x:c r="N162" s="41" t="n">
        <x:v>-34.4899</x:v>
      </x:c>
      <x:c r="O162" s="41" t="n">
        <x:v>-56.4737</x:v>
      </x:c>
      <x:c r="P162" s="41" t="str">
        <x:v>1999-01-04</x:v>
      </x:c>
      <x:c r="Q162" s="41" t="str">
        <x:v>2026-05-22</x:v>
      </x:c>
    </x:row>
    <x:row r="163">
      <x:c r="A163" s="41" t="n">
        <x:v>162</x:v>
      </x:c>
      <x:c r="B163" s="41" t="str">
        <x:v>Weekly</x:v>
      </x:c>
      <x:c r="C163" s="41" t="str">
        <x:v>HYP_REFINE_AUTO002_TOPN_6_V1_DDGRID_EXT_FINE_R14_C25_E75_CR50_REDD_RECOVERED_DD8_SL20</x:v>
      </x:c>
      <x:c r="D163" s="41" t="str">
        <x:v>dd_guard_grid</x:v>
      </x:c>
      <x:c r="E163" s="41" t="n">
        <x:v>0.480782</x:v>
      </x:c>
      <x:c r="F163" s="41" t="n">
        <x:v>0.120454</x:v>
      </x:c>
      <x:c r="G163" s="41" t="n">
        <x:v>0.360328</x:v>
      </x:c>
      <x:c r="H163" s="41" t="n">
        <x:v>0.480782</x:v>
      </x:c>
      <x:c r="I163" s="41" t="n">
        <x:v>0.39051</x:v>
      </x:c>
      <x:c r="J163" s="41" t="n">
        <x:v>15.0546</x:v>
      </x:c>
      <x:c r="K163" s="41" t="n">
        <x:v>14.3615</x:v>
      </x:c>
      <x:c r="L163" s="41" t="n">
        <x:v>6.8025</x:v>
      </x:c>
      <x:c r="M163" s="41" t="n">
        <x:v>-31.3126</x:v>
      </x:c>
      <x:c r="N163" s="41" t="n">
        <x:v>-36.7764</x:v>
      </x:c>
      <x:c r="O163" s="41" t="n">
        <x:v>-56.4737</x:v>
      </x:c>
      <x:c r="P163" s="41" t="str">
        <x:v>1999-01-04</x:v>
      </x:c>
      <x:c r="Q163" s="41" t="str">
        <x:v>2026-05-22</x:v>
      </x:c>
    </x:row>
    <x:row r="164">
      <x:c r="A164" s="41" t="n">
        <x:v>163</x:v>
      </x:c>
      <x:c r="B164" s="41" t="str">
        <x:v>Weekly</x:v>
      </x:c>
      <x:c r="C164" s="41" t="str">
        <x:v>HYP_REFINE_AUTO002_TOPN_6_V1_DDGRID_EXT_R12_C24_E75_CR50_REDD_RECOVERED_DD6_SL25</x:v>
      </x:c>
      <x:c r="D164" s="41" t="str">
        <x:v>dd_guard_grid</x:v>
      </x:c>
      <x:c r="E164" s="41" t="n">
        <x:v>0.480713</x:v>
      </x:c>
      <x:c r="F164" s="41" t="n">
        <x:v>0.120454</x:v>
      </x:c>
      <x:c r="G164" s="41" t="n">
        <x:v>0.360259</x:v>
      </x:c>
      <x:c r="H164" s="41" t="n">
        <x:v>0.480713</x:v>
      </x:c>
      <x:c r="I164" s="41" t="n">
        <x:v>0.383252</x:v>
      </x:c>
      <x:c r="J164" s="41" t="n">
        <x:v>14.3603</x:v>
      </x:c>
      <x:c r="K164" s="41" t="n">
        <x:v>14.2724</x:v>
      </x:c>
      <x:c r="L164" s="41" t="n">
        <x:v>6.8025</x:v>
      </x:c>
      <x:c r="M164" s="41" t="n">
        <x:v>-29.873</x:v>
      </x:c>
      <x:c r="N164" s="41" t="n">
        <x:v>-37.2402</x:v>
      </x:c>
      <x:c r="O164" s="41" t="n">
        <x:v>-56.4737</x:v>
      </x:c>
      <x:c r="P164" s="41" t="str">
        <x:v>1999-01-04</x:v>
      </x:c>
      <x:c r="Q164" s="41" t="str">
        <x:v>2026-05-22</x:v>
      </x:c>
    </x:row>
    <x:row r="165">
      <x:c r="A165" s="41" t="n">
        <x:v>164</x:v>
      </x:c>
      <x:c r="B165" s="41" t="str">
        <x:v>Weekly</x:v>
      </x:c>
      <x:c r="C165" s="41" t="str">
        <x:v>HYP_REFINE_AUTO002_TOPN_6_V1_DDGRID_EXT_R12_C26_E75_CR50_REDD_RECOVERED_DD10_SL18</x:v>
      </x:c>
      <x:c r="D165" s="41" t="str">
        <x:v>dd_guard_grid</x:v>
      </x:c>
      <x:c r="E165" s="41" t="n">
        <x:v>0.480526</x:v>
      </x:c>
      <x:c r="F165" s="41" t="n">
        <x:v>0.120454</x:v>
      </x:c>
      <x:c r="G165" s="41" t="n">
        <x:v>0.360072</x:v>
      </x:c>
      <x:c r="H165" s="41" t="n">
        <x:v>0.480526</x:v>
      </x:c>
      <x:c r="I165" s="41" t="n">
        <x:v>0.373346</x:v>
      </x:c>
      <x:c r="J165" s="41" t="n">
        <x:v>14.9144</x:v>
      </x:c>
      <x:c r="K165" s="41" t="n">
        <x:v>13.7977</x:v>
      </x:c>
      <x:c r="L165" s="41" t="n">
        <x:v>6.8025</x:v>
      </x:c>
      <x:c r="M165" s="41" t="n">
        <x:v>-31.0378</x:v>
      </x:c>
      <x:c r="N165" s="41" t="n">
        <x:v>-36.9568</x:v>
      </x:c>
      <x:c r="O165" s="41" t="n">
        <x:v>-56.4737</x:v>
      </x:c>
      <x:c r="P165" s="41" t="str">
        <x:v>1999-01-04</x:v>
      </x:c>
      <x:c r="Q165" s="41" t="str">
        <x:v>2026-05-22</x:v>
      </x:c>
    </x:row>
    <x:row r="166">
      <x:c r="A166" s="41" t="n">
        <x:v>165</x:v>
      </x:c>
      <x:c r="B166" s="41" t="str">
        <x:v>Weekly</x:v>
      </x:c>
      <x:c r="C166" s="41" t="str">
        <x:v>HYP_REFINE_AUTO002_TOPN_6_V1_DDGRID_EXT_R12_C25_E75_CR50_REDD_RECOVERED_DD10_SL18</x:v>
      </x:c>
      <x:c r="D166" s="41" t="str">
        <x:v>dd_guard_grid</x:v>
      </x:c>
      <x:c r="E166" s="41" t="n">
        <x:v>0.480523</x:v>
      </x:c>
      <x:c r="F166" s="41" t="n">
        <x:v>0.120454</x:v>
      </x:c>
      <x:c r="G166" s="41" t="n">
        <x:v>0.360069</x:v>
      </x:c>
      <x:c r="H166" s="41" t="n">
        <x:v>0.480523</x:v>
      </x:c>
      <x:c r="I166" s="41" t="n">
        <x:v>0.386017</x:v>
      </x:c>
      <x:c r="J166" s="41" t="n">
        <x:v>14.8393</x:v>
      </x:c>
      <x:c r="K166" s="41" t="n">
        <x:v>13.7626</x:v>
      </x:c>
      <x:c r="L166" s="41" t="n">
        <x:v>6.8025</x:v>
      </x:c>
      <x:c r="M166" s="41" t="n">
        <x:v>-30.8816</x:v>
      </x:c>
      <x:c r="N166" s="41" t="n">
        <x:v>-35.6527</x:v>
      </x:c>
      <x:c r="O166" s="41" t="n">
        <x:v>-56.4737</x:v>
      </x:c>
      <x:c r="P166" s="41" t="str">
        <x:v>1999-01-04</x:v>
      </x:c>
      <x:c r="Q166" s="41" t="str">
        <x:v>2026-05-22</x:v>
      </x:c>
    </x:row>
    <x:row r="167">
      <x:c r="A167" s="41" t="n">
        <x:v>166</x:v>
      </x:c>
      <x:c r="B167" s="41" t="str">
        <x:v>Weekly</x:v>
      </x:c>
      <x:c r="C167" s="41" t="str">
        <x:v>HYP_REFINE_AUTO002_TOPN_6_V1_DDGRID_LONG_R12_C23_E78_CR40_REDD_RECOVERED_DD8_SLNONE</x:v>
      </x:c>
      <x:c r="D167" s="41" t="str">
        <x:v>dd_guard_grid</x:v>
      </x:c>
      <x:c r="E167" s="41" t="n">
        <x:v>0.480301</x:v>
      </x:c>
      <x:c r="F167" s="41" t="n">
        <x:v>0.120454</x:v>
      </x:c>
      <x:c r="G167" s="41" t="n">
        <x:v>0.359847</x:v>
      </x:c>
      <x:c r="H167" s="41" t="n">
        <x:v>0.480301</x:v>
      </x:c>
      <x:c r="I167" s="41" t="n">
        <x:v>0.372672</x:v>
      </x:c>
      <x:c r="J167" s="41" t="n">
        <x:v>13.8628</x:v>
      </x:c>
      <x:c r="K167" s="41" t="n">
        <x:v>12.9806</x:v>
      </x:c>
      <x:c r="L167" s="41" t="n">
        <x:v>6.8025</x:v>
      </x:c>
      <x:c r="M167" s="41" t="n">
        <x:v>-28.8628</x:v>
      </x:c>
      <x:c r="N167" s="41" t="n">
        <x:v>-34.8313</x:v>
      </x:c>
      <x:c r="O167" s="41" t="n">
        <x:v>-56.4737</x:v>
      </x:c>
      <x:c r="P167" s="41" t="str">
        <x:v>1999-01-04</x:v>
      </x:c>
      <x:c r="Q167" s="41" t="str">
        <x:v>2026-05-22</x:v>
      </x:c>
    </x:row>
    <x:row r="168">
      <x:c r="A168" s="41" t="n">
        <x:v>167</x:v>
      </x:c>
      <x:c r="B168" s="41" t="str">
        <x:v>Weekly</x:v>
      </x:c>
      <x:c r="C168" s="41" t="str">
        <x:v>HYP_REFINE_AUTO002_TOPN_6_V1_DDGRID_EXT_R12_C24_E75_CR40_REDD_RECOVERED_DD8_SL25</x:v>
      </x:c>
      <x:c r="D168" s="41" t="str">
        <x:v>dd_guard_grid</x:v>
      </x:c>
      <x:c r="E168" s="41" t="n">
        <x:v>0.479728</x:v>
      </x:c>
      <x:c r="F168" s="41" t="n">
        <x:v>0.120454</x:v>
      </x:c>
      <x:c r="G168" s="41" t="n">
        <x:v>0.359275</x:v>
      </x:c>
      <x:c r="H168" s="41" t="n">
        <x:v>0.479728</x:v>
      </x:c>
      <x:c r="I168" s="41" t="n">
        <x:v>0.337783</x:v>
      </x:c>
      <x:c r="J168" s="41" t="n">
        <x:v>13.8627</x:v>
      </x:c>
      <x:c r="K168" s="41" t="n">
        <x:v>12.0634</x:v>
      </x:c>
      <x:c r="L168" s="41" t="n">
        <x:v>6.8025</x:v>
      </x:c>
      <x:c r="M168" s="41" t="n">
        <x:v>-28.897</x:v>
      </x:c>
      <x:c r="N168" s="41" t="n">
        <x:v>-35.7133</x:v>
      </x:c>
      <x:c r="O168" s="41" t="n">
        <x:v>-56.4737</x:v>
      </x:c>
      <x:c r="P168" s="41" t="str">
        <x:v>1999-01-04</x:v>
      </x:c>
      <x:c r="Q168" s="41" t="str">
        <x:v>2026-05-22</x:v>
      </x:c>
    </x:row>
    <x:row r="169">
      <x:c r="A169" s="41" t="n">
        <x:v>168</x:v>
      </x:c>
      <x:c r="B169" s="41" t="str">
        <x:v>Weekly</x:v>
      </x:c>
      <x:c r="C169" s="41" t="str">
        <x:v>HYP_REFINE_AUTO002_TOPN_6_V1_DDGRID_EXT_R10_C25_E75_CR50_REDD_RECOVERED_DD8_SL18</x:v>
      </x:c>
      <x:c r="D169" s="41" t="str">
        <x:v>dd_guard_grid</x:v>
      </x:c>
      <x:c r="E169" s="41" t="n">
        <x:v>0.479402</x:v>
      </x:c>
      <x:c r="F169" s="41" t="n">
        <x:v>0.120454</x:v>
      </x:c>
      <x:c r="G169" s="41" t="n">
        <x:v>0.358948</x:v>
      </x:c>
      <x:c r="H169" s="41" t="n">
        <x:v>0.479402</x:v>
      </x:c>
      <x:c r="I169" s="41" t="n">
        <x:v>0.40622</x:v>
      </x:c>
      <x:c r="J169" s="41" t="n">
        <x:v>14.8047</x:v>
      </x:c>
      <x:c r="K169" s="41" t="n">
        <x:v>14.4828</x:v>
      </x:c>
      <x:c r="L169" s="41" t="n">
        <x:v>6.8025</x:v>
      </x:c>
      <x:c r="M169" s="41" t="n">
        <x:v>-30.8816</x:v>
      </x:c>
      <x:c r="N169" s="41" t="n">
        <x:v>-35.6527</x:v>
      </x:c>
      <x:c r="O169" s="41" t="n">
        <x:v>-56.4737</x:v>
      </x:c>
      <x:c r="P169" s="41" t="str">
        <x:v>1999-01-04</x:v>
      </x:c>
      <x:c r="Q169" s="41" t="str">
        <x:v>2026-05-22</x:v>
      </x:c>
    </x:row>
    <x:row r="170">
      <x:c r="A170" s="41" t="n">
        <x:v>169</x:v>
      </x:c>
      <x:c r="B170" s="41" t="str">
        <x:v>Weekly</x:v>
      </x:c>
      <x:c r="C170" s="41" t="str">
        <x:v>HYP_REFINE_AUTO002_TOPN_6_V1_DDGRID_EXT_R12_C24_E75_CR50_REDD_RECOVERED_DD6_SL20</x:v>
      </x:c>
      <x:c r="D170" s="41" t="str">
        <x:v>dd_guard_grid</x:v>
      </x:c>
      <x:c r="E170" s="41" t="n">
        <x:v>0.478767</x:v>
      </x:c>
      <x:c r="F170" s="41" t="n">
        <x:v>0.120454</x:v>
      </x:c>
      <x:c r="G170" s="41" t="n">
        <x:v>0.358313</x:v>
      </x:c>
      <x:c r="H170" s="41" t="n">
        <x:v>0.478767</x:v>
      </x:c>
      <x:c r="I170" s="41" t="n">
        <x:v>0.412971</x:v>
      </x:c>
      <x:c r="J170" s="41" t="n">
        <x:v>14.3843</x:v>
      </x:c>
      <x:c r="K170" s="41" t="n">
        <x:v>14.8837</x:v>
      </x:c>
      <x:c r="L170" s="41" t="n">
        <x:v>6.8025</x:v>
      </x:c>
      <x:c r="M170" s="41" t="n">
        <x:v>-30.0445</x:v>
      </x:c>
      <x:c r="N170" s="41" t="n">
        <x:v>-36.0406</x:v>
      </x:c>
      <x:c r="O170" s="41" t="n">
        <x:v>-56.4737</x:v>
      </x:c>
      <x:c r="P170" s="41" t="str">
        <x:v>1999-01-04</x:v>
      </x:c>
      <x:c r="Q170" s="41" t="str">
        <x:v>2026-05-22</x:v>
      </x:c>
    </x:row>
    <x:row r="171">
      <x:c r="A171" s="41" t="n">
        <x:v>170</x:v>
      </x:c>
      <x:c r="B171" s="41" t="str">
        <x:v>Weekly</x:v>
      </x:c>
      <x:c r="C171" s="41" t="str">
        <x:v>HYP_REFINE_AUTO002_TOPN_6_V1_DDGRID_EXT_R12_C25_E75_CR50_REDD_RECOVERED_DD12_SL25</x:v>
      </x:c>
      <x:c r="D171" s="41" t="str">
        <x:v>dd_guard_grid</x:v>
      </x:c>
      <x:c r="E171" s="41" t="n">
        <x:v>0.478676</x:v>
      </x:c>
      <x:c r="F171" s="41" t="n">
        <x:v>0.120454</x:v>
      </x:c>
      <x:c r="G171" s="41" t="n">
        <x:v>0.358223</x:v>
      </x:c>
      <x:c r="H171" s="41" t="n">
        <x:v>0.478676</x:v>
      </x:c>
      <x:c r="I171" s="41" t="n">
        <x:v>0.3856</x:v>
      </x:c>
      <x:c r="J171" s="41" t="n">
        <x:v>14.6842</x:v>
      </x:c>
      <x:c r="K171" s="41" t="n">
        <x:v>14.4048</x:v>
      </x:c>
      <x:c r="L171" s="41" t="n">
        <x:v>6.8025</x:v>
      </x:c>
      <x:c r="M171" s="41" t="n">
        <x:v>-30.6767</x:v>
      </x:c>
      <x:c r="N171" s="41" t="n">
        <x:v>-37.3568</x:v>
      </x:c>
      <x:c r="O171" s="41" t="n">
        <x:v>-56.4737</x:v>
      </x:c>
      <x:c r="P171" s="41" t="str">
        <x:v>1999-01-04</x:v>
      </x:c>
      <x:c r="Q171" s="41" t="str">
        <x:v>2026-05-22</x:v>
      </x:c>
    </x:row>
    <x:row r="172">
      <x:c r="A172" s="41" t="n">
        <x:v>171</x:v>
      </x:c>
      <x:c r="B172" s="41" t="str">
        <x:v>Weekly</x:v>
      </x:c>
      <x:c r="C172" s="41" t="str">
        <x:v>HYP_REFINE_AUTO002_TOPN_6_V1_DDGRID_LONG_R12_C21_E78_CR45_REDD_RECOVERED_DD8_SL20</x:v>
      </x:c>
      <x:c r="D172" s="41" t="str">
        <x:v>dd_guard_grid</x:v>
      </x:c>
      <x:c r="E172" s="41" t="n">
        <x:v>0.478322</x:v>
      </x:c>
      <x:c r="F172" s="41" t="n">
        <x:v>0.120454</x:v>
      </x:c>
      <x:c r="G172" s="41" t="n">
        <x:v>0.357868</x:v>
      </x:c>
      <x:c r="H172" s="41" t="n">
        <x:v>0.478322</x:v>
      </x:c>
      <x:c r="I172" s="41" t="n">
        <x:v>0.378272</x:v>
      </x:c>
      <x:c r="J172" s="41" t="n">
        <x:v>14.0445</x:v>
      </x:c>
      <x:c r="K172" s="41" t="n">
        <x:v>12.5046</x:v>
      </x:c>
      <x:c r="L172" s="41" t="n">
        <x:v>6.8025</x:v>
      </x:c>
      <x:c r="M172" s="41" t="n">
        <x:v>-29.3619</x:v>
      </x:c>
      <x:c r="N172" s="41" t="n">
        <x:v>-33.0572</x:v>
      </x:c>
      <x:c r="O172" s="41" t="n">
        <x:v>-56.4737</x:v>
      </x:c>
      <x:c r="P172" s="41" t="str">
        <x:v>1999-01-04</x:v>
      </x:c>
      <x:c r="Q172" s="41" t="str">
        <x:v>2026-05-22</x:v>
      </x:c>
    </x:row>
    <x:row r="173">
      <x:c r="A173" s="41" t="n">
        <x:v>172</x:v>
      </x:c>
      <x:c r="B173" s="41" t="str">
        <x:v>Weekly</x:v>
      </x:c>
      <x:c r="C173" s="41" t="str">
        <x:v>HYP_REFINE_AUTO002_TOPN_6_V1_DDGRID_EXT_R12_C26_E66_CR50_REDD_RECOVERED_DD8_SL22</x:v>
      </x:c>
      <x:c r="D173" s="41" t="str">
        <x:v>dd_guard_grid</x:v>
      </x:c>
      <x:c r="E173" s="41" t="n">
        <x:v>0.478289</x:v>
      </x:c>
      <x:c r="F173" s="41" t="n">
        <x:v>0.120454</x:v>
      </x:c>
      <x:c r="G173" s="41" t="n">
        <x:v>0.357835</x:v>
      </x:c>
      <x:c r="H173" s="41" t="n">
        <x:v>0.478289</x:v>
      </x:c>
      <x:c r="I173" s="41" t="n">
        <x:v>0.379948</x:v>
      </x:c>
      <x:c r="J173" s="41" t="n">
        <x:v>14.3994</x:v>
      </x:c>
      <x:c r="K173" s="41" t="n">
        <x:v>13.533</x:v>
      </x:c>
      <x:c r="L173" s="41" t="n">
        <x:v>6.8025</x:v>
      </x:c>
      <x:c r="M173" s="41" t="n">
        <x:v>-30.106</x:v>
      </x:c>
      <x:c r="N173" s="41" t="n">
        <x:v>-35.6181</x:v>
      </x:c>
      <x:c r="O173" s="41" t="n">
        <x:v>-56.4737</x:v>
      </x:c>
      <x:c r="P173" s="41" t="str">
        <x:v>1999-01-04</x:v>
      </x:c>
      <x:c r="Q173" s="41" t="str">
        <x:v>2026-05-22</x:v>
      </x:c>
    </x:row>
    <x:row r="174">
      <x:c r="A174" s="41" t="n">
        <x:v>173</x:v>
      </x:c>
      <x:c r="B174" s="41" t="str">
        <x:v>Weekly</x:v>
      </x:c>
      <x:c r="C174" s="41" t="str">
        <x:v>HYP_REFINE_AUTO002_TOPN_6_V1_DDGRID_EXT_R12_C25_E66_CR50_REDD_RECOVERED_DD12_SL20</x:v>
      </x:c>
      <x:c r="D174" s="41" t="str">
        <x:v>dd_guard_grid</x:v>
      </x:c>
      <x:c r="E174" s="41" t="n">
        <x:v>0.477928</x:v>
      </x:c>
      <x:c r="F174" s="41" t="n">
        <x:v>0.120454</x:v>
      </x:c>
      <x:c r="G174" s="41" t="n">
        <x:v>0.357474</x:v>
      </x:c>
      <x:c r="H174" s="41" t="n">
        <x:v>0.477928</x:v>
      </x:c>
      <x:c r="I174" s="41" t="n">
        <x:v>0.399245</x:v>
      </x:c>
      <x:c r="J174" s="41" t="n">
        <x:v>14.3031</x:v>
      </x:c>
      <x:c r="K174" s="41" t="n">
        <x:v>13.7703</x:v>
      </x:c>
      <x:c r="L174" s="41" t="n">
        <x:v>6.8025</x:v>
      </x:c>
      <x:c r="M174" s="41" t="n">
        <x:v>-29.9272</x:v>
      </x:c>
      <x:c r="N174" s="41" t="n">
        <x:v>-34.4907</x:v>
      </x:c>
      <x:c r="O174" s="41" t="n">
        <x:v>-56.4737</x:v>
      </x:c>
      <x:c r="P174" s="41" t="str">
        <x:v>1999-01-04</x:v>
      </x:c>
      <x:c r="Q174" s="41" t="str">
        <x:v>2026-05-22</x:v>
      </x:c>
    </x:row>
    <x:row r="175">
      <x:c r="A175" s="41" t="n">
        <x:v>174</x:v>
      </x:c>
      <x:c r="B175" s="41" t="str">
        <x:v>Weekly</x:v>
      </x:c>
      <x:c r="C175" s="41" t="str">
        <x:v>HYP_REFINE_AUTO002_TOPN_6_V1_DDGRID_EXT_R12_C25_E66_CR40_REDD_RECOVERED_DD6_SL20</x:v>
      </x:c>
      <x:c r="D175" s="41" t="str">
        <x:v>dd_guard_grid</x:v>
      </x:c>
      <x:c r="E175" s="41" t="n">
        <x:v>0.477862</x:v>
      </x:c>
      <x:c r="F175" s="41" t="n">
        <x:v>0.120454</x:v>
      </x:c>
      <x:c r="G175" s="41" t="n">
        <x:v>0.357408</x:v>
      </x:c>
      <x:c r="H175" s="41" t="n">
        <x:v>0.477862</x:v>
      </x:c>
      <x:c r="I175" s="41" t="n">
        <x:v>0.398724</x:v>
      </x:c>
      <x:c r="J175" s="41" t="n">
        <x:v>13.964</x:v>
      </x:c>
      <x:c r="K175" s="41" t="n">
        <x:v>13.7096</x:v>
      </x:c>
      <x:c r="L175" s="41" t="n">
        <x:v>6.8025</x:v>
      </x:c>
      <x:c r="M175" s="41" t="n">
        <x:v>-29.2218</x:v>
      </x:c>
      <x:c r="N175" s="41" t="n">
        <x:v>-34.3836</x:v>
      </x:c>
      <x:c r="O175" s="41" t="n">
        <x:v>-56.4737</x:v>
      </x:c>
      <x:c r="P175" s="41" t="str">
        <x:v>1999-01-04</x:v>
      </x:c>
      <x:c r="Q175" s="41" t="str">
        <x:v>2026-05-22</x:v>
      </x:c>
    </x:row>
    <x:row r="176">
      <x:c r="A176" s="41" t="n">
        <x:v>175</x:v>
      </x:c>
      <x:c r="B176" s="41" t="str">
        <x:v>Weekly</x:v>
      </x:c>
      <x:c r="C176" s="41" t="str">
        <x:v>HYP_REFINE_AUTO002_TOPN_6_V1_DDGRID_EXT_R14_C25_E75_CR50_REDD_RECOVERED_DD8_SL22</x:v>
      </x:c>
      <x:c r="D176" s="41" t="str">
        <x:v>dd_guard_grid</x:v>
      </x:c>
      <x:c r="E176" s="41" t="n">
        <x:v>0.477632</x:v>
      </x:c>
      <x:c r="F176" s="41" t="n">
        <x:v>0.120454</x:v>
      </x:c>
      <x:c r="G176" s="41" t="n">
        <x:v>0.357178</x:v>
      </x:c>
      <x:c r="H176" s="41" t="n">
        <x:v>0.477632</x:v>
      </x:c>
      <x:c r="I176" s="41" t="n">
        <x:v>0.374542</x:v>
      </x:c>
      <x:c r="J176" s="41" t="n">
        <x:v>14.8897</x:v>
      </x:c>
      <x:c r="K176" s="41" t="n">
        <x:v>13.966</x:v>
      </x:c>
      <x:c r="L176" s="41" t="n">
        <x:v>6.8025</x:v>
      </x:c>
      <x:c r="M176" s="41" t="n">
        <x:v>-31.1741</x:v>
      </x:c>
      <x:c r="N176" s="41" t="n">
        <x:v>-37.2882</x:v>
      </x:c>
      <x:c r="O176" s="41" t="n">
        <x:v>-56.4737</x:v>
      </x:c>
      <x:c r="P176" s="41" t="str">
        <x:v>1999-01-04</x:v>
      </x:c>
      <x:c r="Q176" s="41" t="str">
        <x:v>2026-05-22</x:v>
      </x:c>
    </x:row>
    <x:row r="177">
      <x:c r="A177" s="41" t="n">
        <x:v>176</x:v>
      </x:c>
      <x:c r="B177" s="41" t="str">
        <x:v>Weekly</x:v>
      </x:c>
      <x:c r="C177" s="41" t="str">
        <x:v>HYP_REFINE_AUTO002_TOPN_6_V1_DDGRID_LONG_R12_C22_E72_CR40_REDD_RECOVERED_DD8_SLNONE</x:v>
      </x:c>
      <x:c r="D177" s="41" t="str">
        <x:v>dd_guard_grid</x:v>
      </x:c>
      <x:c r="E177" s="41" t="n">
        <x:v>0.477477</x:v>
      </x:c>
      <x:c r="F177" s="41" t="n">
        <x:v>0.120454</x:v>
      </x:c>
      <x:c r="G177" s="41" t="n">
        <x:v>0.357023</x:v>
      </x:c>
      <x:c r="H177" s="41" t="n">
        <x:v>0.477477</x:v>
      </x:c>
      <x:c r="I177" s="41" t="n">
        <x:v>0.371694</x:v>
      </x:c>
      <x:c r="J177" s="41" t="n">
        <x:v>13.5541</x:v>
      </x:c>
      <x:c r="K177" s="41" t="n">
        <x:v>12.5036</x:v>
      </x:c>
      <x:c r="L177" s="41" t="n">
        <x:v>6.8025</x:v>
      </x:c>
      <x:c r="M177" s="41" t="n">
        <x:v>-28.387</x:v>
      </x:c>
      <x:c r="N177" s="41" t="n">
        <x:v>-33.6395</x:v>
      </x:c>
      <x:c r="O177" s="41" t="n">
        <x:v>-56.4737</x:v>
      </x:c>
      <x:c r="P177" s="41" t="str">
        <x:v>1999-01-04</x:v>
      </x:c>
      <x:c r="Q177" s="41" t="str">
        <x:v>2026-05-22</x:v>
      </x:c>
    </x:row>
    <x:row r="178">
      <x:c r="A178" s="41" t="n">
        <x:v>177</x:v>
      </x:c>
      <x:c r="B178" s="41" t="str">
        <x:v>Weekly</x:v>
      </x:c>
      <x:c r="C178" s="41" t="str">
        <x:v>HYP_REFINE_AUTO002_TOPN_6_V1_DDGRID_LONG_R12_C22_E68_CR40_REDD_RECOVERED_DD8_SL20</x:v>
      </x:c>
      <x:c r="D178" s="41" t="str">
        <x:v>dd_guard_grid</x:v>
      </x:c>
      <x:c r="E178" s="41" t="n">
        <x:v>0.477466</x:v>
      </x:c>
      <x:c r="F178" s="41" t="n">
        <x:v>0.120454</x:v>
      </x:c>
      <x:c r="G178" s="41" t="n">
        <x:v>0.357012</x:v>
      </x:c>
      <x:c r="H178" s="41" t="n">
        <x:v>0.477466</x:v>
      </x:c>
      <x:c r="I178" s="41" t="n">
        <x:v>0.41321</x:v>
      </x:c>
      <x:c r="J178" s="41" t="n">
        <x:v>13.2609</x:v>
      </x:c>
      <x:c r="K178" s="41" t="n">
        <x:v>13.4016</x:v>
      </x:c>
      <x:c r="L178" s="41" t="n">
        <x:v>6.8025</x:v>
      </x:c>
      <x:c r="M178" s="41" t="n">
        <x:v>-27.7735</x:v>
      </x:c>
      <x:c r="N178" s="41" t="n">
        <x:v>-32.4329</x:v>
      </x:c>
      <x:c r="O178" s="41" t="n">
        <x:v>-56.4737</x:v>
      </x:c>
      <x:c r="P178" s="41" t="str">
        <x:v>1999-01-04</x:v>
      </x:c>
      <x:c r="Q178" s="41" t="str">
        <x:v>2026-05-22</x:v>
      </x:c>
    </x:row>
    <x:row r="179">
      <x:c r="A179" s="41" t="n">
        <x:v>178</x:v>
      </x:c>
      <x:c r="B179" s="41" t="str">
        <x:v>Weekly</x:v>
      </x:c>
      <x:c r="C179" s="41" t="str">
        <x:v>HYP_REFINE_AUTO002_TOPN_6_V1_DDGRID_LONG_R12_C20_E75_CR45_REDD_RECOVERED_DD8_SL20</x:v>
      </x:c>
      <x:c r="D179" s="41" t="str">
        <x:v>dd_guard_grid</x:v>
      </x:c>
      <x:c r="E179" s="41" t="n">
        <x:v>0.477426</x:v>
      </x:c>
      <x:c r="F179" s="41" t="n">
        <x:v>0.120454</x:v>
      </x:c>
      <x:c r="G179" s="41" t="n">
        <x:v>0.356972</x:v>
      </x:c>
      <x:c r="H179" s="41" t="n">
        <x:v>0.477426</x:v>
      </x:c>
      <x:c r="I179" s="41" t="n">
        <x:v>0.406802</x:v>
      </x:c>
      <x:c r="J179" s="41" t="n">
        <x:v>13.9761</x:v>
      </x:c>
      <x:c r="K179" s="41" t="n">
        <x:v>13.2776</x:v>
      </x:c>
      <x:c r="L179" s="41" t="n">
        <x:v>6.8025</x:v>
      </x:c>
      <x:c r="M179" s="41" t="n">
        <x:v>-29.2739</x:v>
      </x:c>
      <x:c r="N179" s="41" t="n">
        <x:v>-32.6389</x:v>
      </x:c>
      <x:c r="O179" s="41" t="n">
        <x:v>-56.4737</x:v>
      </x:c>
      <x:c r="P179" s="41" t="str">
        <x:v>1999-01-04</x:v>
      </x:c>
      <x:c r="Q179" s="41" t="str">
        <x:v>2026-05-22</x:v>
      </x:c>
    </x:row>
    <x:row r="180">
      <x:c r="A180" s="41" t="n">
        <x:v>179</x:v>
      </x:c>
      <x:c r="B180" s="41" t="str">
        <x:v>Weekly</x:v>
      </x:c>
      <x:c r="C180" s="41" t="str">
        <x:v>HYP_REFINE_AUTO002_TOPN_6_V1_DDGRID_LONG_R13_C22_E75_CR45_REDD_RECOVERED_DD8_SL22</x:v>
      </x:c>
      <x:c r="D180" s="41" t="str">
        <x:v>dd_guard_grid</x:v>
      </x:c>
      <x:c r="E180" s="41" t="n">
        <x:v>0.477312</x:v>
      </x:c>
      <x:c r="F180" s="41" t="n">
        <x:v>0.120454</x:v>
      </x:c>
      <x:c r="G180" s="41" t="n">
        <x:v>0.356858</x:v>
      </x:c>
      <x:c r="H180" s="41" t="n">
        <x:v>0.477312</x:v>
      </x:c>
      <x:c r="I180" s="41" t="n">
        <x:v>0.387582</x:v>
      </x:c>
      <x:c r="J180" s="41" t="n">
        <x:v>14.1831</x:v>
      </x:c>
      <x:c r="K180" s="41" t="n">
        <x:v>13.2858</x:v>
      </x:c>
      <x:c r="L180" s="41" t="n">
        <x:v>6.8025</x:v>
      </x:c>
      <x:c r="M180" s="41" t="n">
        <x:v>-29.7146</x:v>
      </x:c>
      <x:c r="N180" s="41" t="n">
        <x:v>-34.2787</x:v>
      </x:c>
      <x:c r="O180" s="41" t="n">
        <x:v>-56.4737</x:v>
      </x:c>
      <x:c r="P180" s="41" t="str">
        <x:v>1999-01-04</x:v>
      </x:c>
      <x:c r="Q180" s="41" t="str">
        <x:v>2026-05-22</x:v>
      </x:c>
    </x:row>
    <x:row r="181">
      <x:c r="A181" s="41" t="n">
        <x:v>180</x:v>
      </x:c>
      <x:c r="B181" s="41" t="str">
        <x:v>Weekly</x:v>
      </x:c>
      <x:c r="C181" s="41" t="str">
        <x:v>HYP_REFINE_AUTO002_TOPN_6_V1_DDGRID_LONG_R13_C22_E75_CR45_REDD_RECOVERED_DD7_SL20</x:v>
      </x:c>
      <x:c r="D181" s="41" t="str">
        <x:v>dd_guard_grid</x:v>
      </x:c>
      <x:c r="E181" s="41" t="n">
        <x:v>0.477253</x:v>
      </x:c>
      <x:c r="F181" s="41" t="n">
        <x:v>0.120454</x:v>
      </x:c>
      <x:c r="G181" s="41" t="n">
        <x:v>0.356799</x:v>
      </x:c>
      <x:c r="H181" s="41" t="n">
        <x:v>0.477253</x:v>
      </x:c>
      <x:c r="I181" s="41" t="n">
        <x:v>0.401473</x:v>
      </x:c>
      <x:c r="J181" s="41" t="n">
        <x:v>14.2422</x:v>
      </x:c>
      <x:c r="K181" s="41" t="n">
        <x:v>13.5516</x:v>
      </x:c>
      <x:c r="L181" s="41" t="n">
        <x:v>6.8025</x:v>
      </x:c>
      <x:c r="M181" s="41" t="n">
        <x:v>-29.8421</x:v>
      </x:c>
      <x:c r="N181" s="41" t="n">
        <x:v>-33.7549</x:v>
      </x:c>
      <x:c r="O181" s="41" t="n">
        <x:v>-56.4737</x:v>
      </x:c>
      <x:c r="P181" s="41" t="str">
        <x:v>1999-01-04</x:v>
      </x:c>
      <x:c r="Q181" s="41" t="str">
        <x:v>2026-05-22</x:v>
      </x:c>
    </x:row>
    <x:row r="182">
      <x:c r="A182" s="41" t="n">
        <x:v>181</x:v>
      </x:c>
      <x:c r="B182" s="41" t="str">
        <x:v>No weekly</x:v>
      </x:c>
      <x:c r="C182" s="41" t="str">
        <x:v>HYP_DD20_CTRL_GUARD_DYNAMIC_13_25_V1</x:v>
      </x:c>
      <x:c r="D182" s="41" t="str">
        <x:v>dd20_adaptive_research</x:v>
      </x:c>
      <x:c r="E182" s="41" t="n">
        <x:v>0.476852</x:v>
      </x:c>
      <x:c r="F182" s="41" t="n">
        <x:v>0.120454</x:v>
      </x:c>
      <x:c r="G182" s="41" t="n">
        <x:v>0.356398</x:v>
      </x:c>
      <x:c r="H182" s="41" t="n">
        <x:v>-0.017038</x:v>
      </x:c>
      <x:c r="I182" s="41" t="n">
        <x:v>0.476852</x:v>
      </x:c>
      <x:c r="J182" s="41" t="n">
        <x:v>-0.3672</x:v>
      </x:c>
      <x:c r="K182" s="41" t="n">
        <x:v>9.2153</x:v>
      </x:c>
      <x:c r="L182" s="41" t="n">
        <x:v>6.8025</x:v>
      </x:c>
      <x:c r="M182" s="41" t="n">
        <x:v>-21.5531</x:v>
      </x:c>
      <x:c r="N182" s="41" t="n">
        <x:v>-19.3252</x:v>
      </x:c>
      <x:c r="O182" s="41" t="n">
        <x:v>-56.4737</x:v>
      </x:c>
      <x:c r="P182" s="41" t="str">
        <x:v>1999-01-04</x:v>
      </x:c>
      <x:c r="Q182" s="41" t="str">
        <x:v>2026-05-22</x:v>
      </x:c>
    </x:row>
    <x:row r="183">
      <x:c r="A183" s="41" t="n">
        <x:v>182</x:v>
      </x:c>
      <x:c r="B183" s="41" t="str">
        <x:v>Weekly</x:v>
      </x:c>
      <x:c r="C183" s="41" t="str">
        <x:v>HYP_REFINE_AUTO002_TOPN_6_V1_DDGRID_EXT_R12_C24_E66_CR50_REDD_RECOVERED_DD6_SL22</x:v>
      </x:c>
      <x:c r="D183" s="41" t="str">
        <x:v>dd_guard_grid</x:v>
      </x:c>
      <x:c r="E183" s="41" t="n">
        <x:v>0.476669</x:v>
      </x:c>
      <x:c r="F183" s="41" t="n">
        <x:v>0.120454</x:v>
      </x:c>
      <x:c r="G183" s="41" t="n">
        <x:v>0.356215</x:v>
      </x:c>
      <x:c r="H183" s="41" t="n">
        <x:v>0.476669</x:v>
      </x:c>
      <x:c r="I183" s="41" t="n">
        <x:v>0.366987</x:v>
      </x:c>
      <x:c r="J183" s="41" t="n">
        <x:v>13.8649</x:v>
      </x:c>
      <x:c r="K183" s="41" t="n">
        <x:v>12.977</x:v>
      </x:c>
      <x:c r="L183" s="41" t="n">
        <x:v>6.8025</x:v>
      </x:c>
      <x:c r="M183" s="41" t="n">
        <x:v>-29.087</x:v>
      </x:c>
      <x:c r="N183" s="41" t="n">
        <x:v>-35.361</x:v>
      </x:c>
      <x:c r="O183" s="41" t="n">
        <x:v>-56.4737</x:v>
      </x:c>
      <x:c r="P183" s="41" t="str">
        <x:v>1999-01-04</x:v>
      </x:c>
      <x:c r="Q183" s="41" t="str">
        <x:v>2026-05-22</x:v>
      </x:c>
    </x:row>
    <x:row r="184">
      <x:c r="A184" s="41" t="n">
        <x:v>183</x:v>
      </x:c>
      <x:c r="B184" s="41" t="str">
        <x:v>Weekly</x:v>
      </x:c>
      <x:c r="C184" s="41" t="str">
        <x:v>HYP_REFINE_AUTO002_TOPN_6_V1_DDGRID_LONG_R12_C24_E70_CR40_REDD_RECOVERED_DD8_SL20</x:v>
      </x:c>
      <x:c r="D184" s="41" t="str">
        <x:v>dd_guard_grid</x:v>
      </x:c>
      <x:c r="E184" s="41" t="n">
        <x:v>0.476657</x:v>
      </x:c>
      <x:c r="F184" s="41" t="n">
        <x:v>0.120454</x:v>
      </x:c>
      <x:c r="G184" s="41" t="n">
        <x:v>0.356203</x:v>
      </x:c>
      <x:c r="H184" s="41" t="n">
        <x:v>0.476657</x:v>
      </x:c>
      <x:c r="I184" s="41" t="n">
        <x:v>0.380633</x:v>
      </x:c>
      <x:c r="J184" s="41" t="n">
        <x:v>13.9545</x:v>
      </x:c>
      <x:c r="K184" s="41" t="n">
        <x:v>12.7388</x:v>
      </x:c>
      <x:c r="L184" s="41" t="n">
        <x:v>6.8025</x:v>
      </x:c>
      <x:c r="M184" s="41" t="n">
        <x:v>-29.2757</x:v>
      </x:c>
      <x:c r="N184" s="41" t="n">
        <x:v>-33.4675</x:v>
      </x:c>
      <x:c r="O184" s="41" t="n">
        <x:v>-56.4737</x:v>
      </x:c>
      <x:c r="P184" s="41" t="str">
        <x:v>1999-01-04</x:v>
      </x:c>
      <x:c r="Q184" s="41" t="str">
        <x:v>2026-05-22</x:v>
      </x:c>
    </x:row>
    <x:row r="185">
      <x:c r="A185" s="41" t="n">
        <x:v>184</x:v>
      </x:c>
      <x:c r="B185" s="41" t="str">
        <x:v>Weekly</x:v>
      </x:c>
      <x:c r="C185" s="41" t="str">
        <x:v>HYP_REFINE_AUTO002_TOPN_6_V1_DDGRID_EXT_R12_C25_E75_CR50_REDD_RECOVERED_DD12_SL18</x:v>
      </x:c>
      <x:c r="D185" s="41" t="str">
        <x:v>dd_guard_grid</x:v>
      </x:c>
      <x:c r="E185" s="41" t="n">
        <x:v>0.476632</x:v>
      </x:c>
      <x:c r="F185" s="41" t="n">
        <x:v>0.120454</x:v>
      </x:c>
      <x:c r="G185" s="41" t="n">
        <x:v>0.356178</x:v>
      </x:c>
      <x:c r="H185" s="41" t="n">
        <x:v>0.476632</x:v>
      </x:c>
      <x:c r="I185" s="41" t="n">
        <x:v>0.393138</x:v>
      </x:c>
      <x:c r="J185" s="41" t="n">
        <x:v>14.7191</x:v>
      </x:c>
      <x:c r="K185" s="41" t="n">
        <x:v>14.0164</x:v>
      </x:c>
      <x:c r="L185" s="41" t="n">
        <x:v>6.8025</x:v>
      </x:c>
      <x:c r="M185" s="41" t="n">
        <x:v>-30.8816</x:v>
      </x:c>
      <x:c r="N185" s="41" t="n">
        <x:v>-35.6527</x:v>
      </x:c>
      <x:c r="O185" s="41" t="n">
        <x:v>-56.4737</x:v>
      </x:c>
      <x:c r="P185" s="41" t="str">
        <x:v>1999-01-04</x:v>
      </x:c>
      <x:c r="Q185" s="41" t="str">
        <x:v>2026-05-22</x:v>
      </x:c>
    </x:row>
    <x:row r="186">
      <x:c r="A186" s="41" t="n">
        <x:v>185</x:v>
      </x:c>
      <x:c r="B186" s="41" t="str">
        <x:v>Weekly</x:v>
      </x:c>
      <x:c r="C186" s="41" t="str">
        <x:v>HYP_REFINE_AUTO002_TOPN_6_V1_DDGRID_EXT_R12_C25_E75_CR50_REDD_RECOVERED_DD6_SL22</x:v>
      </x:c>
      <x:c r="D186" s="41" t="str">
        <x:v>dd_guard_grid</x:v>
      </x:c>
      <x:c r="E186" s="41" t="n">
        <x:v>0.476489</x:v>
      </x:c>
      <x:c r="F186" s="41" t="n">
        <x:v>0.120454</x:v>
      </x:c>
      <x:c r="G186" s="41" t="n">
        <x:v>0.356035</x:v>
      </x:c>
      <x:c r="H186" s="41" t="n">
        <x:v>0.476489</x:v>
      </x:c>
      <x:c r="I186" s="41" t="n">
        <x:v>0.383672</x:v>
      </x:c>
      <x:c r="J186" s="41" t="n">
        <x:v>14.7164</x:v>
      </x:c>
      <x:c r="K186" s="41" t="n">
        <x:v>14.1257</x:v>
      </x:c>
      <x:c r="L186" s="41" t="n">
        <x:v>6.8025</x:v>
      </x:c>
      <x:c r="M186" s="41" t="n">
        <x:v>-30.8852</x:v>
      </x:c>
      <x:c r="N186" s="41" t="n">
        <x:v>-36.8172</x:v>
      </x:c>
      <x:c r="O186" s="41" t="n">
        <x:v>-56.4737</x:v>
      </x:c>
      <x:c r="P186" s="41" t="str">
        <x:v>1999-01-04</x:v>
      </x:c>
      <x:c r="Q186" s="41" t="str">
        <x:v>2026-05-22</x:v>
      </x:c>
    </x:row>
    <x:row r="187">
      <x:c r="A187" s="41" t="n">
        <x:v>186</x:v>
      </x:c>
      <x:c r="B187" s="41" t="str">
        <x:v>Weekly</x:v>
      </x:c>
      <x:c r="C187" s="41" t="str">
        <x:v>HYP_REFINE_AUTO002_TOPN_6_V1_DDGRID_EXT_R12_C26_E60_CR50_REDD_RECOVERED_DD8_SL20</x:v>
      </x:c>
      <x:c r="D187" s="41" t="str">
        <x:v>dd_guard_grid</x:v>
      </x:c>
      <x:c r="E187" s="41" t="n">
        <x:v>0.476487</x:v>
      </x:c>
      <x:c r="F187" s="41" t="n">
        <x:v>0.120454</x:v>
      </x:c>
      <x:c r="G187" s="41" t="n">
        <x:v>0.356033</x:v>
      </x:c>
      <x:c r="H187" s="41" t="n">
        <x:v>0.476487</x:v>
      </x:c>
      <x:c r="I187" s="41" t="n">
        <x:v>0.342691</x:v>
      </x:c>
      <x:c r="J187" s="41" t="n">
        <x:v>13.7193</x:v>
      </x:c>
      <x:c r="K187" s="41" t="n">
        <x:v>11.6696</x:v>
      </x:c>
      <x:c r="L187" s="41" t="n">
        <x:v>6.8025</x:v>
      </x:c>
      <x:c r="M187" s="41" t="n">
        <x:v>-28.7925</x:v>
      </x:c>
      <x:c r="N187" s="41" t="n">
        <x:v>-34.0529</x:v>
      </x:c>
      <x:c r="O187" s="41" t="n">
        <x:v>-56.4737</x:v>
      </x:c>
      <x:c r="P187" s="41" t="str">
        <x:v>1999-01-04</x:v>
      </x:c>
      <x:c r="Q187" s="41" t="str">
        <x:v>2026-05-22</x:v>
      </x:c>
    </x:row>
    <x:row r="188">
      <x:c r="A188" s="41" t="n">
        <x:v>187</x:v>
      </x:c>
      <x:c r="B188" s="41" t="str">
        <x:v>Weekly</x:v>
      </x:c>
      <x:c r="C188" s="41" t="str">
        <x:v>HYP_REFINE_AUTO002_TOPN_6_V1_DDGRID_LONG_R12_C22_E75_CR45_REDD_RECOVERED_DD8_SL22</x:v>
      </x:c>
      <x:c r="D188" s="41" t="str">
        <x:v>dd_guard_grid</x:v>
      </x:c>
      <x:c r="E188" s="41" t="n">
        <x:v>0.476471</x:v>
      </x:c>
      <x:c r="F188" s="41" t="n">
        <x:v>0.120454</x:v>
      </x:c>
      <x:c r="G188" s="41" t="n">
        <x:v>0.356017</x:v>
      </x:c>
      <x:c r="H188" s="41" t="n">
        <x:v>0.476471</x:v>
      </x:c>
      <x:c r="I188" s="41" t="n">
        <x:v>0.402074</x:v>
      </x:c>
      <x:c r="J188" s="41" t="n">
        <x:v>14.1581</x:v>
      </x:c>
      <x:c r="K188" s="41" t="n">
        <x:v>13.7826</x:v>
      </x:c>
      <x:c r="L188" s="41" t="n">
        <x:v>6.8025</x:v>
      </x:c>
      <x:c r="M188" s="41" t="n">
        <x:v>-29.7146</x:v>
      </x:c>
      <x:c r="N188" s="41" t="n">
        <x:v>-34.2787</x:v>
      </x:c>
      <x:c r="O188" s="41" t="n">
        <x:v>-56.4737</x:v>
      </x:c>
      <x:c r="P188" s="41" t="str">
        <x:v>1999-01-04</x:v>
      </x:c>
      <x:c r="Q188" s="41" t="str">
        <x:v>2026-05-22</x:v>
      </x:c>
    </x:row>
    <x:row r="189">
      <x:c r="A189" s="41" t="n">
        <x:v>188</x:v>
      </x:c>
      <x:c r="B189" s="41" t="str">
        <x:v>Weekly</x:v>
      </x:c>
      <x:c r="C189" s="41" t="str">
        <x:v>HYP_REFINE_AUTO002_TOPN_6_V1_DDGRID_LONG_R12_C22_E70_CR42_REDD_RECOVERED_DD8_SL20</x:v>
      </x:c>
      <x:c r="D189" s="41" t="str">
        <x:v>dd_guard_grid</x:v>
      </x:c>
      <x:c r="E189" s="41" t="n">
        <x:v>0.47641</x:v>
      </x:c>
      <x:c r="F189" s="41" t="n">
        <x:v>0.120454</x:v>
      </x:c>
      <x:c r="G189" s="41" t="n">
        <x:v>0.355956</x:v>
      </x:c>
      <x:c r="H189" s="41" t="n">
        <x:v>0.47641</x:v>
      </x:c>
      <x:c r="I189" s="41" t="n">
        <x:v>0.415156</x:v>
      </x:c>
      <x:c r="J189" s="41" t="n">
        <x:v>13.6669</x:v>
      </x:c>
      <x:c r="K189" s="41" t="n">
        <x:v>13.7101</x:v>
      </x:c>
      <x:c r="L189" s="41" t="n">
        <x:v>6.8025</x:v>
      </x:c>
      <x:c r="M189" s="41" t="n">
        <x:v>-28.6872</x:v>
      </x:c>
      <x:c r="N189" s="41" t="n">
        <x:v>-33.024</x:v>
      </x:c>
      <x:c r="O189" s="41" t="n">
        <x:v>-56.4737</x:v>
      </x:c>
      <x:c r="P189" s="41" t="str">
        <x:v>1999-01-04</x:v>
      </x:c>
      <x:c r="Q189" s="41" t="str">
        <x:v>2026-05-22</x:v>
      </x:c>
    </x:row>
    <x:row r="190">
      <x:c r="A190" s="41" t="n">
        <x:v>189</x:v>
      </x:c>
      <x:c r="B190" s="41" t="str">
        <x:v>Weekly</x:v>
      </x:c>
      <x:c r="C190" s="41" t="str">
        <x:v>HYP_REFINE_AUTO002_TOPN_6_V1_DDGRID_LONG_R12_C23_E68_CR40_REDD_RECOVERED_DD8_SL22</x:v>
      </x:c>
      <x:c r="D190" s="41" t="str">
        <x:v>dd_guard_grid</x:v>
      </x:c>
      <x:c r="E190" s="41" t="n">
        <x:v>0.475902</x:v>
      </x:c>
      <x:c r="F190" s="41" t="n">
        <x:v>0.120454</x:v>
      </x:c>
      <x:c r="G190" s="41" t="n">
        <x:v>0.355448</x:v>
      </x:c>
      <x:c r="H190" s="41" t="n">
        <x:v>0.475902</x:v>
      </x:c>
      <x:c r="I190" s="41" t="n">
        <x:v>0.392993</x:v>
      </x:c>
      <x:c r="J190" s="41" t="n">
        <x:v>13.3191</x:v>
      </x:c>
      <x:c r="K190" s="41" t="n">
        <x:v>13.2217</x:v>
      </x:c>
      <x:c r="L190" s="41" t="n">
        <x:v>6.8025</x:v>
      </x:c>
      <x:c r="M190" s="41" t="n">
        <x:v>-27.9871</x:v>
      </x:c>
      <x:c r="N190" s="41" t="n">
        <x:v>-33.6435</x:v>
      </x:c>
      <x:c r="O190" s="41" t="n">
        <x:v>-56.4737</x:v>
      </x:c>
      <x:c r="P190" s="41" t="str">
        <x:v>1999-01-04</x:v>
      </x:c>
      <x:c r="Q190" s="41" t="str">
        <x:v>2026-05-22</x:v>
      </x:c>
    </x:row>
    <x:row r="191">
      <x:c r="A191" s="41" t="n">
        <x:v>190</x:v>
      </x:c>
      <x:c r="B191" s="41" t="str">
        <x:v>Weekly</x:v>
      </x:c>
      <x:c r="C191" s="41" t="str">
        <x:v>HYP_REFINE_AUTO002_TOPN_6_V1_DDGRID_EXT_R12_C24_E66_CR40_REDD_RECOVERED_DD8_SL18</x:v>
      </x:c>
      <x:c r="D191" s="41" t="str">
        <x:v>dd_guard_grid</x:v>
      </x:c>
      <x:c r="E191" s="41" t="n">
        <x:v>0.475706</x:v>
      </x:c>
      <x:c r="F191" s="41" t="n">
        <x:v>0.120454</x:v>
      </x:c>
      <x:c r="G191" s="41" t="n">
        <x:v>0.355252</x:v>
      </x:c>
      <x:c r="H191" s="41" t="n">
        <x:v>0.475706</x:v>
      </x:c>
      <x:c r="I191" s="41" t="n">
        <x:v>0.391761</x:v>
      </x:c>
      <x:c r="J191" s="41" t="n">
        <x:v>13.5904</x:v>
      </x:c>
      <x:c r="K191" s="41" t="n">
        <x:v>13.0633</x:v>
      </x:c>
      <x:c r="L191" s="41" t="n">
        <x:v>6.8025</x:v>
      </x:c>
      <x:c r="M191" s="41" t="n">
        <x:v>-28.5689</x:v>
      </x:c>
      <x:c r="N191" s="41" t="n">
        <x:v>-33.345</x:v>
      </x:c>
      <x:c r="O191" s="41" t="n">
        <x:v>-56.4737</x:v>
      </x:c>
      <x:c r="P191" s="41" t="str">
        <x:v>1999-01-04</x:v>
      </x:c>
      <x:c r="Q191" s="41" t="str">
        <x:v>2026-05-22</x:v>
      </x:c>
    </x:row>
    <x:row r="192">
      <x:c r="A192" s="41" t="n">
        <x:v>191</x:v>
      </x:c>
      <x:c r="B192" s="41" t="str">
        <x:v>Weekly</x:v>
      </x:c>
      <x:c r="C192" s="41" t="str">
        <x:v>HYP_REFINE_AUTO002_TOPN_6_V1_DDGRID_EXT_R12_C28_E75_CR50_REDD_RECOVERED_DD6_SL20</x:v>
      </x:c>
      <x:c r="D192" s="41" t="str">
        <x:v>dd_guard_grid</x:v>
      </x:c>
      <x:c r="E192" s="41" t="n">
        <x:v>0.47493</x:v>
      </x:c>
      <x:c r="F192" s="41" t="n">
        <x:v>0.120454</x:v>
      </x:c>
      <x:c r="G192" s="41" t="n">
        <x:v>0.354476</x:v>
      </x:c>
      <x:c r="H192" s="41" t="n">
        <x:v>0.47493</x:v>
      </x:c>
      <x:c r="I192" s="41" t="n">
        <x:v>0.375</x:v>
      </x:c>
      <x:c r="J192" s="41" t="n">
        <x:v>15.6225</x:v>
      </x:c>
      <x:c r="K192" s="41" t="n">
        <x:v>14.5416</x:v>
      </x:c>
      <x:c r="L192" s="41" t="n">
        <x:v>6.8025</x:v>
      </x:c>
      <x:c r="M192" s="41" t="n">
        <x:v>-32.8943</x:v>
      </x:c>
      <x:c r="N192" s="41" t="n">
        <x:v>-38.7776</x:v>
      </x:c>
      <x:c r="O192" s="41" t="n">
        <x:v>-56.4737</x:v>
      </x:c>
      <x:c r="P192" s="41" t="str">
        <x:v>1999-01-04</x:v>
      </x:c>
      <x:c r="Q192" s="41" t="str">
        <x:v>2026-05-22</x:v>
      </x:c>
    </x:row>
    <x:row r="193">
      <x:c r="A193" s="41" t="n">
        <x:v>192</x:v>
      </x:c>
      <x:c r="B193" s="41" t="str">
        <x:v>No weekly</x:v>
      </x:c>
      <x:c r="C193" s="41" t="str">
        <x:v>HYP_DD_FIRST_AUTO002_DD_PROXY_26W_V1</x:v>
      </x:c>
      <x:c r="D193" s="41" t="str">
        <x:v>dd_first_drawdown_control</x:v>
      </x:c>
      <x:c r="E193" s="41" t="n">
        <x:v>0.474512</x:v>
      </x:c>
      <x:c r="F193" s="41" t="n">
        <x:v>0.120454</x:v>
      </x:c>
      <x:c r="G193" s="41" t="n">
        <x:v>0.354058</x:v>
      </x:c>
      <x:c r="H193" s="41" t="n">
        <x:v>0.292772</x:v>
      </x:c>
      <x:c r="I193" s="41" t="n">
        <x:v>0.474512</x:v>
      </x:c>
      <x:c r="J193" s="41" t="n">
        <x:v>11.3171</x:v>
      </x:c>
      <x:c r="K193" s="41" t="n">
        <x:v>25.9293</x:v>
      </x:c>
      <x:c r="L193" s="41" t="n">
        <x:v>6.8025</x:v>
      </x:c>
      <x:c r="M193" s="41" t="n">
        <x:v>-38.6549</x:v>
      </x:c>
      <x:c r="N193" s="41" t="n">
        <x:v>-54.6441</x:v>
      </x:c>
      <x:c r="O193" s="41" t="n">
        <x:v>-56.4737</x:v>
      </x:c>
      <x:c r="P193" s="41" t="str">
        <x:v>1999-01-04</x:v>
      </x:c>
      <x:c r="Q193" s="41" t="str">
        <x:v>2026-05-22</x:v>
      </x:c>
    </x:row>
    <x:row r="194">
      <x:c r="A194" s="41" t="n">
        <x:v>193</x:v>
      </x:c>
      <x:c r="B194" s="41" t="str">
        <x:v>No weekly</x:v>
      </x:c>
      <x:c r="C194" s="41" t="str">
        <x:v>HYP_DD_FIRST_AUTO002_SOFT_SPY_TOPN_5_V1</x:v>
      </x:c>
      <x:c r="D194" s="41" t="str">
        <x:v>dd_first_drawdown_control</x:v>
      </x:c>
      <x:c r="E194" s="41" t="n">
        <x:v>0.474512</x:v>
      </x:c>
      <x:c r="F194" s="41" t="n">
        <x:v>0.120454</x:v>
      </x:c>
      <x:c r="G194" s="41" t="n">
        <x:v>0.354058</x:v>
      </x:c>
      <x:c r="H194" s="41" t="n">
        <x:v>0.390032</x:v>
      </x:c>
      <x:c r="I194" s="41" t="n">
        <x:v>0.474512</x:v>
      </x:c>
      <x:c r="J194" s="41" t="n">
        <x:v>25.5943</x:v>
      </x:c>
      <x:c r="K194" s="41" t="n">
        <x:v>25.9293</x:v>
      </x:c>
      <x:c r="L194" s="41" t="n">
        <x:v>6.8025</x:v>
      </x:c>
      <x:c r="M194" s="41" t="n">
        <x:v>-65.621</x:v>
      </x:c>
      <x:c r="N194" s="41" t="n">
        <x:v>-54.6441</x:v>
      </x:c>
      <x:c r="O194" s="41" t="n">
        <x:v>-56.4737</x:v>
      </x:c>
      <x:c r="P194" s="41" t="str">
        <x:v>1999-01-04</x:v>
      </x:c>
      <x:c r="Q194" s="41" t="str">
        <x:v>2026-05-22</x:v>
      </x:c>
    </x:row>
    <x:row r="195">
      <x:c r="A195" s="41" t="n">
        <x:v>194</x:v>
      </x:c>
      <x:c r="B195" s="41" t="str">
        <x:v>No weekly</x:v>
      </x:c>
      <x:c r="C195" s="41" t="str">
        <x:v>HYP_DD_FIRST_AUTO002_SOFT_SPY_TOPN_8_V1</x:v>
      </x:c>
      <x:c r="D195" s="41" t="str">
        <x:v>dd_first_drawdown_control</x:v>
      </x:c>
      <x:c r="E195" s="41" t="n">
        <x:v>0.474512</x:v>
      </x:c>
      <x:c r="F195" s="41" t="n">
        <x:v>0.120454</x:v>
      </x:c>
      <x:c r="G195" s="41" t="n">
        <x:v>0.354058</x:v>
      </x:c>
      <x:c r="H195" s="41" t="n">
        <x:v>0.406776</x:v>
      </x:c>
      <x:c r="I195" s="41" t="n">
        <x:v>0.474512</x:v>
      </x:c>
      <x:c r="J195" s="41" t="n">
        <x:v>25.4208</x:v>
      </x:c>
      <x:c r="K195" s="41" t="n">
        <x:v>25.9293</x:v>
      </x:c>
      <x:c r="L195" s="41" t="n">
        <x:v>6.8025</x:v>
      </x:c>
      <x:c r="M195" s="41" t="n">
        <x:v>-62.4934</x:v>
      </x:c>
      <x:c r="N195" s="41" t="n">
        <x:v>-54.6441</x:v>
      </x:c>
      <x:c r="O195" s="41" t="n">
        <x:v>-56.4737</x:v>
      </x:c>
      <x:c r="P195" s="41" t="str">
        <x:v>1999-01-04</x:v>
      </x:c>
      <x:c r="Q195" s="41" t="str">
        <x:v>2026-05-22</x:v>
      </x:c>
    </x:row>
    <x:row r="196">
      <x:c r="A196" s="41" t="n">
        <x:v>195</x:v>
      </x:c>
      <x:c r="B196" s="41" t="str">
        <x:v>Weekly</x:v>
      </x:c>
      <x:c r="C196" s="41" t="str">
        <x:v>HYP_REFINE_AUTO002_TOPN_6_V1_DDGRID_LONG_R12_C22_E78_CR45_REDD_RECOVERED_DD8_SL22</x:v>
      </x:c>
      <x:c r="D196" s="41" t="str">
        <x:v>dd_guard_grid</x:v>
      </x:c>
      <x:c r="E196" s="41" t="n">
        <x:v>0.474255</x:v>
      </x:c>
      <x:c r="F196" s="41" t="n">
        <x:v>0.120454</x:v>
      </x:c>
      <x:c r="G196" s="41" t="n">
        <x:v>0.353801</x:v>
      </x:c>
      <x:c r="H196" s="41" t="n">
        <x:v>0.474255</x:v>
      </x:c>
      <x:c r="I196" s="41" t="n">
        <x:v>0.374955</x:v>
      </x:c>
      <x:c r="J196" s="41" t="n">
        <x:v>14.3163</x:v>
      </x:c>
      <x:c r="K196" s="41" t="n">
        <x:v>13.0778</x:v>
      </x:c>
      <x:c r="L196" s="41" t="n">
        <x:v>6.8025</x:v>
      </x:c>
      <x:c r="M196" s="41" t="n">
        <x:v>-30.1869</x:v>
      </x:c>
      <x:c r="N196" s="41" t="n">
        <x:v>-34.8783</x:v>
      </x:c>
      <x:c r="O196" s="41" t="n">
        <x:v>-56.4737</x:v>
      </x:c>
      <x:c r="P196" s="41" t="str">
        <x:v>1999-01-04</x:v>
      </x:c>
      <x:c r="Q196" s="41" t="str">
        <x:v>2026-05-22</x:v>
      </x:c>
    </x:row>
    <x:row r="197">
      <x:c r="A197" s="41" t="n">
        <x:v>196</x:v>
      </x:c>
      <x:c r="B197" s="41" t="str">
        <x:v>Weekly</x:v>
      </x:c>
      <x:c r="C197" s="41" t="str">
        <x:v>HYP_REFINE_AUTO002_TOPN_6_V1_DDGRID_LONG_R12_C21_E72_CR45_REDD_RECOVERED_DD8_SL20</x:v>
      </x:c>
      <x:c r="D197" s="41" t="str">
        <x:v>dd_guard_grid</x:v>
      </x:c>
      <x:c r="E197" s="41" t="n">
        <x:v>0.473883</x:v>
      </x:c>
      <x:c r="F197" s="41" t="n">
        <x:v>0.120454</x:v>
      </x:c>
      <x:c r="G197" s="41" t="n">
        <x:v>0.353429</x:v>
      </x:c>
      <x:c r="H197" s="41" t="n">
        <x:v>0.473883</x:v>
      </x:c>
      <x:c r="I197" s="41" t="n">
        <x:v>0.38234</x:v>
      </x:c>
      <x:c r="J197" s="41" t="n">
        <x:v>13.7176</x:v>
      </x:c>
      <x:c r="K197" s="41" t="n">
        <x:v>12.7157</x:v>
      </x:c>
      <x:c r="L197" s="41" t="n">
        <x:v>6.8025</x:v>
      </x:c>
      <x:c r="M197" s="41" t="n">
        <x:v>-28.9473</x:v>
      </x:c>
      <x:c r="N197" s="41" t="n">
        <x:v>-33.2576</x:v>
      </x:c>
      <x:c r="O197" s="41" t="n">
        <x:v>-56.4737</x:v>
      </x:c>
      <x:c r="P197" s="41" t="str">
        <x:v>1999-01-04</x:v>
      </x:c>
      <x:c r="Q197" s="41" t="str">
        <x:v>2026-05-22</x:v>
      </x:c>
    </x:row>
    <x:row r="198">
      <x:c r="A198" s="41" t="n">
        <x:v>197</x:v>
      </x:c>
      <x:c r="B198" s="41" t="str">
        <x:v>Weekly</x:v>
      </x:c>
      <x:c r="C198" s="41" t="str">
        <x:v>HYP_REFINE_AUTO002_TOPN_6_V1_DDGRID_EXT_R12_C24_E66_CR50_REDD_RECOVERED_DD10_SL18</x:v>
      </x:c>
      <x:c r="D198" s="41" t="str">
        <x:v>dd_guard_grid</x:v>
      </x:c>
      <x:c r="E198" s="41" t="n">
        <x:v>0.473735</x:v>
      </x:c>
      <x:c r="F198" s="41" t="n">
        <x:v>0.120454</x:v>
      </x:c>
      <x:c r="G198" s="41" t="n">
        <x:v>0.353281</x:v>
      </x:c>
      <x:c r="H198" s="41" t="n">
        <x:v>0.473735</x:v>
      </x:c>
      <x:c r="I198" s="41" t="n">
        <x:v>0.36069</x:v>
      </x:c>
      <x:c r="J198" s="41" t="n">
        <x:v>13.9694</x:v>
      </x:c>
      <x:c r="K198" s="41" t="n">
        <x:v>12.1679</x:v>
      </x:c>
      <x:c r="L198" s="41" t="n">
        <x:v>6.8025</x:v>
      </x:c>
      <x:c r="M198" s="41" t="n">
        <x:v>-29.4877</x:v>
      </x:c>
      <x:c r="N198" s="41" t="n">
        <x:v>-33.7351</x:v>
      </x:c>
      <x:c r="O198" s="41" t="n">
        <x:v>-56.4737</x:v>
      </x:c>
      <x:c r="P198" s="41" t="str">
        <x:v>1999-01-04</x:v>
      </x:c>
      <x:c r="Q198" s="41" t="str">
        <x:v>2026-05-22</x:v>
      </x:c>
    </x:row>
    <x:row r="199">
      <x:c r="A199" s="41" t="n">
        <x:v>198</x:v>
      </x:c>
      <x:c r="B199" s="41" t="str">
        <x:v>Weekly</x:v>
      </x:c>
      <x:c r="C199" s="41" t="str">
        <x:v>HYP_REFINE_AUTO002_TOPN_6_V1_DDGRID_EXT_R12_C26_E60_CR50_REDD_RECOVERED_DD8_SL22</x:v>
      </x:c>
      <x:c r="D199" s="41" t="str">
        <x:v>dd_guard_grid</x:v>
      </x:c>
      <x:c r="E199" s="41" t="n">
        <x:v>0.473722</x:v>
      </x:c>
      <x:c r="F199" s="41" t="n">
        <x:v>0.120454</x:v>
      </x:c>
      <x:c r="G199" s="41" t="n">
        <x:v>0.353268</x:v>
      </x:c>
      <x:c r="H199" s="41" t="n">
        <x:v>0.473722</x:v>
      </x:c>
      <x:c r="I199" s="41" t="n">
        <x:v>0.333458</x:v>
      </x:c>
      <x:c r="J199" s="41" t="n">
        <x:v>13.6136</x:v>
      </x:c>
      <x:c r="K199" s="41" t="n">
        <x:v>11.5935</x:v>
      </x:c>
      <x:c r="L199" s="41" t="n">
        <x:v>6.8025</x:v>
      </x:c>
      <x:c r="M199" s="41" t="n">
        <x:v>-28.7375</x:v>
      </x:c>
      <x:c r="N199" s="41" t="n">
        <x:v>-34.7675</x:v>
      </x:c>
      <x:c r="O199" s="41" t="n">
        <x:v>-56.4737</x:v>
      </x:c>
      <x:c r="P199" s="41" t="str">
        <x:v>1999-01-04</x:v>
      </x:c>
      <x:c r="Q199" s="41" t="str">
        <x:v>2026-05-22</x:v>
      </x:c>
    </x:row>
    <x:row r="200">
      <x:c r="A200" s="41" t="n">
        <x:v>199</x:v>
      </x:c>
      <x:c r="B200" s="41" t="str">
        <x:v>Weekly</x:v>
      </x:c>
      <x:c r="C200" s="41" t="str">
        <x:v>HYP_REFINE_AUTO002_TOPN_6_V1_DDGRID_EXT_R12_C25_E75_CR50_REDD_RECOVERED_DD6_SL18</x:v>
      </x:c>
      <x:c r="D200" s="41" t="str">
        <x:v>dd_guard_grid</x:v>
      </x:c>
      <x:c r="E200" s="41" t="n">
        <x:v>0.473481</x:v>
      </x:c>
      <x:c r="F200" s="41" t="n">
        <x:v>0.120454</x:v>
      </x:c>
      <x:c r="G200" s="41" t="n">
        <x:v>0.353027</x:v>
      </x:c>
      <x:c r="H200" s="41" t="n">
        <x:v>0.473481</x:v>
      </x:c>
      <x:c r="I200" s="41" t="n">
        <x:v>0.403606</x:v>
      </x:c>
      <x:c r="J200" s="41" t="n">
        <x:v>14.6218</x:v>
      </x:c>
      <x:c r="K200" s="41" t="n">
        <x:v>14.3896</x:v>
      </x:c>
      <x:c r="L200" s="41" t="n">
        <x:v>6.8025</x:v>
      </x:c>
      <x:c r="M200" s="41" t="n">
        <x:v>-30.8816</x:v>
      </x:c>
      <x:c r="N200" s="41" t="n">
        <x:v>-35.6527</x:v>
      </x:c>
      <x:c r="O200" s="41" t="n">
        <x:v>-56.4737</x:v>
      </x:c>
      <x:c r="P200" s="41" t="str">
        <x:v>1999-01-04</x:v>
      </x:c>
      <x:c r="Q200" s="41" t="str">
        <x:v>2026-05-22</x:v>
      </x:c>
    </x:row>
    <x:row r="201">
      <x:c r="A201" s="41" t="n">
        <x:v>200</x:v>
      </x:c>
      <x:c r="B201" s="41" t="str">
        <x:v>Weekly</x:v>
      </x:c>
      <x:c r="C201" s="41" t="str">
        <x:v>HYP_REFINE_AUTO002_TOPN_6_V1_DDGRID_LONG_R12_C23_E75_CR42_REDD_RECOVERED_DD8_SLNONE</x:v>
      </x:c>
      <x:c r="D201" s="41" t="str">
        <x:v>dd_guard_grid</x:v>
      </x:c>
      <x:c r="E201" s="41" t="n">
        <x:v>0.473079</x:v>
      </x:c>
      <x:c r="F201" s="41" t="n">
        <x:v>0.120454</x:v>
      </x:c>
      <x:c r="G201" s="41" t="n">
        <x:v>0.352625</x:v>
      </x:c>
      <x:c r="H201" s="41" t="n">
        <x:v>0.473079</x:v>
      </x:c>
      <x:c r="I201" s="41" t="n">
        <x:v>0.367584</x:v>
      </x:c>
      <x:c r="J201" s="41" t="n">
        <x:v>14.0939</x:v>
      </x:c>
      <x:c r="K201" s="41" t="n">
        <x:v>12.7611</x:v>
      </x:c>
      <x:c r="L201" s="41" t="n">
        <x:v>6.8025</x:v>
      </x:c>
      <x:c r="M201" s="41" t="n">
        <x:v>-29.792</x:v>
      </x:c>
      <x:c r="N201" s="41" t="n">
        <x:v>-34.7162</x:v>
      </x:c>
      <x:c r="O201" s="41" t="n">
        <x:v>-56.4737</x:v>
      </x:c>
      <x:c r="P201" s="41" t="str">
        <x:v>1999-01-04</x:v>
      </x:c>
      <x:c r="Q201" s="41" t="str">
        <x:v>2026-05-22</x:v>
      </x:c>
    </x:row>
  </x:sheetData>
  <x:conditionalFormatting sqref="G2:G201">
    <x:cfRule type="dataBar" priority="1">
      <x:dataBar>
        <x:cfvo type="min"/>
        <x:cfvo type="max"/>
        <x:color rgb="FF63A375"/>
      </x:dataBar>
      <x:extLst>
        <x:ext xmlns:x14="http://schemas.microsoft.com/office/spreadsheetml/2009/9/main" uri="{B025F937-C7B1-47D3-B67F-A62EFF666E3E}">
          <x14:id>{7FB3698E-BFDD-9ECA-2E6B-CE0EE22A70D8}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b6cfb15e579477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B3698E-BFDD-9ECA-2E6B-CE0EE22A70D8}">
            <x14:dataBar gradient="1">
              <x14:cfvo type="min"/>
              <x14:cfvo type="max"/>
              <x14:fillColor rgb="FF63A375"/>
            </x14:dataBar>
          </x14:cfRule>
          <xm:sqref>G2:G201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40" t="str">
        <x:v>Rank</x:v>
      </x:c>
      <x:c r="B1" s="40" t="str">
        <x:v>Strategy ID</x:v>
      </x:c>
      <x:c r="C1" s="40" t="str">
        <x:v>Family</x:v>
      </x:c>
      <x:c r="D1" s="40" t="str">
        <x:v>Weekly Score</x:v>
      </x:c>
      <x:c r="E1" s="40" t="str">
        <x:v>SPY Score</x:v>
      </x:c>
      <x:c r="F1" s="40" t="str">
        <x:v>Score Edge vs SPY</x:v>
      </x:c>
      <x:c r="G1" s="40" t="str">
        <x:v>Weekly CAGR %</x:v>
      </x:c>
      <x:c r="H1" s="40" t="str">
        <x:v>SPY CAGR %</x:v>
      </x:c>
      <x:c r="I1" s="40" t="str">
        <x:v>Excess CAGR vs SPY %</x:v>
      </x:c>
      <x:c r="J1" s="40" t="str">
        <x:v>Weekly DD %</x:v>
      </x:c>
      <x:c r="K1" s="40" t="str">
        <x:v>SPY DD %</x:v>
      </x:c>
      <x:c r="L1" s="40" t="str">
        <x:v>DD improvement vs SPY</x:v>
      </x:c>
      <x:c r="M1" s="40" t="str">
        <x:v>Weekly Total Return %</x:v>
      </x:c>
      <x:c r="N1" s="40" t="str">
        <x:v>SPY Total Return %</x:v>
      </x:c>
      <x:c r="O1" s="40" t="str">
        <x:v>Weekly Trades</x:v>
      </x:c>
      <x:c r="P1" s="40" t="str">
        <x:v>Start</x:v>
      </x:c>
      <x:c r="Q1" s="40" t="str">
        <x:v>End</x:v>
      </x:c>
    </x:row>
    <x:row r="2">
      <x:c r="A2" s="41" t="n">
        <x:v>1</x:v>
      </x:c>
      <x:c r="B2" s="41" t="str">
        <x:v>HYP_REFINE_AUTO002_TOPN_6_V1_DDGRID_EXT_R12_C26_E75_CR50_REDD_RECOVERED_DD12_SL20</x:v>
      </x:c>
      <x:c r="C2" s="41" t="str">
        <x:v>dd_guard_grid</x:v>
      </x:c>
      <x:c r="D2" s="41" t="n">
        <x:v>0.526767</x:v>
      </x:c>
      <x:c r="E2" s="41" t="n">
        <x:v>0.120454</x:v>
      </x:c>
      <x:c r="F2" s="41" t="n">
        <x:v>0.406313</x:v>
      </x:c>
      <x:c r="G2" s="41" t="n">
        <x:v>16.3712</x:v>
      </x:c>
      <x:c r="H2" s="41" t="n">
        <x:v>6.8025</x:v>
      </x:c>
      <x:c r="I2" s="41" t="n">
        <x:v>9.5687</x:v>
      </x:c>
      <x:c r="J2" s="41" t="n">
        <x:v>-31.0786</x:v>
      </x:c>
      <x:c r="K2" s="41" t="n">
        <x:v>-56.4737</x:v>
      </x:c>
      <x:c r="L2" s="41" t="n">
        <x:v>25.395</x:v>
      </x:c>
      <x:c r="M2" s="41" t="n">
        <x:v>6249.6959</x:v>
      </x:c>
      <x:c r="N2" s="41" t="n">
        <x:v>506.0574</x:v>
      </x:c>
      <x:c r="O2" s="41" t="n">
        <x:v>10059</x:v>
      </x:c>
      <x:c r="P2" s="41" t="str">
        <x:v>1999-01-04</x:v>
      </x:c>
      <x:c r="Q2" s="41" t="str">
        <x:v>2026-05-22</x:v>
      </x:c>
    </x:row>
    <x:row r="3">
      <x:c r="A3" s="41" t="n">
        <x:v>2</x:v>
      </x:c>
      <x:c r="B3" s="41" t="str">
        <x:v>HYP_REFINE_AUTO002_TOPN_6_V1_DDGRID_EXT_R12_C22_E75_CR50_REDD_RECOVERED_DD8_SLNONE</x:v>
      </x:c>
      <x:c r="C3" s="41" t="str">
        <x:v>dd_guard_grid</x:v>
      </x:c>
      <x:c r="D3" s="41" t="n">
        <x:v>0.525873</x:v>
      </x:c>
      <x:c r="E3" s="41" t="n">
        <x:v>0.120454</x:v>
      </x:c>
      <x:c r="F3" s="41" t="n">
        <x:v>0.405419</x:v>
      </x:c>
      <x:c r="G3" s="41" t="n">
        <x:v>15.2926</x:v>
      </x:c>
      <x:c r="H3" s="41" t="n">
        <x:v>6.8025</x:v>
      </x:c>
      <x:c r="I3" s="41" t="n">
        <x:v>8.4901</x:v>
      </x:c>
      <x:c r="J3" s="41" t="n">
        <x:v>-29.0803</x:v>
      </x:c>
      <x:c r="K3" s="41" t="n">
        <x:v>-56.4737</x:v>
      </x:c>
      <x:c r="L3" s="41" t="n">
        <x:v>27.3933</x:v>
      </x:c>
      <x:c r="M3" s="41" t="n">
        <x:v>4820.6969</x:v>
      </x:c>
      <x:c r="N3" s="41" t="n">
        <x:v>506.0574</x:v>
      </x:c>
      <x:c r="O3" s="41" t="n">
        <x:v>11225</x:v>
      </x:c>
      <x:c r="P3" s="41" t="str">
        <x:v>1999-01-04</x:v>
      </x:c>
      <x:c r="Q3" s="41" t="str">
        <x:v>2026-05-22</x:v>
      </x:c>
    </x:row>
    <x:row r="4">
      <x:c r="A4" s="41" t="n">
        <x:v>3</x:v>
      </x:c>
      <x:c r="B4" s="41" t="str">
        <x:v>HYP_REFINE_AUTO002_TOPN_6_V1_DDGRID_EXT_FINE_R12_C25_E75_CR50_REDD_RECOVERED_DD8_SLNONE</x:v>
      </x:c>
      <x:c r="C4" s="41" t="str">
        <x:v>dd_guard_grid</x:v>
      </x:c>
      <x:c r="D4" s="41" t="n">
        <x:v>0.524742</x:v>
      </x:c>
      <x:c r="E4" s="41" t="n">
        <x:v>0.120454</x:v>
      </x:c>
      <x:c r="F4" s="41" t="n">
        <x:v>0.404289</x:v>
      </x:c>
      <x:c r="G4" s="41" t="n">
        <x:v>15.6459</x:v>
      </x:c>
      <x:c r="H4" s="41" t="n">
        <x:v>6.8025</x:v>
      </x:c>
      <x:c r="I4" s="41" t="n">
        <x:v>8.8435</x:v>
      </x:c>
      <x:c r="J4" s="41" t="n">
        <x:v>-29.8164</x:v>
      </x:c>
      <x:c r="K4" s="41" t="n">
        <x:v>-56.4737</x:v>
      </x:c>
      <x:c r="L4" s="41" t="n">
        <x:v>26.6573</x:v>
      </x:c>
      <x:c r="M4" s="41" t="n">
        <x:v>5250.7507</x:v>
      </x:c>
      <x:c r="N4" s="41" t="n">
        <x:v>506.0574</x:v>
      </x:c>
      <x:c r="O4" s="41" t="n">
        <x:v>11265</x:v>
      </x:c>
      <x:c r="P4" s="41" t="str">
        <x:v>1999-01-04</x:v>
      </x:c>
      <x:c r="Q4" s="41" t="str">
        <x:v>2026-05-22</x:v>
      </x:c>
    </x:row>
    <x:row r="5">
      <x:c r="A5" s="41" t="n">
        <x:v>4</x:v>
      </x:c>
      <x:c r="B5" s="41" t="str">
        <x:v>HYP_REFINE_AUTO002_TOPN_6_V1_STRICT_NEXT_CLOSE</x:v>
      </x:c>
      <x:c r="C5" s="41" t="str">
        <x:v>trend_following</x:v>
      </x:c>
      <x:c r="D5" s="41" t="n">
        <x:v>0.5245</x:v>
      </x:c>
      <x:c r="E5" s="41" t="n">
        <x:v>0.120454</x:v>
      </x:c>
      <x:c r="F5" s="41" t="n">
        <x:v>0.404046</x:v>
      </x:c>
      <x:c r="G5" s="41" t="n">
        <x:v>19.6402</x:v>
      </x:c>
      <x:c r="H5" s="41" t="n">
        <x:v>6.8025</x:v>
      </x:c>
      <x:c r="I5" s="41" t="n">
        <x:v>12.8377</x:v>
      </x:c>
      <x:c r="J5" s="41" t="n">
        <x:v>-37.4456</x:v>
      </x:c>
      <x:c r="K5" s="41" t="n">
        <x:v>-56.4737</x:v>
      </x:c>
      <x:c r="L5" s="41" t="n">
        <x:v>19.0281</x:v>
      </x:c>
      <x:c r="M5" s="41" t="n">
        <x:v>13456.9321</x:v>
      </x:c>
      <x:c r="N5" s="41" t="n">
        <x:v>506.0574</x:v>
      </x:c>
      <x:c r="O5" s="41" t="n">
        <x:v>4547</x:v>
      </x:c>
      <x:c r="P5" s="41" t="str">
        <x:v>1999-01-04</x:v>
      </x:c>
      <x:c r="Q5" s="41" t="str">
        <x:v>2026-05-22</x:v>
      </x:c>
    </x:row>
    <x:row r="6">
      <x:c r="A6" s="41" t="n">
        <x:v>5</x:v>
      </x:c>
      <x:c r="B6" s="41" t="str">
        <x:v>HYP_REFINE_AUTO002_TOPN_6_V1_DDGRID_EXT_R10_C25_E75_CR50_REDD_RECOVERED_DD8_SL20</x:v>
      </x:c>
      <x:c r="C6" s="41" t="str">
        <x:v>dd_guard_grid</x:v>
      </x:c>
      <x:c r="D6" s="41" t="n">
        <x:v>0.52382</x:v>
      </x:c>
      <x:c r="E6" s="41" t="n">
        <x:v>0.120454</x:v>
      </x:c>
      <x:c r="F6" s="41" t="n">
        <x:v>0.403366</x:v>
      </x:c>
      <x:c r="G6" s="41" t="n">
        <x:v>16.0904</x:v>
      </x:c>
      <x:c r="H6" s="41" t="n">
        <x:v>6.8025</x:v>
      </x:c>
      <x:c r="I6" s="41" t="n">
        <x:v>9.2879</x:v>
      </x:c>
      <x:c r="J6" s="41" t="n">
        <x:v>-30.7175</x:v>
      </x:c>
      <x:c r="K6" s="41" t="n">
        <x:v>-56.4737</x:v>
      </x:c>
      <x:c r="L6" s="41" t="n">
        <x:v>25.7562</x:v>
      </x:c>
      <x:c r="M6" s="41" t="n">
        <x:v>5843.2955</x:v>
      </x:c>
      <x:c r="N6" s="41" t="n">
        <x:v>506.0574</x:v>
      </x:c>
      <x:c r="O6" s="41" t="n">
        <x:v>11392</x:v>
      </x:c>
      <x:c r="P6" s="41" t="str">
        <x:v>1999-01-04</x:v>
      </x:c>
      <x:c r="Q6" s="41" t="str">
        <x:v>2026-05-22</x:v>
      </x:c>
    </x:row>
    <x:row r="7">
      <x:c r="A7" s="41" t="n">
        <x:v>6</x:v>
      </x:c>
      <x:c r="B7" s="41" t="str">
        <x:v>HYP_REFINE_AUTO002_TOPN_6_V1_DDGRID_EXT_R12_C24_E66_CR50_REDD_RECOVERED_DD10_SL22</x:v>
      </x:c>
      <x:c r="C7" s="41" t="str">
        <x:v>dd_guard_grid</x:v>
      </x:c>
      <x:c r="D7" s="41" t="n">
        <x:v>0.523766</x:v>
      </x:c>
      <x:c r="E7" s="41" t="n">
        <x:v>0.120454</x:v>
      </x:c>
      <x:c r="F7" s="41" t="n">
        <x:v>0.403312</x:v>
      </x:c>
      <x:c r="G7" s="41" t="n">
        <x:v>15.2348</x:v>
      </x:c>
      <x:c r="H7" s="41" t="n">
        <x:v>6.8025</x:v>
      </x:c>
      <x:c r="I7" s="41" t="n">
        <x:v>8.4323</x:v>
      </x:c>
      <x:c r="J7" s="41" t="n">
        <x:v>-29.087</x:v>
      </x:c>
      <x:c r="K7" s="41" t="n">
        <x:v>-56.4737</x:v>
      </x:c>
      <x:c r="L7" s="41" t="n">
        <x:v>27.3866</x:v>
      </x:c>
      <x:c r="M7" s="41" t="n">
        <x:v>4753.6536</x:v>
      </x:c>
      <x:c r="N7" s="41" t="n">
        <x:v>506.0574</x:v>
      </x:c>
      <x:c r="O7" s="41" t="n">
        <x:v>11007</x:v>
      </x:c>
      <x:c r="P7" s="41" t="str">
        <x:v>1999-01-04</x:v>
      </x:c>
      <x:c r="Q7" s="41" t="str">
        <x:v>2026-05-22</x:v>
      </x:c>
    </x:row>
    <x:row r="8">
      <x:c r="A8" s="41" t="n">
        <x:v>7</x:v>
      </x:c>
      <x:c r="B8" s="41" t="str">
        <x:v>HYP_REFINE_AUTO002_TOPN_6_V1_DDGRID_EXT_R12_C25_E66_CR50_REDD_RECOVERED_DD10_SLNONE</x:v>
      </x:c>
      <x:c r="C8" s="41" t="str">
        <x:v>dd_guard_grid</x:v>
      </x:c>
      <x:c r="D8" s="41" t="n">
        <x:v>0.523186</x:v>
      </x:c>
      <x:c r="E8" s="41" t="n">
        <x:v>0.120454</x:v>
      </x:c>
      <x:c r="F8" s="41" t="n">
        <x:v>0.402732</x:v>
      </x:c>
      <x:c r="G8" s="41" t="n">
        <x:v>15.3397</x:v>
      </x:c>
      <x:c r="H8" s="41" t="n">
        <x:v>6.8025</x:v>
      </x:c>
      <x:c r="I8" s="41" t="n">
        <x:v>8.5372</x:v>
      </x:c>
      <x:c r="J8" s="41" t="n">
        <x:v>-29.3198</x:v>
      </x:c>
      <x:c r="K8" s="41" t="n">
        <x:v>-56.4737</x:v>
      </x:c>
      <x:c r="L8" s="41" t="n">
        <x:v>27.1539</x:v>
      </x:c>
      <x:c r="M8" s="41" t="n">
        <x:v>4876.0816</x:v>
      </x:c>
      <x:c r="N8" s="41" t="n">
        <x:v>506.0574</x:v>
      </x:c>
      <x:c r="O8" s="41" t="n">
        <x:v>11198</x:v>
      </x:c>
      <x:c r="P8" s="41" t="str">
        <x:v>1999-01-04</x:v>
      </x:c>
      <x:c r="Q8" s="41" t="str">
        <x:v>2026-05-22</x:v>
      </x:c>
    </x:row>
    <x:row r="9">
      <x:c r="A9" s="41" t="n">
        <x:v>8</x:v>
      </x:c>
      <x:c r="B9" s="41" t="str">
        <x:v>HYP_REFINE_AUTO002_TOPN_6_V1_DDGRID_EXT_R12_C25_E66_CR50_REDD_RECOVERED_DD10_SL25</x:v>
      </x:c>
      <x:c r="C9" s="41" t="str">
        <x:v>dd_guard_grid</x:v>
      </x:c>
      <x:c r="D9" s="41" t="n">
        <x:v>0.52272</x:v>
      </x:c>
      <x:c r="E9" s="41" t="n">
        <x:v>0.120454</x:v>
      </x:c>
      <x:c r="F9" s="41" t="n">
        <x:v>0.402267</x:v>
      </x:c>
      <x:c r="G9" s="41" t="n">
        <x:v>15.3672</x:v>
      </x:c>
      <x:c r="H9" s="41" t="n">
        <x:v>6.8025</x:v>
      </x:c>
      <x:c r="I9" s="41" t="n">
        <x:v>8.5647</x:v>
      </x:c>
      <x:c r="J9" s="41" t="n">
        <x:v>-29.3985</x:v>
      </x:c>
      <x:c r="K9" s="41" t="n">
        <x:v>-56.4737</x:v>
      </x:c>
      <x:c r="L9" s="41" t="n">
        <x:v>27.0752</x:v>
      </x:c>
      <x:c r="M9" s="41" t="n">
        <x:v>4908.6344</x:v>
      </x:c>
      <x:c r="N9" s="41" t="n">
        <x:v>506.0574</x:v>
      </x:c>
      <x:c r="O9" s="41" t="n">
        <x:v>11058</x:v>
      </x:c>
      <x:c r="P9" s="41" t="str">
        <x:v>1999-01-04</x:v>
      </x:c>
      <x:c r="Q9" s="41" t="str">
        <x:v>2026-05-22</x:v>
      </x:c>
    </x:row>
    <x:row r="10">
      <x:c r="A10" s="41" t="n">
        <x:v>9</x:v>
      </x:c>
      <x:c r="B10" s="41" t="str">
        <x:v>HYP_REFINE_AUTO002_TOPN_6_V1_DDGRID_EXT_R12_C26_E75_CR50_REDD_RECOVERED_DD10_SL25</x:v>
      </x:c>
      <x:c r="C10" s="41" t="str">
        <x:v>dd_guard_grid</x:v>
      </x:c>
      <x:c r="D10" s="41" t="n">
        <x:v>0.520877</x:v>
      </x:c>
      <x:c r="E10" s="41" t="n">
        <x:v>0.120454</x:v>
      </x:c>
      <x:c r="F10" s="41" t="n">
        <x:v>0.400423</x:v>
      </x:c>
      <x:c r="G10" s="41" t="n">
        <x:v>16.2696</x:v>
      </x:c>
      <x:c r="H10" s="41" t="n">
        <x:v>6.8025</x:v>
      </x:c>
      <x:c r="I10" s="41" t="n">
        <x:v>9.4672</x:v>
      </x:c>
      <x:c r="J10" s="41" t="n">
        <x:v>-31.2351</x:v>
      </x:c>
      <x:c r="K10" s="41" t="n">
        <x:v>-56.4737</x:v>
      </x:c>
      <x:c r="L10" s="41" t="n">
        <x:v>25.2386</x:v>
      </x:c>
      <x:c r="M10" s="41" t="n">
        <x:v>6099.6811</x:v>
      </x:c>
      <x:c r="N10" s="41" t="n">
        <x:v>506.0574</x:v>
      </x:c>
      <x:c r="O10" s="41" t="n">
        <x:v>10926</x:v>
      </x:c>
      <x:c r="P10" s="41" t="str">
        <x:v>1999-01-04</x:v>
      </x:c>
      <x:c r="Q10" s="41" t="str">
        <x:v>2026-05-22</x:v>
      </x:c>
    </x:row>
    <x:row r="11">
      <x:c r="A11" s="41" t="n">
        <x:v>10</x:v>
      </x:c>
      <x:c r="B11" s="41" t="str">
        <x:v>HYP_REFINE_AUTO002_TOPN_6_V1_DDGRID_EXT_FINE_R12_C26_E75_CR50_REDD_RECOVERED_DD8_SL20</x:v>
      </x:c>
      <x:c r="C11" s="41" t="str">
        <x:v>dd_guard_grid</x:v>
      </x:c>
      <x:c r="D11" s="41" t="n">
        <x:v>0.52087</x:v>
      </x:c>
      <x:c r="E11" s="41" t="n">
        <x:v>0.120454</x:v>
      </x:c>
      <x:c r="F11" s="41" t="n">
        <x:v>0.400416</x:v>
      </x:c>
      <x:c r="G11" s="41" t="n">
        <x:v>16.1879</x:v>
      </x:c>
      <x:c r="H11" s="41" t="n">
        <x:v>6.8025</x:v>
      </x:c>
      <x:c r="I11" s="41" t="n">
        <x:v>9.3854</x:v>
      </x:c>
      <x:c r="J11" s="41" t="n">
        <x:v>-31.0786</x:v>
      </x:c>
      <x:c r="K11" s="41" t="n">
        <x:v>-56.4737</x:v>
      </x:c>
      <x:c r="L11" s="41" t="n">
        <x:v>25.395</x:v>
      </x:c>
      <x:c r="M11" s="41" t="n">
        <x:v>5981.5008</x:v>
      </x:c>
      <x:c r="N11" s="41" t="n">
        <x:v>506.0574</x:v>
      </x:c>
      <x:c r="O11" s="41" t="n">
        <x:v>11116</x:v>
      </x:c>
      <x:c r="P11" s="41" t="str">
        <x:v>1999-01-04</x:v>
      </x:c>
      <x:c r="Q11" s="41" t="str">
        <x:v>2026-05-22</x:v>
      </x:c>
    </x:row>
    <x:row r="12">
      <x:c r="A12" s="41" t="n">
        <x:v>11</x:v>
      </x:c>
      <x:c r="B12" s="41" t="str">
        <x:v>HYP_REFINE_AUTO002_TOPN_6_V1_DDGRID_EXT_R12_C26_E75_CR50_REDD_RECOVERED_DD10_SL20</x:v>
      </x:c>
      <x:c r="C12" s="41" t="str">
        <x:v>dd_guard_grid</x:v>
      </x:c>
      <x:c r="D12" s="41" t="n">
        <x:v>0.520819</x:v>
      </x:c>
      <x:c r="E12" s="41" t="n">
        <x:v>0.120454</x:v>
      </x:c>
      <x:c r="F12" s="41" t="n">
        <x:v>0.400365</x:v>
      </x:c>
      <x:c r="G12" s="41" t="n">
        <x:v>16.1863</x:v>
      </x:c>
      <x:c r="H12" s="41" t="n">
        <x:v>6.8025</x:v>
      </x:c>
      <x:c r="I12" s="41" t="n">
        <x:v>9.3839</x:v>
      </x:c>
      <x:c r="J12" s="41" t="n">
        <x:v>-31.0786</x:v>
      </x:c>
      <x:c r="K12" s="41" t="n">
        <x:v>-56.4737</x:v>
      </x:c>
      <x:c r="L12" s="41" t="n">
        <x:v>25.395</x:v>
      </x:c>
      <x:c r="M12" s="41" t="n">
        <x:v>5979.2423</x:v>
      </x:c>
      <x:c r="N12" s="41" t="n">
        <x:v>506.0574</x:v>
      </x:c>
      <x:c r="O12" s="41" t="n">
        <x:v>10721</x:v>
      </x:c>
      <x:c r="P12" s="41" t="str">
        <x:v>1999-01-04</x:v>
      </x:c>
      <x:c r="Q12" s="41" t="str">
        <x:v>2026-05-22</x:v>
      </x:c>
    </x:row>
    <x:row r="13">
      <x:c r="A13" s="41" t="n">
        <x:v>12</x:v>
      </x:c>
      <x:c r="B13" s="41" t="str">
        <x:v>HYP_REFINE_AUTO002_TOPN_6_V1_DDGRID_EXT_R12_C26_E75_CR50_REDD_RECOVERED_DD10_SL22</x:v>
      </x:c>
      <x:c r="C13" s="41" t="str">
        <x:v>dd_guard_grid</x:v>
      </x:c>
      <x:c r="D13" s="41" t="n">
        <x:v>0.519603</x:v>
      </x:c>
      <x:c r="E13" s="41" t="n">
        <x:v>0.120454</x:v>
      </x:c>
      <x:c r="F13" s="41" t="n">
        <x:v>0.399149</x:v>
      </x:c>
      <x:c r="G13" s="41" t="n">
        <x:v>16.1712</x:v>
      </x:c>
      <x:c r="H13" s="41" t="n">
        <x:v>6.8025</x:v>
      </x:c>
      <x:c r="I13" s="41" t="n">
        <x:v>9.3687</x:v>
      </x:c>
      <x:c r="J13" s="41" t="n">
        <x:v>-31.1222</x:v>
      </x:c>
      <x:c r="K13" s="41" t="n">
        <x:v>-56.4737</x:v>
      </x:c>
      <x:c r="L13" s="41" t="n">
        <x:v>25.3515</x:v>
      </x:c>
      <x:c r="M13" s="41" t="n">
        <x:v>5957.5438</x:v>
      </x:c>
      <x:c r="N13" s="41" t="n">
        <x:v>506.0574</x:v>
      </x:c>
      <x:c r="O13" s="41" t="n">
        <x:v>10854</x:v>
      </x:c>
      <x:c r="P13" s="41" t="str">
        <x:v>1999-01-04</x:v>
      </x:c>
      <x:c r="Q13" s="41" t="str">
        <x:v>2026-05-22</x:v>
      </x:c>
    </x:row>
    <x:row r="14">
      <x:c r="A14" s="41" t="n">
        <x:v>13</x:v>
      </x:c>
      <x:c r="B14" s="41" t="str">
        <x:v>HYP_REFINE_AUTO002_TOPN_6_V1_DDGRID_EXT_R12_C25_E75_CR50_REDD_RECOVERED_DD10_SLNONE</x:v>
      </x:c>
      <x:c r="C14" s="41" t="str">
        <x:v>dd_guard_grid</x:v>
      </x:c>
      <x:c r="D14" s="41" t="n">
        <x:v>0.51896</x:v>
      </x:c>
      <x:c r="E14" s="41" t="n">
        <x:v>0.120454</x:v>
      </x:c>
      <x:c r="F14" s="41" t="n">
        <x:v>0.398506</x:v>
      </x:c>
      <x:c r="G14" s="41" t="n">
        <x:v>15.4735</x:v>
      </x:c>
      <x:c r="H14" s="41" t="n">
        <x:v>6.8025</x:v>
      </x:c>
      <x:c r="I14" s="41" t="n">
        <x:v>8.671</x:v>
      </x:c>
      <x:c r="J14" s="41" t="n">
        <x:v>-29.8164</x:v>
      </x:c>
      <x:c r="K14" s="41" t="n">
        <x:v>-56.4737</x:v>
      </x:c>
      <x:c r="L14" s="41" t="n">
        <x:v>26.6573</x:v>
      </x:c>
      <x:c r="M14" s="41" t="n">
        <x:v>5036.59</x:v>
      </x:c>
      <x:c r="N14" s="41" t="n">
        <x:v>506.0574</x:v>
      </x:c>
      <x:c r="O14" s="41" t="n">
        <x:v>10890</x:v>
      </x:c>
      <x:c r="P14" s="41" t="str">
        <x:v>1999-01-04</x:v>
      </x:c>
      <x:c r="Q14" s="41" t="str">
        <x:v>2026-05-22</x:v>
      </x:c>
    </x:row>
    <x:row r="15">
      <x:c r="A15" s="41" t="n">
        <x:v>14</x:v>
      </x:c>
      <x:c r="B15" s="41" t="str">
        <x:v>HYP_REFINE_AUTO002_TOPN_6_V1_DDGRID_EXT_R12_C26_E75_CR50_REDD_RECOVERED_DD8_SLNONE</x:v>
      </x:c>
      <x:c r="C15" s="41" t="str">
        <x:v>dd_guard_grid</x:v>
      </x:c>
      <x:c r="D15" s="41" t="n">
        <x:v>0.518882</x:v>
      </x:c>
      <x:c r="E15" s="41" t="n">
        <x:v>0.120454</x:v>
      </x:c>
      <x:c r="F15" s="41" t="n">
        <x:v>0.398428</x:v>
      </x:c>
      <x:c r="G15" s="41" t="n">
        <x:v>15.9025</x:v>
      </x:c>
      <x:c r="H15" s="41" t="n">
        <x:v>6.8025</x:v>
      </x:c>
      <x:c r="I15" s="41" t="n">
        <x:v>9.1</x:v>
      </x:c>
      <x:c r="J15" s="41" t="n">
        <x:v>-30.6476</x:v>
      </x:c>
      <x:c r="K15" s="41" t="n">
        <x:v>-56.4737</x:v>
      </x:c>
      <x:c r="L15" s="41" t="n">
        <x:v>25.826</x:v>
      </x:c>
      <x:c r="M15" s="41" t="n">
        <x:v>5585.44</x:v>
      </x:c>
      <x:c r="N15" s="41" t="n">
        <x:v>506.0574</x:v>
      </x:c>
      <x:c r="O15" s="41" t="n">
        <x:v>10922</x:v>
      </x:c>
      <x:c r="P15" s="41" t="str">
        <x:v>1999-01-04</x:v>
      </x:c>
      <x:c r="Q15" s="41" t="str">
        <x:v>2026-05-22</x:v>
      </x:c>
    </x:row>
    <x:row r="16">
      <x:c r="A16" s="41" t="n">
        <x:v>15</x:v>
      </x:c>
      <x:c r="B16" s="41" t="str">
        <x:v>HYP_REFINE_AUTO002_TOPN_6_V1_DDGRID_EXT_R12_C26_E75_CR50_REDD_RECOVERED_DD8_SL25</x:v>
      </x:c>
      <x:c r="C16" s="41" t="str">
        <x:v>dd_guard_grid</x:v>
      </x:c>
      <x:c r="D16" s="41" t="n">
        <x:v>0.518253</x:v>
      </x:c>
      <x:c r="E16" s="41" t="n">
        <x:v>0.120454</x:v>
      </x:c>
      <x:c r="F16" s="41" t="n">
        <x:v>0.397799</x:v>
      </x:c>
      <x:c r="G16" s="41" t="n">
        <x:v>16.1877</x:v>
      </x:c>
      <x:c r="H16" s="41" t="n">
        <x:v>6.8025</x:v>
      </x:c>
      <x:c r="I16" s="41" t="n">
        <x:v>9.3852</x:v>
      </x:c>
      <x:c r="J16" s="41" t="n">
        <x:v>-31.2351</x:v>
      </x:c>
      <x:c r="K16" s="41" t="n">
        <x:v>-56.4737</x:v>
      </x:c>
      <x:c r="L16" s="41" t="n">
        <x:v>25.2386</x:v>
      </x:c>
      <x:c r="M16" s="41" t="n">
        <x:v>5981.1171</x:v>
      </x:c>
      <x:c r="N16" s="41" t="n">
        <x:v>506.0574</x:v>
      </x:c>
      <x:c r="O16" s="41" t="n">
        <x:v>11267</x:v>
      </x:c>
      <x:c r="P16" s="41" t="str">
        <x:v>1999-01-04</x:v>
      </x:c>
      <x:c r="Q16" s="41" t="str">
        <x:v>2026-05-22</x:v>
      </x:c>
    </x:row>
    <x:row r="17">
      <x:c r="A17" s="41" t="n">
        <x:v>16</x:v>
      </x:c>
      <x:c r="B17" s="41" t="str">
        <x:v>HYP_REFINE_AUTO002_TOPN_6_V1_DDGRID_EXT_R12_C25_E75_CR50_REDD_RECOVERED_DD12_SLNONE</x:v>
      </x:c>
      <x:c r="C17" s="41" t="str">
        <x:v>dd_guard_grid</x:v>
      </x:c>
      <x:c r="D17" s="41" t="n">
        <x:v>0.51694</x:v>
      </x:c>
      <x:c r="E17" s="41" t="n">
        <x:v>0.120454</x:v>
      </x:c>
      <x:c r="F17" s="41" t="n">
        <x:v>0.396486</x:v>
      </x:c>
      <x:c r="G17" s="41" t="n">
        <x:v>15.4133</x:v>
      </x:c>
      <x:c r="H17" s="41" t="n">
        <x:v>6.8025</x:v>
      </x:c>
      <x:c r="I17" s="41" t="n">
        <x:v>8.6108</x:v>
      </x:c>
      <x:c r="J17" s="41" t="n">
        <x:v>-29.8164</x:v>
      </x:c>
      <x:c r="K17" s="41" t="n">
        <x:v>-56.4737</x:v>
      </x:c>
      <x:c r="L17" s="41" t="n">
        <x:v>26.6573</x:v>
      </x:c>
      <x:c r="M17" s="41" t="n">
        <x:v>4963.7373</x:v>
      </x:c>
      <x:c r="N17" s="41" t="n">
        <x:v>506.0574</x:v>
      </x:c>
      <x:c r="O17" s="41" t="n">
        <x:v>10234</x:v>
      </x:c>
      <x:c r="P17" s="41" t="str">
        <x:v>1999-01-04</x:v>
      </x:c>
      <x:c r="Q17" s="41" t="str">
        <x:v>2026-05-22</x:v>
      </x:c>
    </x:row>
    <x:row r="18">
      <x:c r="A18" s="41" t="n">
        <x:v>17</x:v>
      </x:c>
      <x:c r="B18" s="41" t="str">
        <x:v>HYP_REFINE_AUTO002_TOPN_6_V1_DDGRID_EXT_R12_C26_E75_CR50_REDD_RECOVERED_DD8_SL22</x:v>
      </x:c>
      <x:c r="C18" s="41" t="str">
        <x:v>dd_guard_grid</x:v>
      </x:c>
      <x:c r="D18" s="41" t="n">
        <x:v>0.516579</x:v>
      </x:c>
      <x:c r="E18" s="41" t="n">
        <x:v>0.120454</x:v>
      </x:c>
      <x:c r="F18" s="41" t="n">
        <x:v>0.396125</x:v>
      </x:c>
      <x:c r="G18" s="41" t="n">
        <x:v>16.0771</x:v>
      </x:c>
      <x:c r="H18" s="41" t="n">
        <x:v>6.8025</x:v>
      </x:c>
      <x:c r="I18" s="41" t="n">
        <x:v>9.2746</x:v>
      </x:c>
      <x:c r="J18" s="41" t="n">
        <x:v>-31.1222</x:v>
      </x:c>
      <x:c r="K18" s="41" t="n">
        <x:v>-56.4737</x:v>
      </x:c>
      <x:c r="L18" s="41" t="n">
        <x:v>25.3515</x:v>
      </x:c>
      <x:c r="M18" s="41" t="n">
        <x:v>5824.6431</x:v>
      </x:c>
      <x:c r="N18" s="41" t="n">
        <x:v>506.0574</x:v>
      </x:c>
      <x:c r="O18" s="41" t="n">
        <x:v>11214</x:v>
      </x:c>
      <x:c r="P18" s="41" t="str">
        <x:v>1999-01-04</x:v>
      </x:c>
      <x:c r="Q18" s="41" t="str">
        <x:v>2026-05-22</x:v>
      </x:c>
    </x:row>
    <x:row r="19">
      <x:c r="A19" s="41" t="n">
        <x:v>18</x:v>
      </x:c>
      <x:c r="B19" s="41" t="str">
        <x:v>HYP_REFINE_AUTO002_TOPN_6_V1_DDGRID_EXT_R12_C26_E75_CR50_REDD_RECOVERED_DD10_SLNONE</x:v>
      </x:c>
      <x:c r="C19" s="41" t="str">
        <x:v>dd_guard_grid</x:v>
      </x:c>
      <x:c r="D19" s="41" t="n">
        <x:v>0.516051</x:v>
      </x:c>
      <x:c r="E19" s="41" t="n">
        <x:v>0.120454</x:v>
      </x:c>
      <x:c r="F19" s="41" t="n">
        <x:v>0.395597</x:v>
      </x:c>
      <x:c r="G19" s="41" t="n">
        <x:v>15.8157</x:v>
      </x:c>
      <x:c r="H19" s="41" t="n">
        <x:v>6.8025</x:v>
      </x:c>
      <x:c r="I19" s="41" t="n">
        <x:v>9.0133</x:v>
      </x:c>
      <x:c r="J19" s="41" t="n">
        <x:v>-30.6476</x:v>
      </x:c>
      <x:c r="K19" s="41" t="n">
        <x:v>-56.4737</x:v>
      </x:c>
      <x:c r="L19" s="41" t="n">
        <x:v>25.826</x:v>
      </x:c>
      <x:c r="M19" s="41" t="n">
        <x:v>5470.0883</x:v>
      </x:c>
      <x:c r="N19" s="41" t="n">
        <x:v>506.0574</x:v>
      </x:c>
      <x:c r="O19" s="41" t="n">
        <x:v>10815</x:v>
      </x:c>
      <x:c r="P19" s="41" t="str">
        <x:v>1999-01-04</x:v>
      </x:c>
      <x:c r="Q19" s="41" t="str">
        <x:v>2026-05-22</x:v>
      </x:c>
    </x:row>
    <x:row r="20">
      <x:c r="A20" s="41" t="n">
        <x:v>19</x:v>
      </x:c>
      <x:c r="B20" s="41" t="str">
        <x:v>HYP_REFINE_AUTO002_TOPN_6_V1_DDGRID_EXT_R14_C26_E75_CR50_REDD_RECOVERED_DD8_SL20</x:v>
      </x:c>
      <x:c r="C20" s="41" t="str">
        <x:v>dd_guard_grid</x:v>
      </x:c>
      <x:c r="D20" s="41" t="n">
        <x:v>0.516046</x:v>
      </x:c>
      <x:c r="E20" s="41" t="n">
        <x:v>0.120454</x:v>
      </x:c>
      <x:c r="F20" s="41" t="n">
        <x:v>0.395592</x:v>
      </x:c>
      <x:c r="G20" s="41" t="n">
        <x:v>16.5032</x:v>
      </x:c>
      <x:c r="H20" s="41" t="n">
        <x:v>6.8025</x:v>
      </x:c>
      <x:c r="I20" s="41" t="n">
        <x:v>9.7008</x:v>
      </x:c>
      <x:c r="J20" s="41" t="n">
        <x:v>-31.9802</x:v>
      </x:c>
      <x:c r="K20" s="41" t="n">
        <x:v>-56.4737</x:v>
      </x:c>
      <x:c r="L20" s="41" t="n">
        <x:v>24.4935</x:v>
      </x:c>
      <x:c r="M20" s="41" t="n">
        <x:v>6449.9279</x:v>
      </x:c>
      <x:c r="N20" s="41" t="n">
        <x:v>506.0574</x:v>
      </x:c>
      <x:c r="O20" s="41" t="n">
        <x:v>10770</x:v>
      </x:c>
      <x:c r="P20" s="41" t="str">
        <x:v>1999-01-04</x:v>
      </x:c>
      <x:c r="Q20" s="41" t="str">
        <x:v>2026-05-22</x:v>
      </x:c>
    </x:row>
    <x:row r="21">
      <x:c r="A21" s="41" t="n">
        <x:v>20</x:v>
      </x:c>
      <x:c r="B21" s="41" t="str">
        <x:v>HYP_REFINE_AUTO002_TOPN_6_V1_DDGRID_EXT_R12_C24_E66_CR40_REDD_RECOVERED_DD8_SL20</x:v>
      </x:c>
      <x:c r="C21" s="41" t="str">
        <x:v>dd_guard_grid</x:v>
      </x:c>
      <x:c r="D21" s="41" t="n">
        <x:v>0.515005</x:v>
      </x:c>
      <x:c r="E21" s="41" t="n">
        <x:v>0.120454</x:v>
      </x:c>
      <x:c r="F21" s="41" t="n">
        <x:v>0.394551</x:v>
      </x:c>
      <x:c r="G21" s="41" t="n">
        <x:v>14.884</x:v>
      </x:c>
      <x:c r="H21" s="41" t="n">
        <x:v>6.8025</x:v>
      </x:c>
      <x:c r="I21" s="41" t="n">
        <x:v>8.0815</x:v>
      </x:c>
      <x:c r="J21" s="41" t="n">
        <x:v>-28.9006</x:v>
      </x:c>
      <x:c r="K21" s="41" t="n">
        <x:v>-56.4737</x:v>
      </x:c>
      <x:c r="L21" s="41" t="n">
        <x:v>27.5731</x:v>
      </x:c>
      <x:c r="M21" s="41" t="n">
        <x:v>4364.8968</x:v>
      </x:c>
      <x:c r="N21" s="41" t="n">
        <x:v>506.0574</x:v>
      </x:c>
      <x:c r="O21" s="41" t="n">
        <x:v>11444</x:v>
      </x:c>
      <x:c r="P21" s="41" t="str">
        <x:v>1999-01-04</x:v>
      </x:c>
      <x:c r="Q21" s="41" t="str">
        <x:v>2026-05-22</x:v>
      </x:c>
    </x:row>
    <x:row r="22">
      <x:c r="A22" s="41" t="n">
        <x:v>21</x:v>
      </x:c>
      <x:c r="B22" s="41" t="str">
        <x:v>HYP_REFINE_AUTO002_TOPN_6_V1_DDGRID_LONG_R12_C23_E75_CR50_REDD_RECOVERED_DD8_SL22</x:v>
      </x:c>
      <x:c r="C22" s="41" t="str">
        <x:v>dd_guard_grid</x:v>
      </x:c>
      <x:c r="D22" s="41" t="n">
        <x:v>0.514508</x:v>
      </x:c>
      <x:c r="E22" s="41" t="n">
        <x:v>0.120454</x:v>
      </x:c>
      <x:c r="F22" s="41" t="n">
        <x:v>0.394054</x:v>
      </x:c>
      <x:c r="G22" s="41" t="n">
        <x:v>15.0614</x:v>
      </x:c>
      <x:c r="H22" s="41" t="n">
        <x:v>6.8025</x:v>
      </x:c>
      <x:c r="I22" s="41" t="n">
        <x:v>8.259</x:v>
      </x:c>
      <x:c r="J22" s="41" t="n">
        <x:v>-29.2735</x:v>
      </x:c>
      <x:c r="K22" s="41" t="n">
        <x:v>-56.4737</x:v>
      </x:c>
      <x:c r="L22" s="41" t="n">
        <x:v>27.2002</x:v>
      </x:c>
      <x:c r="M22" s="41" t="n">
        <x:v>4557.6628</x:v>
      </x:c>
      <x:c r="N22" s="41" t="n">
        <x:v>506.0574</x:v>
      </x:c>
      <x:c r="O22" s="41" t="n">
        <x:v>11037</x:v>
      </x:c>
      <x:c r="P22" s="41" t="str">
        <x:v>1999-01-04</x:v>
      </x:c>
      <x:c r="Q22" s="41" t="str">
        <x:v>2026-05-22</x:v>
      </x:c>
    </x:row>
    <x:row r="23">
      <x:c r="A23" s="41" t="n">
        <x:v>22</x:v>
      </x:c>
      <x:c r="B23" s="41" t="str">
        <x:v>HYP_REFINE_AUTO002_TOPN_6_V1_DDGRID_EXT_R12_C24_E66_CR50_REDD_RECOVERED_DD8_SL20</x:v>
      </x:c>
      <x:c r="C23" s="41" t="str">
        <x:v>dd_guard_grid</x:v>
      </x:c>
      <x:c r="D23" s="41" t="n">
        <x:v>0.513286</x:v>
      </x:c>
      <x:c r="E23" s="41" t="n">
        <x:v>0.120454</x:v>
      </x:c>
      <x:c r="F23" s="41" t="n">
        <x:v>0.392832</x:v>
      </x:c>
      <x:c r="G23" s="41" t="n">
        <x:v>14.9275</x:v>
      </x:c>
      <x:c r="H23" s="41" t="n">
        <x:v>6.8025</x:v>
      </x:c>
      <x:c r="I23" s="41" t="n">
        <x:v>8.125</x:v>
      </x:c>
      <x:c r="J23" s="41" t="n">
        <x:v>-29.0822</x:v>
      </x:c>
      <x:c r="K23" s="41" t="n">
        <x:v>-56.4737</x:v>
      </x:c>
      <x:c r="L23" s="41" t="n">
        <x:v>27.3915</x:v>
      </x:c>
      <x:c r="M23" s="41" t="n">
        <x:v>4411.4473</x:v>
      </x:c>
      <x:c r="N23" s="41" t="n">
        <x:v>506.0574</x:v>
      </x:c>
      <x:c r="O23" s="41" t="n">
        <x:v>11438</x:v>
      </x:c>
      <x:c r="P23" s="41" t="str">
        <x:v>1999-01-04</x:v>
      </x:c>
      <x:c r="Q23" s="41" t="str">
        <x:v>2026-05-22</x:v>
      </x:c>
    </x:row>
    <x:row r="24">
      <x:c r="A24" s="41" t="n">
        <x:v>23</x:v>
      </x:c>
      <x:c r="B24" s="41" t="str">
        <x:v>HYP_REFINE_AUTO002_TOPN_6_V1_DDGRID_EXT_R12_C25_E66_CR40_REDD_RECOVERED_DD8_SLNONE</x:v>
      </x:c>
      <x:c r="C24" s="41" t="str">
        <x:v>dd_guard_grid</x:v>
      </x:c>
      <x:c r="D24" s="41" t="n">
        <x:v>0.510956</x:v>
      </x:c>
      <x:c r="E24" s="41" t="n">
        <x:v>0.120454</x:v>
      </x:c>
      <x:c r="F24" s="41" t="n">
        <x:v>0.390502</x:v>
      </x:c>
      <x:c r="G24" s="41" t="n">
        <x:v>14.7766</x:v>
      </x:c>
      <x:c r="H24" s="41" t="n">
        <x:v>6.8025</x:v>
      </x:c>
      <x:c r="I24" s="41" t="n">
        <x:v>7.9741</x:v>
      </x:c>
      <x:c r="J24" s="41" t="n">
        <x:v>-28.9195</x:v>
      </x:c>
      <x:c r="K24" s="41" t="n">
        <x:v>-56.4737</x:v>
      </x:c>
      <x:c r="L24" s="41" t="n">
        <x:v>27.5542</x:v>
      </x:c>
      <x:c r="M24" s="41" t="n">
        <x:v>4252.0724</x:v>
      </x:c>
      <x:c r="N24" s="41" t="n">
        <x:v>506.0574</x:v>
      </x:c>
      <x:c r="O24" s="41" t="n">
        <x:v>11844</x:v>
      </x:c>
      <x:c r="P24" s="41" t="str">
        <x:v>1999-01-04</x:v>
      </x:c>
      <x:c r="Q24" s="41" t="str">
        <x:v>2026-05-22</x:v>
      </x:c>
    </x:row>
    <x:row r="25">
      <x:c r="A25" s="41" t="n">
        <x:v>24</x:v>
      </x:c>
      <x:c r="B25" s="41" t="str">
        <x:v>HYP_REFINE_AUTO002_TOPN_6_V1_DDGRID_EXT_R12_C25_E66_CR50_REDD_RECOVERED_DD10_SL22</x:v>
      </x:c>
      <x:c r="C25" s="41" t="str">
        <x:v>dd_guard_grid</x:v>
      </x:c>
      <x:c r="D25" s="41" t="n">
        <x:v>0.508236</x:v>
      </x:c>
      <x:c r="E25" s="41" t="n">
        <x:v>0.120454</x:v>
      </x:c>
      <x:c r="F25" s="41" t="n">
        <x:v>0.387782</x:v>
      </x:c>
      <x:c r="G25" s="41" t="n">
        <x:v>15.1898</x:v>
      </x:c>
      <x:c r="H25" s="41" t="n">
        <x:v>6.8025</x:v>
      </x:c>
      <x:c r="I25" s="41" t="n">
        <x:v>8.3873</x:v>
      </x:c>
      <x:c r="J25" s="41" t="n">
        <x:v>-29.8873</x:v>
      </x:c>
      <x:c r="K25" s="41" t="n">
        <x:v>-56.4737</x:v>
      </x:c>
      <x:c r="L25" s="41" t="n">
        <x:v>26.5864</x:v>
      </x:c>
      <x:c r="M25" s="41" t="n">
        <x:v>4701.9992</x:v>
      </x:c>
      <x:c r="N25" s="41" t="n">
        <x:v>506.0574</x:v>
      </x:c>
      <x:c r="O25" s="41" t="n">
        <x:v>11017</x:v>
      </x:c>
      <x:c r="P25" s="41" t="str">
        <x:v>1999-01-04</x:v>
      </x:c>
      <x:c r="Q25" s="41" t="str">
        <x:v>2026-05-22</x:v>
      </x:c>
    </x:row>
    <x:row r="26">
      <x:c r="A26" s="41" t="n">
        <x:v>25</x:v>
      </x:c>
      <x:c r="B26" s="41" t="str">
        <x:v>HYP_REFINE_AUTO002_TOPN_6_V1_DDGRID_EXT_R12_C25_E66_CR40_REDD_RECOVERED_DD10_SL22</x:v>
      </x:c>
      <x:c r="C26" s="41" t="str">
        <x:v>dd_guard_grid</x:v>
      </x:c>
      <x:c r="D26" s="41" t="n">
        <x:v>0.507247</x:v>
      </x:c>
      <x:c r="E26" s="41" t="n">
        <x:v>0.120454</x:v>
      </x:c>
      <x:c r="F26" s="41" t="n">
        <x:v>0.386794</x:v>
      </x:c>
      <x:c r="G26" s="41" t="n">
        <x:v>14.9115</x:v>
      </x:c>
      <x:c r="H26" s="41" t="n">
        <x:v>6.8025</x:v>
      </x:c>
      <x:c r="I26" s="41" t="n">
        <x:v>8.109</x:v>
      </x:c>
      <x:c r="J26" s="41" t="n">
        <x:v>-29.3969</x:v>
      </x:c>
      <x:c r="K26" s="41" t="n">
        <x:v>-56.4737</x:v>
      </x:c>
      <x:c r="L26" s="41" t="n">
        <x:v>27.0768</x:v>
      </x:c>
      <x:c r="M26" s="41" t="n">
        <x:v>4394.3021</x:v>
      </x:c>
      <x:c r="N26" s="41" t="n">
        <x:v>506.0574</x:v>
      </x:c>
      <x:c r="O26" s="41" t="n">
        <x:v>11262</x:v>
      </x:c>
      <x:c r="P26" s="41" t="str">
        <x:v>1999-01-04</x:v>
      </x:c>
      <x:c r="Q26" s="41" t="str">
        <x:v>2026-05-22</x:v>
      </x:c>
    </x:row>
    <x:row r="27">
      <x:c r="A27" s="41" t="n">
        <x:v>26</x:v>
      </x:c>
      <x:c r="B27" s="41" t="str">
        <x:v>HYP_REFINE_AUTO002_TOPN_6_V1_DDGRID_EXT_FINE_R12_C25_E66_CR40_REDD_RECOVERED_DD8_SL20</x:v>
      </x:c>
      <x:c r="C27" s="41" t="str">
        <x:v>dd_guard_grid</x:v>
      </x:c>
      <x:c r="D27" s="41" t="n">
        <x:v>0.506574</x:v>
      </x:c>
      <x:c r="E27" s="41" t="n">
        <x:v>0.120454</x:v>
      </x:c>
      <x:c r="F27" s="41" t="n">
        <x:v>0.38612</x:v>
      </x:c>
      <x:c r="G27" s="41" t="n">
        <x:v>14.803</x:v>
      </x:c>
      <x:c r="H27" s="41" t="n">
        <x:v>6.8025</x:v>
      </x:c>
      <x:c r="I27" s="41" t="n">
        <x:v>8.0005</x:v>
      </x:c>
      <x:c r="J27" s="41" t="n">
        <x:v>-29.2218</x:v>
      </x:c>
      <x:c r="K27" s="41" t="n">
        <x:v>-56.4737</x:v>
      </x:c>
      <x:c r="L27" s="41" t="n">
        <x:v>27.2518</x:v>
      </x:c>
      <x:c r="M27" s="41" t="n">
        <x:v>4279.5705</x:v>
      </x:c>
      <x:c r="N27" s="41" t="n">
        <x:v>506.0574</x:v>
      </x:c>
      <x:c r="O27" s="41" t="n">
        <x:v>11587</x:v>
      </x:c>
      <x:c r="P27" s="41" t="str">
        <x:v>1999-01-04</x:v>
      </x:c>
      <x:c r="Q27" s="41" t="str">
        <x:v>2026-05-22</x:v>
      </x:c>
    </x:row>
    <x:row r="28">
      <x:c r="A28" s="41" t="n">
        <x:v>27</x:v>
      </x:c>
      <x:c r="B28" s="41" t="str">
        <x:v>HYP_REFINE_AUTO002_TOPN_6_V1_DDGRID_EXT_R12_C24_E66_CR50_REDD_RECOVERED_DD8_SL25</x:v>
      </x:c>
      <x:c r="C28" s="41" t="str">
        <x:v>dd_guard_grid</x:v>
      </x:c>
      <x:c r="D28" s="41" t="n">
        <x:v>0.506152</x:v>
      </x:c>
      <x:c r="E28" s="41" t="n">
        <x:v>0.120454</x:v>
      </x:c>
      <x:c r="F28" s="41" t="n">
        <x:v>0.385698</x:v>
      </x:c>
      <x:c r="G28" s="41" t="n">
        <x:v>14.5899</x:v>
      </x:c>
      <x:c r="H28" s="41" t="n">
        <x:v>6.8025</x:v>
      </x:c>
      <x:c r="I28" s="41" t="n">
        <x:v>7.7874</x:v>
      </x:c>
      <x:c r="J28" s="41" t="n">
        <x:v>-28.8251</x:v>
      </x:c>
      <x:c r="K28" s="41" t="n">
        <x:v>-56.4737</x:v>
      </x:c>
      <x:c r="L28" s="41" t="n">
        <x:v>27.6486</x:v>
      </x:c>
      <x:c r="M28" s="41" t="n">
        <x:v>4062.3113</x:v>
      </x:c>
      <x:c r="N28" s="41" t="n">
        <x:v>506.0574</x:v>
      </x:c>
      <x:c r="O28" s="41" t="n">
        <x:v>11559</x:v>
      </x:c>
      <x:c r="P28" s="41" t="str">
        <x:v>1999-01-04</x:v>
      </x:c>
      <x:c r="Q28" s="41" t="str">
        <x:v>2026-05-22</x:v>
      </x:c>
    </x:row>
    <x:row r="29">
      <x:c r="A29" s="41" t="n">
        <x:v>28</x:v>
      </x:c>
      <x:c r="B29" s="41" t="str">
        <x:v>HYP_REFINE_AUTO002_TOPN_6_V1_DDGRID_EXT_R12_C24_E66_CR50_REDD_RECOVERED_DD8_SL22</x:v>
      </x:c>
      <x:c r="C29" s="41" t="str">
        <x:v>dd_guard_grid</x:v>
      </x:c>
      <x:c r="D29" s="41" t="n">
        <x:v>0.505927</x:v>
      </x:c>
      <x:c r="E29" s="41" t="n">
        <x:v>0.120454</x:v>
      </x:c>
      <x:c r="F29" s="41" t="n">
        <x:v>0.385473</x:v>
      </x:c>
      <x:c r="G29" s="41" t="n">
        <x:v>14.7159</x:v>
      </x:c>
      <x:c r="H29" s="41" t="n">
        <x:v>6.8025</x:v>
      </x:c>
      <x:c r="I29" s="41" t="n">
        <x:v>7.9134</x:v>
      </x:c>
      <x:c r="J29" s="41" t="n">
        <x:v>-29.087</x:v>
      </x:c>
      <x:c r="K29" s="41" t="n">
        <x:v>-56.4737</x:v>
      </x:c>
      <x:c r="L29" s="41" t="n">
        <x:v>27.3866</x:v>
      </x:c>
      <x:c r="M29" s="41" t="n">
        <x:v>4189.5099</x:v>
      </x:c>
      <x:c r="N29" s="41" t="n">
        <x:v>506.0574</x:v>
      </x:c>
      <x:c r="O29" s="41" t="n">
        <x:v>11555</x:v>
      </x:c>
      <x:c r="P29" s="41" t="str">
        <x:v>1999-01-04</x:v>
      </x:c>
      <x:c r="Q29" s="41" t="str">
        <x:v>2026-05-22</x:v>
      </x:c>
    </x:row>
    <x:row r="30">
      <x:c r="A30" s="41" t="n">
        <x:v>29</x:v>
      </x:c>
      <x:c r="B30" s="41" t="str">
        <x:v>HYP_REFINE_AUTO002_TOPN_6_V1_DDGRID_EXT_R12_C25_E66_CR50_REDD_RECOVERED_DD8_SLNONE</x:v>
      </x:c>
      <x:c r="C30" s="41" t="str">
        <x:v>dd_guard_grid</x:v>
      </x:c>
      <x:c r="D30" s="41" t="n">
        <x:v>0.505193</x:v>
      </x:c>
      <x:c r="E30" s="41" t="n">
        <x:v>0.120454</x:v>
      </x:c>
      <x:c r="F30" s="41" t="n">
        <x:v>0.384739</x:v>
      </x:c>
      <x:c r="G30" s="41" t="n">
        <x:v>14.8122</x:v>
      </x:c>
      <x:c r="H30" s="41" t="n">
        <x:v>6.8025</x:v>
      </x:c>
      <x:c r="I30" s="41" t="n">
        <x:v>8.0097</x:v>
      </x:c>
      <x:c r="J30" s="41" t="n">
        <x:v>-29.3198</x:v>
      </x:c>
      <x:c r="K30" s="41" t="n">
        <x:v>-56.4737</x:v>
      </x:c>
      <x:c r="L30" s="41" t="n">
        <x:v>27.1539</x:v>
      </x:c>
      <x:c r="M30" s="41" t="n">
        <x:v>4289.134</x:v>
      </x:c>
      <x:c r="N30" s="41" t="n">
        <x:v>506.0574</x:v>
      </x:c>
      <x:c r="O30" s="41" t="n">
        <x:v>11682</x:v>
      </x:c>
      <x:c r="P30" s="41" t="str">
        <x:v>1999-01-04</x:v>
      </x:c>
      <x:c r="Q30" s="41" t="str">
        <x:v>2026-05-22</x:v>
      </x:c>
    </x:row>
    <x:row r="31">
      <x:c r="A31" s="41" t="n">
        <x:v>30</x:v>
      </x:c>
      <x:c r="B31" s="41" t="str">
        <x:v>HYP_REFINE_AUTO002_TOPN_6_V1_DDGRID_EXT_R10_C26_E75_CR50_REDD_RECOVERED_DD8_SL20</x:v>
      </x:c>
      <x:c r="C31" s="41" t="str">
        <x:v>dd_guard_grid</x:v>
      </x:c>
      <x:c r="D31" s="41" t="n">
        <x:v>0.505168</x:v>
      </x:c>
      <x:c r="E31" s="41" t="n">
        <x:v>0.120454</x:v>
      </x:c>
      <x:c r="F31" s="41" t="n">
        <x:v>0.384714</x:v>
      </x:c>
      <x:c r="G31" s="41" t="n">
        <x:v>15.6999</x:v>
      </x:c>
      <x:c r="H31" s="41" t="n">
        <x:v>6.8025</x:v>
      </x:c>
      <x:c r="I31" s="41" t="n">
        <x:v>8.8974</x:v>
      </x:c>
      <x:c r="J31" s="41" t="n">
        <x:v>-31.0786</x:v>
      </x:c>
      <x:c r="K31" s="41" t="n">
        <x:v>-56.4737</x:v>
      </x:c>
      <x:c r="L31" s="41" t="n">
        <x:v>25.395</x:v>
      </x:c>
      <x:c r="M31" s="41" t="n">
        <x:v>5319.5696</x:v>
      </x:c>
      <x:c r="N31" s="41" t="n">
        <x:v>506.0574</x:v>
      </x:c>
      <x:c r="O31" s="41" t="n">
        <x:v>11486</x:v>
      </x:c>
      <x:c r="P31" s="41" t="str">
        <x:v>1999-01-04</x:v>
      </x:c>
      <x:c r="Q31" s="41" t="str">
        <x:v>2026-05-22</x:v>
      </x:c>
    </x:row>
    <x:row r="32">
      <x:c r="A32" s="41" t="n">
        <x:v>31</x:v>
      </x:c>
      <x:c r="B32" s="41" t="str">
        <x:v>HYP_REFINE_AUTO002_TOPN_6_V1_DDGRID_EXT_R12_C24_E66_CR50_REDD_RECOVERED_DD8_SLNONE</x:v>
      </x:c>
      <x:c r="C32" s="41" t="str">
        <x:v>dd_guard_grid</x:v>
      </x:c>
      <x:c r="D32" s="41" t="n">
        <x:v>0.505066</x:v>
      </x:c>
      <x:c r="E32" s="41" t="n">
        <x:v>0.120454</x:v>
      </x:c>
      <x:c r="F32" s="41" t="n">
        <x:v>0.384612</x:v>
      </x:c>
      <x:c r="G32" s="41" t="n">
        <x:v>14.538</x:v>
      </x:c>
      <x:c r="H32" s="41" t="n">
        <x:v>6.8025</x:v>
      </x:c>
      <x:c r="I32" s="41" t="n">
        <x:v>7.7356</x:v>
      </x:c>
      <x:c r="J32" s="41" t="n">
        <x:v>-28.7844</x:v>
      </x:c>
      <x:c r="K32" s="41" t="n">
        <x:v>-56.4737</x:v>
      </x:c>
      <x:c r="L32" s="41" t="n">
        <x:v>27.6892</x:v>
      </x:c>
      <x:c r="M32" s="41" t="n">
        <x:v>4011.0743</x:v>
      </x:c>
      <x:c r="N32" s="41" t="n">
        <x:v>506.0574</x:v>
      </x:c>
      <x:c r="O32" s="41" t="n">
        <x:v>11649</x:v>
      </x:c>
      <x:c r="P32" s="41" t="str">
        <x:v>1999-01-04</x:v>
      </x:c>
      <x:c r="Q32" s="41" t="str">
        <x:v>2026-05-22</x:v>
      </x:c>
    </x:row>
    <x:row r="33">
      <x:c r="A33" s="41" t="n">
        <x:v>32</x:v>
      </x:c>
      <x:c r="B33" s="41" t="str">
        <x:v>HYP_REFINE_AUTO002_TOPN_6_V1_DDGRID_EXT_R12_C26_E66_CR50_REDD_RECOVERED_DD10_SL22</x:v>
      </x:c>
      <x:c r="C33" s="41" t="str">
        <x:v>dd_guard_grid</x:v>
      </x:c>
      <x:c r="D33" s="41" t="n">
        <x:v>0.504507</x:v>
      </x:c>
      <x:c r="E33" s="41" t="n">
        <x:v>0.120454</x:v>
      </x:c>
      <x:c r="F33" s="41" t="n">
        <x:v>0.384053</x:v>
      </x:c>
      <x:c r="G33" s="41" t="n">
        <x:v>15.1887</x:v>
      </x:c>
      <x:c r="H33" s="41" t="n">
        <x:v>6.8025</x:v>
      </x:c>
      <x:c r="I33" s="41" t="n">
        <x:v>8.3862</x:v>
      </x:c>
      <x:c r="J33" s="41" t="n">
        <x:v>-30.106</x:v>
      </x:c>
      <x:c r="K33" s="41" t="n">
        <x:v>-56.4737</x:v>
      </x:c>
      <x:c r="L33" s="41" t="n">
        <x:v>26.3676</x:v>
      </x:c>
      <x:c r="M33" s="41" t="n">
        <x:v>4700.7577</x:v>
      </x:c>
      <x:c r="N33" s="41" t="n">
        <x:v>506.0574</x:v>
      </x:c>
      <x:c r="O33" s="41" t="n">
        <x:v>11022</x:v>
      </x:c>
      <x:c r="P33" s="41" t="str">
        <x:v>1999-01-04</x:v>
      </x:c>
      <x:c r="Q33" s="41" t="str">
        <x:v>2026-05-22</x:v>
      </x:c>
    </x:row>
    <x:row r="34">
      <x:c r="A34" s="41" t="n">
        <x:v>33</x:v>
      </x:c>
      <x:c r="B34" s="41" t="str">
        <x:v>HYP_REFINE_AUTO002_TOPN_6_V1_DDGRID_EXT_R12_C24_E75_CR50_REDD_RECOVERED_DD10_SL20</x:v>
      </x:c>
      <x:c r="C34" s="41" t="str">
        <x:v>dd_guard_grid</x:v>
      </x:c>
      <x:c r="D34" s="41" t="n">
        <x:v>0.504229</x:v>
      </x:c>
      <x:c r="E34" s="41" t="n">
        <x:v>0.120454</x:v>
      </x:c>
      <x:c r="F34" s="41" t="n">
        <x:v>0.383775</x:v>
      </x:c>
      <x:c r="G34" s="41" t="n">
        <x:v>15.1493</x:v>
      </x:c>
      <x:c r="H34" s="41" t="n">
        <x:v>6.8025</x:v>
      </x:c>
      <x:c r="I34" s="41" t="n">
        <x:v>8.3468</x:v>
      </x:c>
      <x:c r="J34" s="41" t="n">
        <x:v>-30.0445</x:v>
      </x:c>
      <x:c r="K34" s="41" t="n">
        <x:v>-56.4737</x:v>
      </x:c>
      <x:c r="L34" s="41" t="n">
        <x:v>26.4292</x:v>
      </x:c>
      <x:c r="M34" s="41" t="n">
        <x:v>4656.0201</x:v>
      </x:c>
      <x:c r="N34" s="41" t="n">
        <x:v>506.0574</x:v>
      </x:c>
      <x:c r="O34" s="41" t="n">
        <x:v>10687</x:v>
      </x:c>
      <x:c r="P34" s="41" t="str">
        <x:v>1999-01-04</x:v>
      </x:c>
      <x:c r="Q34" s="41" t="str">
        <x:v>2026-05-22</x:v>
      </x:c>
    </x:row>
    <x:row r="35">
      <x:c r="A35" s="41" t="n">
        <x:v>34</x:v>
      </x:c>
      <x:c r="B35" s="41" t="str">
        <x:v>HYP_REFINE_AUTO002_TOPN_6_V1_DDGRID_EXT_R12_C28_E75_CR50_REDD_RECOVERED_DD8_SL25</x:v>
      </x:c>
      <x:c r="C35" s="41" t="str">
        <x:v>dd_guard_grid</x:v>
      </x:c>
      <x:c r="D35" s="41" t="n">
        <x:v>0.504168</x:v>
      </x:c>
      <x:c r="E35" s="41" t="n">
        <x:v>0.120454</x:v>
      </x:c>
      <x:c r="F35" s="41" t="n">
        <x:v>0.383714</x:v>
      </x:c>
      <x:c r="G35" s="41" t="n">
        <x:v>16.3737</x:v>
      </x:c>
      <x:c r="H35" s="41" t="n">
        <x:v>6.8025</x:v>
      </x:c>
      <x:c r="I35" s="41" t="n">
        <x:v>9.5712</x:v>
      </x:c>
      <x:c r="J35" s="41" t="n">
        <x:v>-32.4767</x:v>
      </x:c>
      <x:c r="K35" s="41" t="n">
        <x:v>-56.4737</x:v>
      </x:c>
      <x:c r="L35" s="41" t="n">
        <x:v>23.9969</x:v>
      </x:c>
      <x:c r="M35" s="41" t="n">
        <x:v>6253.4313</x:v>
      </x:c>
      <x:c r="N35" s="41" t="n">
        <x:v>506.0574</x:v>
      </x:c>
      <x:c r="O35" s="41" t="n">
        <x:v>11065</x:v>
      </x:c>
      <x:c r="P35" s="41" t="str">
        <x:v>1999-01-04</x:v>
      </x:c>
      <x:c r="Q35" s="41" t="str">
        <x:v>2026-05-22</x:v>
      </x:c>
    </x:row>
    <x:row r="36">
      <x:c r="A36" s="41" t="n">
        <x:v>35</x:v>
      </x:c>
      <x:c r="B36" s="41" t="str">
        <x:v>HYP_REFINE_AUTO002_TOPN_6_V1_DDGRID_LONG_R12_C25_E75_CR42_REDD_RECOVERED_DD8_SL20</x:v>
      </x:c>
      <x:c r="C36" s="41" t="str">
        <x:v>dd_guard_grid</x:v>
      </x:c>
      <x:c r="D36" s="41" t="n">
        <x:v>0.504099</x:v>
      </x:c>
      <x:c r="E36" s="41" t="n">
        <x:v>0.120454</x:v>
      </x:c>
      <x:c r="F36" s="41" t="n">
        <x:v>0.383645</x:v>
      </x:c>
      <x:c r="G36" s="41" t="n">
        <x:v>15.2561</x:v>
      </x:c>
      <x:c r="H36" s="41" t="n">
        <x:v>6.8025</x:v>
      </x:c>
      <x:c r="I36" s="41" t="n">
        <x:v>8.4537</x:v>
      </x:c>
      <x:c r="J36" s="41" t="n">
        <x:v>-30.2641</x:v>
      </x:c>
      <x:c r="K36" s="41" t="n">
        <x:v>-56.4737</x:v>
      </x:c>
      <x:c r="L36" s="41" t="n">
        <x:v>26.2095</x:v>
      </x:c>
      <x:c r="M36" s="41" t="n">
        <x:v>4778.3063</x:v>
      </x:c>
      <x:c r="N36" s="41" t="n">
        <x:v>506.0574</x:v>
      </x:c>
      <x:c r="O36" s="41" t="n">
        <x:v>11198</x:v>
      </x:c>
      <x:c r="P36" s="41" t="str">
        <x:v>1999-01-04</x:v>
      </x:c>
      <x:c r="Q36" s="41" t="str">
        <x:v>2026-05-22</x:v>
      </x:c>
    </x:row>
    <x:row r="37">
      <x:c r="A37" s="41" t="n">
        <x:v>36</x:v>
      </x:c>
      <x:c r="B37" s="41" t="str">
        <x:v>HYP_REFINE_AUTO002_TOPN_6_V1_DDGRID_EXT_R12_C24_E75_CR50_REDD_RECOVERED_DD8_SL22</x:v>
      </x:c>
      <x:c r="C37" s="41" t="str">
        <x:v>dd_guard_grid</x:v>
      </x:c>
      <x:c r="D37" s="41" t="n">
        <x:v>0.504048</x:v>
      </x:c>
      <x:c r="E37" s="41" t="n">
        <x:v>0.120454</x:v>
      </x:c>
      <x:c r="F37" s="41" t="n">
        <x:v>0.383594</x:v>
      </x:c>
      <x:c r="G37" s="41" t="n">
        <x:v>15.0727</x:v>
      </x:c>
      <x:c r="H37" s="41" t="n">
        <x:v>6.8025</x:v>
      </x:c>
      <x:c r="I37" s="41" t="n">
        <x:v>8.2702</x:v>
      </x:c>
      <x:c r="J37" s="41" t="n">
        <x:v>-29.9033</x:v>
      </x:c>
      <x:c r="K37" s="41" t="n">
        <x:v>-56.4737</x:v>
      </x:c>
      <x:c r="L37" s="41" t="n">
        <x:v>26.5703</x:v>
      </x:c>
      <x:c r="M37" s="41" t="n">
        <x:v>4570.1601</x:v>
      </x:c>
      <x:c r="N37" s="41" t="n">
        <x:v>506.0574</x:v>
      </x:c>
      <x:c r="O37" s="41" t="n">
        <x:v>11280</x:v>
      </x:c>
      <x:c r="P37" s="41" t="str">
        <x:v>1999-01-04</x:v>
      </x:c>
      <x:c r="Q37" s="41" t="str">
        <x:v>2026-05-22</x:v>
      </x:c>
    </x:row>
    <x:row r="38">
      <x:c r="A38" s="41" t="n">
        <x:v>37</x:v>
      </x:c>
      <x:c r="B38" s="41" t="str">
        <x:v>HYP_REFINE_AUTO002_TOPN_6_V1_DDGRID_EXT_R12_C25_E66_CR50_REDD_RECOVERED_DD8_SL25</x:v>
      </x:c>
      <x:c r="C38" s="41" t="str">
        <x:v>dd_guard_grid</x:v>
      </x:c>
      <x:c r="D38" s="41" t="n">
        <x:v>0.50378</x:v>
      </x:c>
      <x:c r="E38" s="41" t="n">
        <x:v>0.120454</x:v>
      </x:c>
      <x:c r="F38" s="41" t="n">
        <x:v>0.383326</x:v>
      </x:c>
      <x:c r="G38" s="41" t="n">
        <x:v>14.8103</x:v>
      </x:c>
      <x:c r="H38" s="41" t="n">
        <x:v>6.8025</x:v>
      </x:c>
      <x:c r="I38" s="41" t="n">
        <x:v>8.0079</x:v>
      </x:c>
      <x:c r="J38" s="41" t="n">
        <x:v>-29.3985</x:v>
      </x:c>
      <x:c r="K38" s="41" t="n">
        <x:v>-56.4737</x:v>
      </x:c>
      <x:c r="L38" s="41" t="n">
        <x:v>27.0752</x:v>
      </x:c>
      <x:c r="M38" s="41" t="n">
        <x:v>4287.2301</x:v>
      </x:c>
      <x:c r="N38" s="41" t="n">
        <x:v>506.0574</x:v>
      </x:c>
      <x:c r="O38" s="41" t="n">
        <x:v>11602</x:v>
      </x:c>
      <x:c r="P38" s="41" t="str">
        <x:v>1999-01-04</x:v>
      </x:c>
      <x:c r="Q38" s="41" t="str">
        <x:v>2026-05-22</x:v>
      </x:c>
    </x:row>
    <x:row r="39">
      <x:c r="A39" s="41" t="n">
        <x:v>38</x:v>
      </x:c>
      <x:c r="B39" s="41" t="str">
        <x:v>HYP_REFINE_AUTO002_TOPN_6_V1_DDGRID_EXT_R12_C25_E75_CR50_REDD_RECOVERED_DD6_SLNONE</x:v>
      </x:c>
      <x:c r="C39" s="41" t="str">
        <x:v>dd_guard_grid</x:v>
      </x:c>
      <x:c r="D39" s="41" t="n">
        <x:v>0.502523</x:v>
      </x:c>
      <x:c r="E39" s="41" t="n">
        <x:v>0.120454</x:v>
      </x:c>
      <x:c r="F39" s="41" t="n">
        <x:v>0.382069</x:v>
      </x:c>
      <x:c r="G39" s="41" t="n">
        <x:v>14.9834</x:v>
      </x:c>
      <x:c r="H39" s="41" t="n">
        <x:v>6.8025</x:v>
      </x:c>
      <x:c r="I39" s="41" t="n">
        <x:v>8.181</x:v>
      </x:c>
      <x:c r="J39" s="41" t="n">
        <x:v>-29.8164</x:v>
      </x:c>
      <x:c r="K39" s="41" t="n">
        <x:v>-56.4737</x:v>
      </x:c>
      <x:c r="L39" s="41" t="n">
        <x:v>26.6573</x:v>
      </x:c>
      <x:c r="M39" s="41" t="n">
        <x:v>4471.9733</x:v>
      </x:c>
      <x:c r="N39" s="41" t="n">
        <x:v>506.0574</x:v>
      </x:c>
      <x:c r="O39" s="41" t="n">
        <x:v>11832</x:v>
      </x:c>
      <x:c r="P39" s="41" t="str">
        <x:v>1999-01-04</x:v>
      </x:c>
      <x:c r="Q39" s="41" t="str">
        <x:v>2026-05-22</x:v>
      </x:c>
    </x:row>
    <x:row r="40">
      <x:c r="A40" s="41" t="n">
        <x:v>39</x:v>
      </x:c>
      <x:c r="B40" s="41" t="str">
        <x:v>HYP_REFINE_AUTO002_TOPN_6_V1_DDGRID_EXT_R12_C26_E75_CR40_REDD_RECOVERED_DD6_SL20</x:v>
      </x:c>
      <x:c r="C40" s="41" t="str">
        <x:v>dd_guard_grid</x:v>
      </x:c>
      <x:c r="D40" s="41" t="n">
        <x:v>0.502511</x:v>
      </x:c>
      <x:c r="E40" s="41" t="n">
        <x:v>0.120454</x:v>
      </x:c>
      <x:c r="F40" s="41" t="n">
        <x:v>0.382057</x:v>
      </x:c>
      <x:c r="G40" s="41" t="n">
        <x:v>15.4423</x:v>
      </x:c>
      <x:c r="H40" s="41" t="n">
        <x:v>6.8025</x:v>
      </x:c>
      <x:c r="I40" s="41" t="n">
        <x:v>8.6398</x:v>
      </x:c>
      <x:c r="J40" s="41" t="n">
        <x:v>-30.7302</x:v>
      </x:c>
      <x:c r="K40" s="41" t="n">
        <x:v>-56.4737</x:v>
      </x:c>
      <x:c r="L40" s="41" t="n">
        <x:v>25.7435</x:v>
      </x:c>
      <x:c r="M40" s="41" t="n">
        <x:v>4998.6563</x:v>
      </x:c>
      <x:c r="N40" s="41" t="n">
        <x:v>506.0574</x:v>
      </x:c>
      <x:c r="O40" s="41" t="n">
        <x:v>11567</x:v>
      </x:c>
      <x:c r="P40" s="41" t="str">
        <x:v>1999-01-04</x:v>
      </x:c>
      <x:c r="Q40" s="41" t="str">
        <x:v>2026-05-22</x:v>
      </x:c>
    </x:row>
    <x:row r="41">
      <x:c r="A41" s="41" t="n">
        <x:v>40</x:v>
      </x:c>
      <x:c r="B41" s="41" t="str">
        <x:v>HYP_REFINE_AUTO002_TOPN_6_V1_DDGRID_LONG_R12_C22_E70_CR40_REDD_RECOVERED_DD8_SLNONE</x:v>
      </x:c>
      <x:c r="C41" s="41" t="str">
        <x:v>dd_guard_grid</x:v>
      </x:c>
      <x:c r="D41" s="41" t="n">
        <x:v>0.502293</x:v>
      </x:c>
      <x:c r="E41" s="41" t="n">
        <x:v>0.120454</x:v>
      </x:c>
      <x:c r="F41" s="41" t="n">
        <x:v>0.381839</x:v>
      </x:c>
      <x:c r="G41" s="41" t="n">
        <x:v>13.8171</x:v>
      </x:c>
      <x:c r="H41" s="41" t="n">
        <x:v>6.8025</x:v>
      </x:c>
      <x:c r="I41" s="41" t="n">
        <x:v>7.0147</x:v>
      </x:c>
      <x:c r="J41" s="41" t="n">
        <x:v>-27.5081</x:v>
      </x:c>
      <x:c r="K41" s="41" t="n">
        <x:v>-56.4737</x:v>
      </x:c>
      <x:c r="L41" s="41" t="n">
        <x:v>28.9655</x:v>
      </x:c>
      <x:c r="M41" s="41" t="n">
        <x:v>3358.4477</x:v>
      </x:c>
      <x:c r="N41" s="41" t="n">
        <x:v>506.0574</x:v>
      </x:c>
      <x:c r="O41" s="41" t="n">
        <x:v>11653</x:v>
      </x:c>
      <x:c r="P41" s="41" t="str">
        <x:v>1999-01-04</x:v>
      </x:c>
      <x:c r="Q41" s="41" t="str">
        <x:v>2026-05-22</x:v>
      </x:c>
    </x:row>
    <x:row r="42">
      <x:c r="A42" s="41" t="n">
        <x:v>41</x:v>
      </x:c>
      <x:c r="B42" s="41" t="str">
        <x:v>HYP_REFINE_AUTO002_TOPN_6_V1_DDGRID_EXT_FINE_R12_C25_E75_CR50_REDD_RECOVERED_DD10_SL20</x:v>
      </x:c>
      <x:c r="C42" s="41" t="str">
        <x:v>dd_guard_grid</x:v>
      </x:c>
      <x:c r="D42" s="41" t="n">
        <x:v>0.501406</x:v>
      </x:c>
      <x:c r="E42" s="41" t="n">
        <x:v>0.120454</x:v>
      </x:c>
      <x:c r="F42" s="41" t="n">
        <x:v>0.380952</x:v>
      </x:c>
      <x:c r="G42" s="41" t="n">
        <x:v>15.4019</x:v>
      </x:c>
      <x:c r="H42" s="41" t="n">
        <x:v>6.8025</x:v>
      </x:c>
      <x:c r="I42" s="41" t="n">
        <x:v>8.5994</x:v>
      </x:c>
      <x:c r="J42" s="41" t="n">
        <x:v>-30.7175</x:v>
      </x:c>
      <x:c r="K42" s="41" t="n">
        <x:v>-56.4737</x:v>
      </x:c>
      <x:c r="L42" s="41" t="n">
        <x:v>25.7562</x:v>
      </x:c>
      <x:c r="M42" s="41" t="n">
        <x:v>4950.0865</x:v>
      </x:c>
      <x:c r="N42" s="41" t="n">
        <x:v>506.0574</x:v>
      </x:c>
      <x:c r="O42" s="41" t="n">
        <x:v>10697</x:v>
      </x:c>
      <x:c r="P42" s="41" t="str">
        <x:v>1999-01-04</x:v>
      </x:c>
      <x:c r="Q42" s="41" t="str">
        <x:v>2026-05-22</x:v>
      </x:c>
    </x:row>
    <x:row r="43">
      <x:c r="A43" s="41" t="n">
        <x:v>42</x:v>
      </x:c>
      <x:c r="B43" s="41" t="str">
        <x:v>HYP_REFINE_AUTO002_TOPN_6_V1_DDGRID_LONG_R12_C22_E75_CR45_REDD_RECOVERED_DD8_SLNONE</x:v>
      </x:c>
      <x:c r="C43" s="41" t="str">
        <x:v>dd_guard_grid</x:v>
      </x:c>
      <x:c r="D43" s="41" t="n">
        <x:v>0.501352</x:v>
      </x:c>
      <x:c r="E43" s="41" t="n">
        <x:v>0.120454</x:v>
      </x:c>
      <x:c r="F43" s="41" t="n">
        <x:v>0.380898</x:v>
      </x:c>
      <x:c r="G43" s="41" t="n">
        <x:v>14.2923</x:v>
      </x:c>
      <x:c r="H43" s="41" t="n">
        <x:v>6.8025</x:v>
      </x:c>
      <x:c r="I43" s="41" t="n">
        <x:v>7.4898</x:v>
      </x:c>
      <x:c r="J43" s="41" t="n">
        <x:v>-28.5075</x:v>
      </x:c>
      <x:c r="K43" s="41" t="n">
        <x:v>-56.4737</x:v>
      </x:c>
      <x:c r="L43" s="41" t="n">
        <x:v>27.9661</x:v>
      </x:c>
      <x:c r="M43" s="41" t="n">
        <x:v>3776.3211</x:v>
      </x:c>
      <x:c r="N43" s="41" t="n">
        <x:v>506.0574</x:v>
      </x:c>
      <x:c r="O43" s="41" t="n">
        <x:v>11758</x:v>
      </x:c>
      <x:c r="P43" s="41" t="str">
        <x:v>1999-01-04</x:v>
      </x:c>
      <x:c r="Q43" s="41" t="str">
        <x:v>2026-05-22</x:v>
      </x:c>
    </x:row>
    <x:row r="44">
      <x:c r="A44" s="41" t="n">
        <x:v>43</x:v>
      </x:c>
      <x:c r="B44" s="41" t="str">
        <x:v>HYP_REFINE_AUTO002_TOPN_6_V1_DDGRID_LONG_R12_C25_E72_CR40_REDD_RECOVERED_DD8_SL20</x:v>
      </x:c>
      <x:c r="C44" s="41" t="str">
        <x:v>dd_guard_grid</x:v>
      </x:c>
      <x:c r="D44" s="41" t="n">
        <x:v>0.501115</x:v>
      </x:c>
      <x:c r="E44" s="41" t="n">
        <x:v>0.120454</x:v>
      </x:c>
      <x:c r="F44" s="41" t="n">
        <x:v>0.380662</x:v>
      </x:c>
      <x:c r="G44" s="41" t="n">
        <x:v>15.0789</x:v>
      </x:c>
      <x:c r="H44" s="41" t="n">
        <x:v>6.8025</x:v>
      </x:c>
      <x:c r="I44" s="41" t="n">
        <x:v>8.2764</x:v>
      </x:c>
      <x:c r="J44" s="41" t="n">
        <x:v>-30.0907</x:v>
      </x:c>
      <x:c r="K44" s="41" t="n">
        <x:v>-56.4737</x:v>
      </x:c>
      <x:c r="L44" s="41" t="n">
        <x:v>26.383</x:v>
      </x:c>
      <x:c r="M44" s="41" t="n">
        <x:v>4577.0448</x:v>
      </x:c>
      <x:c r="N44" s="41" t="n">
        <x:v>506.0574</x:v>
      </x:c>
      <x:c r="O44" s="41" t="n">
        <x:v>11279</x:v>
      </x:c>
      <x:c r="P44" s="41" t="str">
        <x:v>1999-01-04</x:v>
      </x:c>
      <x:c r="Q44" s="41" t="str">
        <x:v>2026-05-22</x:v>
      </x:c>
    </x:row>
    <x:row r="45">
      <x:c r="A45" s="41" t="n">
        <x:v>44</x:v>
      </x:c>
      <x:c r="B45" s="41" t="str">
        <x:v>HYP_REFINE_AUTO002_TOPN_6_V1_DDGRID_EXT_R12_C26_E75_CR50_REDD_RECOVERED_DD6_SL20</x:v>
      </x:c>
      <x:c r="C45" s="41" t="str">
        <x:v>dd_guard_grid</x:v>
      </x:c>
      <x:c r="D45" s="41" t="n">
        <x:v>0.50105</x:v>
      </x:c>
      <x:c r="E45" s="41" t="n">
        <x:v>0.120454</x:v>
      </x:c>
      <x:c r="F45" s="41" t="n">
        <x:v>0.380596</x:v>
      </x:c>
      <x:c r="G45" s="41" t="n">
        <x:v>15.5719</x:v>
      </x:c>
      <x:c r="H45" s="41" t="n">
        <x:v>6.8025</x:v>
      </x:c>
      <x:c r="I45" s="41" t="n">
        <x:v>8.7695</x:v>
      </x:c>
      <x:c r="J45" s="41" t="n">
        <x:v>-31.0786</x:v>
      </x:c>
      <x:c r="K45" s="41" t="n">
        <x:v>-56.4737</x:v>
      </x:c>
      <x:c r="L45" s="41" t="n">
        <x:v>25.395</x:v>
      </x:c>
      <x:c r="M45" s="41" t="n">
        <x:v>5157.8174</x:v>
      </x:c>
      <x:c r="N45" s="41" t="n">
        <x:v>506.0574</x:v>
      </x:c>
      <x:c r="O45" s="41" t="n">
        <x:v>11566</x:v>
      </x:c>
      <x:c r="P45" s="41" t="str">
        <x:v>1999-01-04</x:v>
      </x:c>
      <x:c r="Q45" s="41" t="str">
        <x:v>2026-05-22</x:v>
      </x:c>
    </x:row>
    <x:row r="46">
      <x:c r="A46" s="41" t="n">
        <x:v>45</x:v>
      </x:c>
      <x:c r="B46" s="41" t="str">
        <x:v>HYP_REFINE_AUTO002_TOPN_6_V1_DDGRID_EXT_R12_C28_E75_CR40_REDD_RECOVERED_DD8_SL20</x:v>
      </x:c>
      <x:c r="C46" s="41" t="str">
        <x:v>dd_guard_grid</x:v>
      </x:c>
      <x:c r="D46" s="41" t="n">
        <x:v>0.500712</x:v>
      </x:c>
      <x:c r="E46" s="41" t="n">
        <x:v>0.120454</x:v>
      </x:c>
      <x:c r="F46" s="41" t="n">
        <x:v>0.380258</x:v>
      </x:c>
      <x:c r="G46" s="41" t="n">
        <x:v>16.036</x:v>
      </x:c>
      <x:c r="H46" s="41" t="n">
        <x:v>6.8025</x:v>
      </x:c>
      <x:c r="I46" s="41" t="n">
        <x:v>9.2335</x:v>
      </x:c>
      <x:c r="J46" s="41" t="n">
        <x:v>-32.0263</x:v>
      </x:c>
      <x:c r="K46" s="41" t="n">
        <x:v>-56.4737</x:v>
      </x:c>
      <x:c r="L46" s="41" t="n">
        <x:v>24.4473</x:v>
      </x:c>
      <x:c r="M46" s="41" t="n">
        <x:v>5767.4661</x:v>
      </x:c>
      <x:c r="N46" s="41" t="n">
        <x:v>506.0574</x:v>
      </x:c>
      <x:c r="O46" s="41" t="n">
        <x:v>11128</x:v>
      </x:c>
      <x:c r="P46" s="41" t="str">
        <x:v>1999-01-04</x:v>
      </x:c>
      <x:c r="Q46" s="41" t="str">
        <x:v>2026-05-22</x:v>
      </x:c>
    </x:row>
    <x:row r="47">
      <x:c r="A47" s="41" t="n">
        <x:v>46</x:v>
      </x:c>
      <x:c r="B47" s="41" t="str">
        <x:v>HYP_REFINE_AUTO002_TOPN_6_V1_DDGRID_EXT_R12_C26_E75_CR40_REDD_RECOVERED_DD8_SL20</x:v>
      </x:c>
      <x:c r="C47" s="41" t="str">
        <x:v>dd_guard_grid</x:v>
      </x:c>
      <x:c r="D47" s="41" t="n">
        <x:v>0.50055</x:v>
      </x:c>
      <x:c r="E47" s="41" t="n">
        <x:v>0.120454</x:v>
      </x:c>
      <x:c r="F47" s="41" t="n">
        <x:v>0.380096</x:v>
      </x:c>
      <x:c r="G47" s="41" t="n">
        <x:v>15.382</x:v>
      </x:c>
      <x:c r="H47" s="41" t="n">
        <x:v>6.8025</x:v>
      </x:c>
      <x:c r="I47" s="41" t="n">
        <x:v>8.5795</x:v>
      </x:c>
      <x:c r="J47" s="41" t="n">
        <x:v>-30.7302</x:v>
      </x:c>
      <x:c r="K47" s="41" t="n">
        <x:v>-56.4737</x:v>
      </x:c>
      <x:c r="L47" s="41" t="n">
        <x:v>25.7435</x:v>
      </x:c>
      <x:c r="M47" s="41" t="n">
        <x:v>4926.299</x:v>
      </x:c>
      <x:c r="N47" s="41" t="n">
        <x:v>506.0574</x:v>
      </x:c>
      <x:c r="O47" s="41" t="n">
        <x:v>11176</x:v>
      </x:c>
      <x:c r="P47" s="41" t="str">
        <x:v>1999-01-04</x:v>
      </x:c>
      <x:c r="Q47" s="41" t="str">
        <x:v>2026-05-22</x:v>
      </x:c>
    </x:row>
    <x:row r="48">
      <x:c r="A48" s="41" t="n">
        <x:v>47</x:v>
      </x:c>
      <x:c r="B48" s="41" t="str">
        <x:v>HYP_REFINE_AUTO002_TOPN_6_V1_DDGRID_EXT_R12_C25_E66_CR40_REDD_RECOVERED_DD8_SL25</x:v>
      </x:c>
      <x:c r="C48" s="41" t="str">
        <x:v>dd_guard_grid</x:v>
      </x:c>
      <x:c r="D48" s="41" t="n">
        <x:v>0.500014</x:v>
      </x:c>
      <x:c r="E48" s="41" t="n">
        <x:v>0.120454</x:v>
      </x:c>
      <x:c r="F48" s="41" t="n">
        <x:v>0.37956</x:v>
      </x:c>
      <x:c r="G48" s="41" t="n">
        <x:v>14.7447</x:v>
      </x:c>
      <x:c r="H48" s="41" t="n">
        <x:v>6.8025</x:v>
      </x:c>
      <x:c r="I48" s="41" t="n">
        <x:v>7.9423</x:v>
      </x:c>
      <x:c r="J48" s="41" t="n">
        <x:v>-29.4886</x:v>
      </x:c>
      <x:c r="K48" s="41" t="n">
        <x:v>-56.4737</x:v>
      </x:c>
      <x:c r="L48" s="41" t="n">
        <x:v>26.985</x:v>
      </x:c>
      <x:c r="M48" s="41" t="n">
        <x:v>4219.1049</x:v>
      </x:c>
      <x:c r="N48" s="41" t="n">
        <x:v>506.0574</x:v>
      </x:c>
      <x:c r="O48" s="41" t="n">
        <x:v>11749</x:v>
      </x:c>
      <x:c r="P48" s="41" t="str">
        <x:v>1999-01-04</x:v>
      </x:c>
      <x:c r="Q48" s="41" t="str">
        <x:v>2026-05-22</x:v>
      </x:c>
    </x:row>
    <x:row r="49">
      <x:c r="A49" s="41" t="n">
        <x:v>48</x:v>
      </x:c>
      <x:c r="B49" s="41" t="str">
        <x:v>HYP_REFINE_AUTO002_TOPN_6_V1_DDGRID_EXT_R12_C26_E75_CR40_REDD_RECOVERED_DD10_SL20</x:v>
      </x:c>
      <x:c r="C49" s="41" t="str">
        <x:v>dd_guard_grid</x:v>
      </x:c>
      <x:c r="D49" s="41" t="n">
        <x:v>0.499595</x:v>
      </x:c>
      <x:c r="E49" s="41" t="n">
        <x:v>0.120454</x:v>
      </x:c>
      <x:c r="F49" s="41" t="n">
        <x:v>0.379141</x:v>
      </x:c>
      <x:c r="G49" s="41" t="n">
        <x:v>15.3527</x:v>
      </x:c>
      <x:c r="H49" s="41" t="n">
        <x:v>6.8025</x:v>
      </x:c>
      <x:c r="I49" s="41" t="n">
        <x:v>8.5502</x:v>
      </x:c>
      <x:c r="J49" s="41" t="n">
        <x:v>-30.7302</x:v>
      </x:c>
      <x:c r="K49" s="41" t="n">
        <x:v>-56.4737</x:v>
      </x:c>
      <x:c r="L49" s="41" t="n">
        <x:v>25.7435</x:v>
      </x:c>
      <x:c r="M49" s="41" t="n">
        <x:v>4891.4018</x:v>
      </x:c>
      <x:c r="N49" s="41" t="n">
        <x:v>506.0574</x:v>
      </x:c>
      <x:c r="O49" s="41" t="n">
        <x:v>10872</x:v>
      </x:c>
      <x:c r="P49" s="41" t="str">
        <x:v>1999-01-04</x:v>
      </x:c>
      <x:c r="Q49" s="41" t="str">
        <x:v>2026-05-22</x:v>
      </x:c>
    </x:row>
    <x:row r="50">
      <x:c r="A50" s="41" t="n">
        <x:v>49</x:v>
      </x:c>
      <x:c r="B50" s="41" t="str">
        <x:v>HYP_REFINE_AUTO002_TOPN_6_V1_DDGRID_EXT_R12_C24_E66_CR50_REDD_RECOVERED_DD10_SL20</x:v>
      </x:c>
      <x:c r="C50" s="41" t="str">
        <x:v>dd_guard_grid</x:v>
      </x:c>
      <x:c r="D50" s="41" t="n">
        <x:v>0.499465</x:v>
      </x:c>
      <x:c r="E50" s="41" t="n">
        <x:v>0.120454</x:v>
      </x:c>
      <x:c r="F50" s="41" t="n">
        <x:v>0.379012</x:v>
      </x:c>
      <x:c r="G50" s="41" t="n">
        <x:v>14.5255</x:v>
      </x:c>
      <x:c r="H50" s="41" t="n">
        <x:v>6.8025</x:v>
      </x:c>
      <x:c r="I50" s="41" t="n">
        <x:v>7.7231</x:v>
      </x:c>
      <x:c r="J50" s="41" t="n">
        <x:v>-29.0822</x:v>
      </x:c>
      <x:c r="K50" s="41" t="n">
        <x:v>-56.4737</x:v>
      </x:c>
      <x:c r="L50" s="41" t="n">
        <x:v>27.3915</x:v>
      </x:c>
      <x:c r="M50" s="41" t="n">
        <x:v>3998.8231</x:v>
      </x:c>
      <x:c r="N50" s="41" t="n">
        <x:v>506.0574</x:v>
      </x:c>
      <x:c r="O50" s="41" t="n">
        <x:v>10938</x:v>
      </x:c>
      <x:c r="P50" s="41" t="str">
        <x:v>1999-01-04</x:v>
      </x:c>
      <x:c r="Q50" s="41" t="str">
        <x:v>2026-05-22</x:v>
      </x:c>
    </x:row>
    <x:row r="51">
      <x:c r="A51" s="41" t="n">
        <x:v>50</x:v>
      </x:c>
      <x:c r="B51" s="41" t="str">
        <x:v>HYP_REFINE_AUTO002_TOPN_6_V1_DDGRID_EXT_R12_C26_E66_CR50_REDD_RECOVERED_DD8_SLNONE</x:v>
      </x:c>
      <x:c r="C51" s="41" t="str">
        <x:v>dd_guard_grid</x:v>
      </x:c>
      <x:c r="D51" s="41" t="n">
        <x:v>0.499146</x:v>
      </x:c>
      <x:c r="E51" s="41" t="n">
        <x:v>0.120454</x:v>
      </x:c>
      <x:c r="F51" s="41" t="n">
        <x:v>0.378692</x:v>
      </x:c>
      <x:c r="G51" s="41" t="n">
        <x:v>14.7861</x:v>
      </x:c>
      <x:c r="H51" s="41" t="n">
        <x:v>6.8025</x:v>
      </x:c>
      <x:c r="I51" s="41" t="n">
        <x:v>7.9836</x:v>
      </x:c>
      <x:c r="J51" s="41" t="n">
        <x:v>-29.6228</x:v>
      </x:c>
      <x:c r="K51" s="41" t="n">
        <x:v>-56.4737</x:v>
      </x:c>
      <x:c r="L51" s="41" t="n">
        <x:v>26.8508</x:v>
      </x:c>
      <x:c r="M51" s="41" t="n">
        <x:v>4261.9515</x:v>
      </x:c>
      <x:c r="N51" s="41" t="n">
        <x:v>506.0574</x:v>
      </x:c>
      <x:c r="O51" s="41" t="n">
        <x:v>11684</x:v>
      </x:c>
      <x:c r="P51" s="41" t="str">
        <x:v>1999-01-04</x:v>
      </x:c>
      <x:c r="Q51" s="41" t="str">
        <x:v>2026-05-22</x:v>
      </x:c>
    </x:row>
    <x:row r="52">
      <x:c r="A52" s="41" t="n">
        <x:v>51</x:v>
      </x:c>
      <x:c r="B52" s="41" t="str">
        <x:v>HYP_REFINE_AUTO002_TOPN_6_V1_DDGRID_EXT_FINE_R12_C25_E66_CR50_REDD_RECOVERED_DD8_SL20</x:v>
      </x:c>
      <x:c r="C52" s="41" t="str">
        <x:v>dd_guard_grid</x:v>
      </x:c>
      <x:c r="D52" s="41" t="n">
        <x:v>0.499141</x:v>
      </x:c>
      <x:c r="E52" s="41" t="n">
        <x:v>0.120454</x:v>
      </x:c>
      <x:c r="F52" s="41" t="n">
        <x:v>0.378687</x:v>
      </x:c>
      <x:c r="G52" s="41" t="n">
        <x:v>14.9379</x:v>
      </x:c>
      <x:c r="H52" s="41" t="n">
        <x:v>6.8025</x:v>
      </x:c>
      <x:c r="I52" s="41" t="n">
        <x:v>8.1354</x:v>
      </x:c>
      <x:c r="J52" s="41" t="n">
        <x:v>-29.9272</x:v>
      </x:c>
      <x:c r="K52" s="41" t="n">
        <x:v>-56.4737</x:v>
      </x:c>
      <x:c r="L52" s="41" t="n">
        <x:v>26.5464</x:v>
      </x:c>
      <x:c r="M52" s="41" t="n">
        <x:v>4422.6697</x:v>
      </x:c>
      <x:c r="N52" s="41" t="n">
        <x:v>506.0574</x:v>
      </x:c>
      <x:c r="O52" s="41" t="n">
        <x:v>11342</x:v>
      </x:c>
      <x:c r="P52" s="41" t="str">
        <x:v>1999-01-04</x:v>
      </x:c>
      <x:c r="Q52" s="41" t="str">
        <x:v>2026-05-22</x:v>
      </x:c>
    </x:row>
    <x:row r="53">
      <x:c r="A53" s="41" t="n">
        <x:v>52</x:v>
      </x:c>
      <x:c r="B53" s="41" t="str">
        <x:v>HYP_REFINE_AUTO002_TOPN_6_V1_DDGRID_EXT_R12_C25_E66_CR33_REDD_RECOVERED_DD8_SL20</x:v>
      </x:c>
      <x:c r="C53" s="41" t="str">
        <x:v>dd_guard_grid</x:v>
      </x:c>
      <x:c r="D53" s="41" t="n">
        <x:v>0.498396</x:v>
      </x:c>
      <x:c r="E53" s="41" t="n">
        <x:v>0.120454</x:v>
      </x:c>
      <x:c r="F53" s="41" t="n">
        <x:v>0.377942</x:v>
      </x:c>
      <x:c r="G53" s="41" t="n">
        <x:v>14.6011</x:v>
      </x:c>
      <x:c r="H53" s="41" t="n">
        <x:v>6.8025</x:v>
      </x:c>
      <x:c r="I53" s="41" t="n">
        <x:v>7.7986</x:v>
      </x:c>
      <x:c r="J53" s="41" t="n">
        <x:v>-29.2961</x:v>
      </x:c>
      <x:c r="K53" s="41" t="n">
        <x:v>-56.4737</x:v>
      </x:c>
      <x:c r="L53" s="41" t="n">
        <x:v>27.1776</x:v>
      </x:c>
      <x:c r="M53" s="41" t="n">
        <x:v>4073.4602</x:v>
      </x:c>
      <x:c r="N53" s="41" t="n">
        <x:v>506.0574</x:v>
      </x:c>
      <x:c r="O53" s="41" t="n">
        <x:v>11551</x:v>
      </x:c>
      <x:c r="P53" s="41" t="str">
        <x:v>1999-01-04</x:v>
      </x:c>
      <x:c r="Q53" s="41" t="str">
        <x:v>2026-05-22</x:v>
      </x:c>
    </x:row>
    <x:row r="54">
      <x:c r="A54" s="41" t="n">
        <x:v>53</x:v>
      </x:c>
      <x:c r="B54" s="41" t="str">
        <x:v>HYP_REFINE_AUTO002_TOPN_6_V1_DDGRID_EXT_R12_C24_E66_CR50_REDD_RECOVERED_DD6_SL20</x:v>
      </x:c>
      <x:c r="C54" s="41" t="str">
        <x:v>dd_guard_grid</x:v>
      </x:c>
      <x:c r="D54" s="41" t="n">
        <x:v>0.497916</x:v>
      </x:c>
      <x:c r="E54" s="41" t="n">
        <x:v>0.120454</x:v>
      </x:c>
      <x:c r="F54" s="41" t="n">
        <x:v>0.377463</x:v>
      </x:c>
      <x:c r="G54" s="41" t="n">
        <x:v>14.4805</x:v>
      </x:c>
      <x:c r="H54" s="41" t="n">
        <x:v>6.8025</x:v>
      </x:c>
      <x:c r="I54" s="41" t="n">
        <x:v>7.678</x:v>
      </x:c>
      <x:c r="J54" s="41" t="n">
        <x:v>-29.0822</x:v>
      </x:c>
      <x:c r="K54" s="41" t="n">
        <x:v>-56.4737</x:v>
      </x:c>
      <x:c r="L54" s="41" t="n">
        <x:v>27.3915</x:v>
      </x:c>
      <x:c r="M54" s="41" t="n">
        <x:v>3954.9103</x:v>
      </x:c>
      <x:c r="N54" s="41" t="n">
        <x:v>506.0574</x:v>
      </x:c>
      <x:c r="O54" s="41" t="n">
        <x:v>11640</x:v>
      </x:c>
      <x:c r="P54" s="41" t="str">
        <x:v>1999-01-04</x:v>
      </x:c>
      <x:c r="Q54" s="41" t="str">
        <x:v>2026-05-22</x:v>
      </x:c>
    </x:row>
    <x:row r="55">
      <x:c r="A55" s="41" t="n">
        <x:v>54</x:v>
      </x:c>
      <x:c r="B55" s="41" t="str">
        <x:v>HYP_REFINE_AUTO002_TOPN_6_V1_DDGRID_EXT_R12_C24_E75_CR50_REDD_RECOVERED_DD8_SLNONE</x:v>
      </x:c>
      <x:c r="C55" s="41" t="str">
        <x:v>dd_guard_grid</x:v>
      </x:c>
      <x:c r="D55" s="41" t="n">
        <x:v>0.497293</x:v>
      </x:c>
      <x:c r="E55" s="41" t="n">
        <x:v>0.120454</x:v>
      </x:c>
      <x:c r="F55" s="41" t="n">
        <x:v>0.376839</x:v>
      </x:c>
      <x:c r="G55" s="41" t="n">
        <x:v>15.062</x:v>
      </x:c>
      <x:c r="H55" s="41" t="n">
        <x:v>6.8025</x:v>
      </x:c>
      <x:c r="I55" s="41" t="n">
        <x:v>8.2595</x:v>
      </x:c>
      <x:c r="J55" s="41" t="n">
        <x:v>-30.288</x:v>
      </x:c>
      <x:c r="K55" s="41" t="n">
        <x:v>-56.4737</x:v>
      </x:c>
      <x:c r="L55" s="41" t="n">
        <x:v>26.1857</x:v>
      </x:c>
      <x:c r="M55" s="41" t="n">
        <x:v>4558.277</x:v>
      </x:c>
      <x:c r="N55" s="41" t="n">
        <x:v>506.0574</x:v>
      </x:c>
      <x:c r="O55" s="41" t="n">
        <x:v>11401</x:v>
      </x:c>
      <x:c r="P55" s="41" t="str">
        <x:v>1999-01-04</x:v>
      </x:c>
      <x:c r="Q55" s="41" t="str">
        <x:v>2026-05-22</x:v>
      </x:c>
    </x:row>
    <x:row r="56">
      <x:c r="A56" s="41" t="n">
        <x:v>55</x:v>
      </x:c>
      <x:c r="B56" s="41" t="str">
        <x:v>HYP_REFINE_AUTO002_TOPN_6_V1_DDGRID_EXT_R14_C25_E75_CR50_REDD_RECOVERED_DD8_SL18</x:v>
      </x:c>
      <x:c r="C56" s="41" t="str">
        <x:v>dd_guard_grid</x:v>
      </x:c>
      <x:c r="D56" s="41" t="n">
        <x:v>0.496875</x:v>
      </x:c>
      <x:c r="E56" s="41" t="n">
        <x:v>0.120454</x:v>
      </x:c>
      <x:c r="F56" s="41" t="n">
        <x:v>0.376421</x:v>
      </x:c>
      <x:c r="G56" s="41" t="n">
        <x:v>15.5274</x:v>
      </x:c>
      <x:c r="H56" s="41" t="n">
        <x:v>6.8025</x:v>
      </x:c>
      <x:c r="I56" s="41" t="n">
        <x:v>8.7249</x:v>
      </x:c>
      <x:c r="J56" s="41" t="n">
        <x:v>-31.2501</x:v>
      </x:c>
      <x:c r="K56" s="41" t="n">
        <x:v>-56.4737</x:v>
      </x:c>
      <x:c r="L56" s="41" t="n">
        <x:v>25.2236</x:v>
      </x:c>
      <x:c r="M56" s="41" t="n">
        <x:v>5102.5739</x:v>
      </x:c>
      <x:c r="N56" s="41" t="n">
        <x:v>506.0574</x:v>
      </x:c>
      <x:c r="O56" s="41" t="n">
        <x:v>10388</x:v>
      </x:c>
      <x:c r="P56" s="41" t="str">
        <x:v>1999-01-04</x:v>
      </x:c>
      <x:c r="Q56" s="41" t="str">
        <x:v>2026-05-22</x:v>
      </x:c>
    </x:row>
    <x:row r="57">
      <x:c r="A57" s="41" t="n">
        <x:v>56</x:v>
      </x:c>
      <x:c r="B57" s="41" t="str">
        <x:v>HYP_REFINE_AUTO002_TOPN_6_V1_DDGRID_EXT_R12_C25_E60_CR50_REDD_RECOVERED_DD10_SL20</x:v>
      </x:c>
      <x:c r="C57" s="41" t="str">
        <x:v>dd_guard_grid</x:v>
      </x:c>
      <x:c r="D57" s="41" t="n">
        <x:v>0.496803</x:v>
      </x:c>
      <x:c r="E57" s="41" t="n">
        <x:v>0.120454</x:v>
      </x:c>
      <x:c r="F57" s="41" t="n">
        <x:v>0.376349</x:v>
      </x:c>
      <x:c r="G57" s="41" t="n">
        <x:v>14.0275</x:v>
      </x:c>
      <x:c r="H57" s="41" t="n">
        <x:v>6.8025</x:v>
      </x:c>
      <x:c r="I57" s="41" t="n">
        <x:v>7.225</x:v>
      </x:c>
      <x:c r="J57" s="41" t="n">
        <x:v>-28.2355</x:v>
      </x:c>
      <x:c r="K57" s="41" t="n">
        <x:v>-56.4737</x:v>
      </x:c>
      <x:c r="L57" s="41" t="n">
        <x:v>28.2382</x:v>
      </x:c>
      <x:c r="M57" s="41" t="n">
        <x:v>3537.7742</x:v>
      </x:c>
      <x:c r="N57" s="41" t="n">
        <x:v>506.0574</x:v>
      </x:c>
      <x:c r="O57" s="41" t="n">
        <x:v>11125</x:v>
      </x:c>
      <x:c r="P57" s="41" t="str">
        <x:v>1999-01-04</x:v>
      </x:c>
      <x:c r="Q57" s="41" t="str">
        <x:v>2026-05-22</x:v>
      </x:c>
    </x:row>
    <x:row r="58">
      <x:c r="A58" s="41" t="n">
        <x:v>57</x:v>
      </x:c>
      <x:c r="B58" s="41" t="str">
        <x:v>HYP_REFINE_AUTO002_TOPN_6_V1_DDGRID_EXT_R10_C25_E66_CR50_REDD_RECOVERED_DD8_SL20</x:v>
      </x:c>
      <x:c r="C58" s="41" t="str">
        <x:v>dd_guard_grid</x:v>
      </x:c>
      <x:c r="D58" s="41" t="n">
        <x:v>0.496772</x:v>
      </x:c>
      <x:c r="E58" s="41" t="n">
        <x:v>0.120454</x:v>
      </x:c>
      <x:c r="F58" s="41" t="n">
        <x:v>0.376318</x:v>
      </x:c>
      <x:c r="G58" s="41" t="n">
        <x:v>14.867</x:v>
      </x:c>
      <x:c r="H58" s="41" t="n">
        <x:v>6.8025</x:v>
      </x:c>
      <x:c r="I58" s="41" t="n">
        <x:v>8.0645</x:v>
      </x:c>
      <x:c r="J58" s="41" t="n">
        <x:v>-29.9272</x:v>
      </x:c>
      <x:c r="K58" s="41" t="n">
        <x:v>-56.4737</x:v>
      </x:c>
      <x:c r="L58" s="41" t="n">
        <x:v>26.5464</x:v>
      </x:c>
      <x:c r="M58" s="41" t="n">
        <x:v>4346.8952</x:v>
      </x:c>
      <x:c r="N58" s="41" t="n">
        <x:v>506.0574</x:v>
      </x:c>
      <x:c r="O58" s="41" t="n">
        <x:v>11433</x:v>
      </x:c>
      <x:c r="P58" s="41" t="str">
        <x:v>1999-01-04</x:v>
      </x:c>
      <x:c r="Q58" s="41" t="str">
        <x:v>2026-05-22</x:v>
      </x:c>
    </x:row>
    <x:row r="59">
      <x:c r="A59" s="41" t="n">
        <x:v>58</x:v>
      </x:c>
      <x:c r="B59" s="41" t="str">
        <x:v>HYP_REFINE_AUTO002_TOPN_6_V1_DDGRID_EXT_R12_C26_E66_CR50_REDD_RECOVERED_DD10_SL20</x:v>
      </x:c>
      <x:c r="C59" s="41" t="str">
        <x:v>dd_guard_grid</x:v>
      </x:c>
      <x:c r="D59" s="41" t="n">
        <x:v>0.496618</x:v>
      </x:c>
      <x:c r="E59" s="41" t="n">
        <x:v>0.120454</x:v>
      </x:c>
      <x:c r="F59" s="41" t="n">
        <x:v>0.376164</x:v>
      </x:c>
      <x:c r="G59" s="41" t="n">
        <x:v>15.2527</x:v>
      </x:c>
      <x:c r="H59" s="41" t="n">
        <x:v>6.8025</x:v>
      </x:c>
      <x:c r="I59" s="41" t="n">
        <x:v>8.4502</x:v>
      </x:c>
      <x:c r="J59" s="41" t="n">
        <x:v>-30.713</x:v>
      </x:c>
      <x:c r="K59" s="41" t="n">
        <x:v>-56.4737</x:v>
      </x:c>
      <x:c r="L59" s="41" t="n">
        <x:v>25.7606</x:v>
      </x:c>
      <x:c r="M59" s="41" t="n">
        <x:v>4774.284</x:v>
      </x:c>
      <x:c r="N59" s="41" t="n">
        <x:v>506.0574</x:v>
      </x:c>
      <x:c r="O59" s="41" t="n">
        <x:v>10875</x:v>
      </x:c>
      <x:c r="P59" s="41" t="str">
        <x:v>1999-01-04</x:v>
      </x:c>
      <x:c r="Q59" s="41" t="str">
        <x:v>2026-05-22</x:v>
      </x:c>
    </x:row>
    <x:row r="60">
      <x:c r="A60" s="41" t="n">
        <x:v>59</x:v>
      </x:c>
      <x:c r="B60" s="41" t="str">
        <x:v>HYP_REFINE_AUTO002_TOPN_6_V1_DDGRID_EXT_R12_C24_E75_CR50_REDD_RECOVERED_DD8_SL25</x:v>
      </x:c>
      <x:c r="C60" s="41" t="str">
        <x:v>dd_guard_grid</x:v>
      </x:c>
      <x:c r="D60" s="41" t="n">
        <x:v>0.496585</x:v>
      </x:c>
      <x:c r="E60" s="41" t="n">
        <x:v>0.120454</x:v>
      </x:c>
      <x:c r="F60" s="41" t="n">
        <x:v>0.376131</x:v>
      </x:c>
      <x:c r="G60" s="41" t="n">
        <x:v>14.8345</x:v>
      </x:c>
      <x:c r="H60" s="41" t="n">
        <x:v>6.8025</x:v>
      </x:c>
      <x:c r="I60" s="41" t="n">
        <x:v>8.032</x:v>
      </x:c>
      <x:c r="J60" s="41" t="n">
        <x:v>-29.873</x:v>
      </x:c>
      <x:c r="K60" s="41" t="n">
        <x:v>-56.4737</x:v>
      </x:c>
      <x:c r="L60" s="41" t="n">
        <x:v>26.6007</x:v>
      </x:c>
      <x:c r="M60" s="41" t="n">
        <x:v>4312.5566</x:v>
      </x:c>
      <x:c r="N60" s="41" t="n">
        <x:v>506.0574</x:v>
      </x:c>
      <x:c r="O60" s="41" t="n">
        <x:v>11384</x:v>
      </x:c>
      <x:c r="P60" s="41" t="str">
        <x:v>1999-01-04</x:v>
      </x:c>
      <x:c r="Q60" s="41" t="str">
        <x:v>2026-05-22</x:v>
      </x:c>
    </x:row>
    <x:row r="61">
      <x:c r="A61" s="41" t="n">
        <x:v>60</x:v>
      </x:c>
      <x:c r="B61" s="41" t="str">
        <x:v>HYP_REFINE_AUTO002_TOPN_6_V1_DDGRID_EXT_R12_C28_E75_CR50_REDD_RECOVERED_DD8_SL22</x:v>
      </x:c>
      <x:c r="C61" s="41" t="str">
        <x:v>dd_guard_grid</x:v>
      </x:c>
      <x:c r="D61" s="41" t="n">
        <x:v>0.494976</x:v>
      </x:c>
      <x:c r="E61" s="41" t="n">
        <x:v>0.120454</x:v>
      </x:c>
      <x:c r="F61" s="41" t="n">
        <x:v>0.374522</x:v>
      </x:c>
      <x:c r="G61" s="41" t="n">
        <x:v>16.247</x:v>
      </x:c>
      <x:c r="H61" s="41" t="n">
        <x:v>6.8025</x:v>
      </x:c>
      <x:c r="I61" s="41" t="n">
        <x:v>9.4445</x:v>
      </x:c>
      <x:c r="J61" s="41" t="n">
        <x:v>-32.8238</x:v>
      </x:c>
      <x:c r="K61" s="41" t="n">
        <x:v>-56.4737</x:v>
      </x:c>
      <x:c r="L61" s="41" t="n">
        <x:v>23.6499</x:v>
      </x:c>
      <x:c r="M61" s="41" t="n">
        <x:v>6066.6904</x:v>
      </x:c>
      <x:c r="N61" s="41" t="n">
        <x:v>506.0574</x:v>
      </x:c>
      <x:c r="O61" s="41" t="n">
        <x:v>11087</x:v>
      </x:c>
      <x:c r="P61" s="41" t="str">
        <x:v>1999-01-04</x:v>
      </x:c>
      <x:c r="Q61" s="41" t="str">
        <x:v>2026-05-22</x:v>
      </x:c>
    </x:row>
    <x:row r="62">
      <x:c r="A62" s="41" t="n">
        <x:v>61</x:v>
      </x:c>
      <x:c r="B62" s="41" t="str">
        <x:v>HYP_REFINE_AUTO002_TOPN_6_V1_DDGRID_LONG_R12_C22_E70_CR45_REDD_RECOVERED_DD8_SL20</x:v>
      </x:c>
      <x:c r="C62" s="41" t="str">
        <x:v>dd_guard_grid</x:v>
      </x:c>
      <x:c r="D62" s="41" t="n">
        <x:v>0.494872</x:v>
      </x:c>
      <x:c r="E62" s="41" t="n">
        <x:v>0.120454</x:v>
      </x:c>
      <x:c r="F62" s="41" t="n">
        <x:v>0.374418</x:v>
      </x:c>
      <x:c r="G62" s="41" t="n">
        <x:v>13.9527</x:v>
      </x:c>
      <x:c r="H62" s="41" t="n">
        <x:v>6.8025</x:v>
      </x:c>
      <x:c r="I62" s="41" t="n">
        <x:v>7.1502</x:v>
      </x:c>
      <x:c r="J62" s="41" t="n">
        <x:v>-28.1946</x:v>
      </x:c>
      <x:c r="K62" s="41" t="n">
        <x:v>-56.4737</x:v>
      </x:c>
      <x:c r="L62" s="41" t="n">
        <x:v>28.2791</x:v>
      </x:c>
      <x:c r="M62" s="41" t="n">
        <x:v>3473.0306</x:v>
      </x:c>
      <x:c r="N62" s="41" t="n">
        <x:v>506.0574</x:v>
      </x:c>
      <x:c r="O62" s="41" t="n">
        <x:v>11450</x:v>
      </x:c>
      <x:c r="P62" s="41" t="str">
        <x:v>1999-01-04</x:v>
      </x:c>
      <x:c r="Q62" s="41" t="str">
        <x:v>2026-05-22</x:v>
      </x:c>
    </x:row>
    <x:row r="63">
      <x:c r="A63" s="41" t="n">
        <x:v>62</x:v>
      </x:c>
      <x:c r="B63" s="41" t="str">
        <x:v>HYP_REFINE_AUTO002_TOPN_6_V1_DDGRID_EXT_R12_C26_E75_CR50_REDD_RECOVERED_DD6_SL25</x:v>
      </x:c>
      <x:c r="C63" s="41" t="str">
        <x:v>dd_guard_grid</x:v>
      </x:c>
      <x:c r="D63" s="41" t="n">
        <x:v>0.494606</x:v>
      </x:c>
      <x:c r="E63" s="41" t="n">
        <x:v>0.120454</x:v>
      </x:c>
      <x:c r="F63" s="41" t="n">
        <x:v>0.374152</x:v>
      </x:c>
      <x:c r="G63" s="41" t="n">
        <x:v>15.449</x:v>
      </x:c>
      <x:c r="H63" s="41" t="n">
        <x:v>6.8025</x:v>
      </x:c>
      <x:c r="I63" s="41" t="n">
        <x:v>8.6466</x:v>
      </x:c>
      <x:c r="J63" s="41" t="n">
        <x:v>-31.2351</x:v>
      </x:c>
      <x:c r="K63" s="41" t="n">
        <x:v>-56.4737</x:v>
      </x:c>
      <x:c r="L63" s="41" t="n">
        <x:v>25.2386</x:v>
      </x:c>
      <x:c r="M63" s="41" t="n">
        <x:v>5006.8664</x:v>
      </x:c>
      <x:c r="N63" s="41" t="n">
        <x:v>506.0574</x:v>
      </x:c>
      <x:c r="O63" s="41" t="n">
        <x:v>11894</x:v>
      </x:c>
      <x:c r="P63" s="41" t="str">
        <x:v>1999-01-04</x:v>
      </x:c>
      <x:c r="Q63" s="41" t="str">
        <x:v>2026-05-22</x:v>
      </x:c>
    </x:row>
    <x:row r="64">
      <x:c r="A64" s="41" t="n">
        <x:v>63</x:v>
      </x:c>
      <x:c r="B64" s="41" t="str">
        <x:v>HYP_REFINE_AUTO002_TOPN_6_V1_DDGRID_EXT_R12_C26_E75_CR50_REDD_RECOVERED_DD6_SLNONE</x:v>
      </x:c>
      <x:c r="C64" s="41" t="str">
        <x:v>dd_guard_grid</x:v>
      </x:c>
      <x:c r="D64" s="41" t="n">
        <x:v>0.494486</x:v>
      </x:c>
      <x:c r="E64" s="41" t="n">
        <x:v>0.120454</x:v>
      </x:c>
      <x:c r="F64" s="41" t="n">
        <x:v>0.374032</x:v>
      </x:c>
      <x:c r="G64" s="41" t="n">
        <x:v>15.1548</x:v>
      </x:c>
      <x:c r="H64" s="41" t="n">
        <x:v>6.8025</x:v>
      </x:c>
      <x:c r="I64" s="41" t="n">
        <x:v>8.3524</x:v>
      </x:c>
      <x:c r="J64" s="41" t="n">
        <x:v>-30.6476</x:v>
      </x:c>
      <x:c r="K64" s="41" t="n">
        <x:v>-56.4737</x:v>
      </x:c>
      <x:c r="L64" s="41" t="n">
        <x:v>25.826</x:v>
      </x:c>
      <x:c r="M64" s="41" t="n">
        <x:v>4662.2716</x:v>
      </x:c>
      <x:c r="N64" s="41" t="n">
        <x:v>506.0574</x:v>
      </x:c>
      <x:c r="O64" s="41" t="n">
        <x:v>11785</x:v>
      </x:c>
      <x:c r="P64" s="41" t="str">
        <x:v>1999-01-04</x:v>
      </x:c>
      <x:c r="Q64" s="41" t="str">
        <x:v>2026-05-22</x:v>
      </x:c>
    </x:row>
    <x:row r="65">
      <x:c r="A65" s="41" t="n">
        <x:v>64</x:v>
      </x:c>
      <x:c r="B65" s="41" t="str">
        <x:v>HYP_REFINE_AUTO002_TOPN_6_V1_DDGRID_EXT_FINE_R12_C24_E75_CR50_REDD_RECOVERED_DD8_SL20</x:v>
      </x:c>
      <x:c r="C65" s="41" t="str">
        <x:v>dd_guard_grid</x:v>
      </x:c>
      <x:c r="D65" s="41" t="n">
        <x:v>0.494382</x:v>
      </x:c>
      <x:c r="E65" s="41" t="n">
        <x:v>0.120454</x:v>
      </x:c>
      <x:c r="F65" s="41" t="n">
        <x:v>0.373928</x:v>
      </x:c>
      <x:c r="G65" s="41" t="n">
        <x:v>14.8535</x:v>
      </x:c>
      <x:c r="H65" s="41" t="n">
        <x:v>6.8025</x:v>
      </x:c>
      <x:c r="I65" s="41" t="n">
        <x:v>8.051</x:v>
      </x:c>
      <x:c r="J65" s="41" t="n">
        <x:v>-30.0445</x:v>
      </x:c>
      <x:c r="K65" s="41" t="n">
        <x:v>-56.4737</x:v>
      </x:c>
      <x:c r="L65" s="41" t="n">
        <x:v>26.4292</x:v>
      </x:c>
      <x:c r="M65" s="41" t="n">
        <x:v>4332.556</x:v>
      </x:c>
      <x:c r="N65" s="41" t="n">
        <x:v>506.0574</x:v>
      </x:c>
      <x:c r="O65" s="41" t="n">
        <x:v>11162</x:v>
      </x:c>
      <x:c r="P65" s="41" t="str">
        <x:v>1999-01-04</x:v>
      </x:c>
      <x:c r="Q65" s="41" t="str">
        <x:v>2026-05-22</x:v>
      </x:c>
    </x:row>
    <x:row r="66">
      <x:c r="A66" s="41" t="n">
        <x:v>65</x:v>
      </x:c>
      <x:c r="B66" s="41" t="str">
        <x:v>HYP_REFINE_AUTO002_TOPN_6_V1_DDGRID_EXT_R12_C26_E75_CR50_REDD_RECOVERED_DD6_SL22</x:v>
      </x:c>
      <x:c r="C66" s="41" t="str">
        <x:v>dd_guard_grid</x:v>
      </x:c>
      <x:c r="D66" s="41" t="n">
        <x:v>0.494366</x:v>
      </x:c>
      <x:c r="E66" s="41" t="n">
        <x:v>0.120454</x:v>
      </x:c>
      <x:c r="F66" s="41" t="n">
        <x:v>0.373912</x:v>
      </x:c>
      <x:c r="G66" s="41" t="n">
        <x:v>15.3857</x:v>
      </x:c>
      <x:c r="H66" s="41" t="n">
        <x:v>6.8025</x:v>
      </x:c>
      <x:c r="I66" s="41" t="n">
        <x:v>8.5833</x:v>
      </x:c>
      <x:c r="J66" s="41" t="n">
        <x:v>-31.1222</x:v>
      </x:c>
      <x:c r="K66" s="41" t="n">
        <x:v>-56.4737</x:v>
      </x:c>
      <x:c r="L66" s="41" t="n">
        <x:v>25.3515</x:v>
      </x:c>
      <x:c r="M66" s="41" t="n">
        <x:v>4930.7548</x:v>
      </x:c>
      <x:c r="N66" s="41" t="n">
        <x:v>506.0574</x:v>
      </x:c>
      <x:c r="O66" s="41" t="n">
        <x:v>11780</x:v>
      </x:c>
      <x:c r="P66" s="41" t="str">
        <x:v>1999-01-04</x:v>
      </x:c>
      <x:c r="Q66" s="41" t="str">
        <x:v>2026-05-22</x:v>
      </x:c>
    </x:row>
    <x:row r="67">
      <x:c r="A67" s="41" t="n">
        <x:v>66</x:v>
      </x:c>
      <x:c r="B67" s="41" t="str">
        <x:v>HYP_REFINE_AUTO002_TOPN_6_V1_DDGRID_LONG_R12_C23_E75_CR42_REDD_RECOVERED_DD8_SL24</x:v>
      </x:c>
      <x:c r="C67" s="41" t="str">
        <x:v>dd_guard_grid</x:v>
      </x:c>
      <x:c r="D67" s="41" t="n">
        <x:v>0.493873</x:v>
      </x:c>
      <x:c r="E67" s="41" t="n">
        <x:v>0.120454</x:v>
      </x:c>
      <x:c r="F67" s="41" t="n">
        <x:v>0.373419</x:v>
      </x:c>
      <x:c r="G67" s="41" t="n">
        <x:v>14.0691</x:v>
      </x:c>
      <x:c r="H67" s="41" t="n">
        <x:v>6.8025</x:v>
      </x:c>
      <x:c r="I67" s="41" t="n">
        <x:v>7.2666</x:v>
      </x:c>
      <x:c r="J67" s="41" t="n">
        <x:v>-28.4872</x:v>
      </x:c>
      <x:c r="K67" s="41" t="n">
        <x:v>-56.4737</x:v>
      </x:c>
      <x:c r="L67" s="41" t="n">
        <x:v>27.9864</x:v>
      </x:c>
      <x:c r="M67" s="41" t="n">
        <x:v>3574.2779</x:v>
      </x:c>
      <x:c r="N67" s="41" t="n">
        <x:v>506.0574</x:v>
      </x:c>
      <x:c r="O67" s="41" t="n">
        <x:v>11314</x:v>
      </x:c>
      <x:c r="P67" s="41" t="str">
        <x:v>1999-01-04</x:v>
      </x:c>
      <x:c r="Q67" s="41" t="str">
        <x:v>2026-05-22</x:v>
      </x:c>
    </x:row>
    <x:row r="68">
      <x:c r="A68" s="41" t="n">
        <x:v>67</x:v>
      </x:c>
      <x:c r="B68" s="41" t="str">
        <x:v>HYP_REFINE_AUTO002_TOPN_6_V1_DDGRID_LONG_R12_C22_E68_CR45_REDD_RECOVERED_DD8_SL20</x:v>
      </x:c>
      <x:c r="C68" s="41" t="str">
        <x:v>dd_guard_grid</x:v>
      </x:c>
      <x:c r="D68" s="41" t="n">
        <x:v>0.493838</x:v>
      </x:c>
      <x:c r="E68" s="41" t="n">
        <x:v>0.120454</x:v>
      </x:c>
      <x:c r="F68" s="41" t="n">
        <x:v>0.373385</x:v>
      </x:c>
      <x:c r="G68" s="41" t="n">
        <x:v>13.8229</x:v>
      </x:c>
      <x:c r="H68" s="41" t="n">
        <x:v>6.8025</x:v>
      </x:c>
      <x:c r="I68" s="41" t="n">
        <x:v>7.0205</x:v>
      </x:c>
      <x:c r="J68" s="41" t="n">
        <x:v>-27.9908</x:v>
      </x:c>
      <x:c r="K68" s="41" t="n">
        <x:v>-56.4737</x:v>
      </x:c>
      <x:c r="L68" s="41" t="n">
        <x:v>28.4828</x:v>
      </x:c>
      <x:c r="M68" s="41" t="n">
        <x:v>3363.2907</x:v>
      </x:c>
      <x:c r="N68" s="41" t="n">
        <x:v>506.0574</x:v>
      </x:c>
      <x:c r="O68" s="41" t="n">
        <x:v>11363</x:v>
      </x:c>
      <x:c r="P68" s="41" t="str">
        <x:v>1999-01-04</x:v>
      </x:c>
      <x:c r="Q68" s="41" t="str">
        <x:v>2026-05-22</x:v>
      </x:c>
    </x:row>
    <x:row r="69">
      <x:c r="A69" s="41" t="n">
        <x:v>68</x:v>
      </x:c>
      <x:c r="B69" s="41" t="str">
        <x:v>HYP_REFINE_AUTO002_TOPN_6_V1_DDGRID_EXT_FINE_R12_C25_E75_CR50_REDD_RECOVERED_DD8_SL22</x:v>
      </x:c>
      <x:c r="C69" s="41" t="str">
        <x:v>dd_guard_grid</x:v>
      </x:c>
      <x:c r="D69" s="41" t="n">
        <x:v>0.493828</x:v>
      </x:c>
      <x:c r="E69" s="41" t="n">
        <x:v>0.120454</x:v>
      </x:c>
      <x:c r="F69" s="41" t="n">
        <x:v>0.373374</x:v>
      </x:c>
      <x:c r="G69" s="41" t="n">
        <x:v>15.252</x:v>
      </x:c>
      <x:c r="H69" s="41" t="n">
        <x:v>6.8025</x:v>
      </x:c>
      <x:c r="I69" s="41" t="n">
        <x:v>8.4495</x:v>
      </x:c>
      <x:c r="J69" s="41" t="n">
        <x:v>-30.8852</x:v>
      </x:c>
      <x:c r="K69" s="41" t="n">
        <x:v>-56.4737</x:v>
      </x:c>
      <x:c r="L69" s="41" t="n">
        <x:v>25.5885</x:v>
      </x:c>
      <x:c r="M69" s="41" t="n">
        <x:v>4773.4843</x:v>
      </x:c>
      <x:c r="N69" s="41" t="n">
        <x:v>506.0574</x:v>
      </x:c>
      <x:c r="O69" s="41" t="n">
        <x:v>11362</x:v>
      </x:c>
      <x:c r="P69" s="41" t="str">
        <x:v>1999-01-04</x:v>
      </x:c>
      <x:c r="Q69" s="41" t="str">
        <x:v>2026-05-22</x:v>
      </x:c>
    </x:row>
    <x:row r="70">
      <x:c r="A70" s="41" t="n">
        <x:v>69</x:v>
      </x:c>
      <x:c r="B70" s="41" t="str">
        <x:v>HYP_REFINE_AUTO002_TOPN_6_V1_DDGRID_EXT_FINE_R12_C25_E75_CR50_REDD_RECOVERED_DD8_SL18</x:v>
      </x:c>
      <x:c r="C70" s="41" t="str">
        <x:v>dd_guard_grid</x:v>
      </x:c>
      <x:c r="D70" s="41" t="n">
        <x:v>0.493453</x:v>
      </x:c>
      <x:c r="E70" s="41" t="n">
        <x:v>0.120454</x:v>
      </x:c>
      <x:c r="F70" s="41" t="n">
        <x:v>0.372999</x:v>
      </x:c>
      <x:c r="G70" s="41" t="n">
        <x:v>15.2386</x:v>
      </x:c>
      <x:c r="H70" s="41" t="n">
        <x:v>6.8025</x:v>
      </x:c>
      <x:c r="I70" s="41" t="n">
        <x:v>8.4361</x:v>
      </x:c>
      <x:c r="J70" s="41" t="n">
        <x:v>-30.8816</x:v>
      </x:c>
      <x:c r="K70" s="41" t="n">
        <x:v>-56.4737</x:v>
      </x:c>
      <x:c r="L70" s="41" t="n">
        <x:v>25.5921</x:v>
      </x:c>
      <x:c r="M70" s="41" t="n">
        <x:v>4758.0456</x:v>
      </x:c>
      <x:c r="N70" s="41" t="n">
        <x:v>506.0574</x:v>
      </x:c>
      <x:c r="O70" s="41" t="n">
        <x:v>10788</x:v>
      </x:c>
      <x:c r="P70" s="41" t="str">
        <x:v>1999-01-04</x:v>
      </x:c>
      <x:c r="Q70" s="41" t="str">
        <x:v>2026-05-22</x:v>
      </x:c>
    </x:row>
    <x:row r="71">
      <x:c r="A71" s="41" t="n">
        <x:v>70</x:v>
      </x:c>
      <x:c r="B71" s="41" t="str">
        <x:v>HYP_REFINE_AUTO002_TOPN_6_V1_DDGRID_EXT_R12_C26_E66_CR50_REDD_RECOVERED_DD8_SL25</x:v>
      </x:c>
      <x:c r="C71" s="41" t="str">
        <x:v>dd_guard_grid</x:v>
      </x:c>
      <x:c r="D71" s="41" t="n">
        <x:v>0.49341</x:v>
      </x:c>
      <x:c r="E71" s="41" t="n">
        <x:v>0.120454</x:v>
      </x:c>
      <x:c r="F71" s="41" t="n">
        <x:v>0.372956</x:v>
      </x:c>
      <x:c r="G71" s="41" t="n">
        <x:v>14.8532</x:v>
      </x:c>
      <x:c r="H71" s="41" t="n">
        <x:v>6.8025</x:v>
      </x:c>
      <x:c r="I71" s="41" t="n">
        <x:v>8.0507</x:v>
      </x:c>
      <x:c r="J71" s="41" t="n">
        <x:v>-30.1032</x:v>
      </x:c>
      <x:c r="K71" s="41" t="n">
        <x:v>-56.4737</x:v>
      </x:c>
      <x:c r="L71" s="41" t="n">
        <x:v>26.3705</x:v>
      </x:c>
      <x:c r="M71" s="41" t="n">
        <x:v>4332.3166</x:v>
      </x:c>
      <x:c r="N71" s="41" t="n">
        <x:v>506.0574</x:v>
      </x:c>
      <x:c r="O71" s="41" t="n">
        <x:v>11534</x:v>
      </x:c>
      <x:c r="P71" s="41" t="str">
        <x:v>1999-01-04</x:v>
      </x:c>
      <x:c r="Q71" s="41" t="str">
        <x:v>2026-05-22</x:v>
      </x:c>
    </x:row>
    <x:row r="72">
      <x:c r="A72" s="41" t="n">
        <x:v>71</x:v>
      </x:c>
      <x:c r="B72" s="41" t="str">
        <x:v>HYP_REFINE_AUTO002_TOPN_6_V1_DDGRID_EXT_R12_C25_E66_CR50_REDD_RECOVERED_DD12_SL22</x:v>
      </x:c>
      <x:c r="C72" s="41" t="str">
        <x:v>dd_guard_grid</x:v>
      </x:c>
      <x:c r="D72" s="41" t="n">
        <x:v>0.493098</x:v>
      </x:c>
      <x:c r="E72" s="41" t="n">
        <x:v>0.120454</x:v>
      </x:c>
      <x:c r="F72" s="41" t="n">
        <x:v>0.372644</x:v>
      </x:c>
      <x:c r="G72" s="41" t="n">
        <x:v>14.7374</x:v>
      </x:c>
      <x:c r="H72" s="41" t="n">
        <x:v>6.8025</x:v>
      </x:c>
      <x:c r="I72" s="41" t="n">
        <x:v>7.9349</x:v>
      </x:c>
      <x:c r="J72" s="41" t="n">
        <x:v>-29.8873</x:v>
      </x:c>
      <x:c r="K72" s="41" t="n">
        <x:v>-56.4737</x:v>
      </x:c>
      <x:c r="L72" s="41" t="n">
        <x:v>26.5864</x:v>
      </x:c>
      <x:c r="M72" s="41" t="n">
        <x:v>4211.5045</x:v>
      </x:c>
      <x:c r="N72" s="41" t="n">
        <x:v>506.0574</x:v>
      </x:c>
      <x:c r="O72" s="41" t="n">
        <x:v>10578</x:v>
      </x:c>
      <x:c r="P72" s="41" t="str">
        <x:v>1999-01-04</x:v>
      </x:c>
      <x:c r="Q72" s="41" t="str">
        <x:v>2026-05-22</x:v>
      </x:c>
    </x:row>
    <x:row r="73">
      <x:c r="A73" s="41" t="n">
        <x:v>72</x:v>
      </x:c>
      <x:c r="B73" s="41" t="str">
        <x:v>HYP_REFINE_AUTO002_TOPN_6_V1_DDGRID_EXT_R12_C25_E60_CR50_REDD_RECOVERED_DD10_SL22</x:v>
      </x:c>
      <x:c r="C73" s="41" t="str">
        <x:v>dd_guard_grid</x:v>
      </x:c>
      <x:c r="D73" s="41" t="n">
        <x:v>0.492843</x:v>
      </x:c>
      <x:c r="E73" s="41" t="n">
        <x:v>0.120454</x:v>
      </x:c>
      <x:c r="F73" s="41" t="n">
        <x:v>0.372389</x:v>
      </x:c>
      <x:c r="G73" s="41" t="n">
        <x:v>13.8484</x:v>
      </x:c>
      <x:c r="H73" s="41" t="n">
        <x:v>6.8025</x:v>
      </x:c>
      <x:c r="I73" s="41" t="n">
        <x:v>7.0459</x:v>
      </x:c>
      <x:c r="J73" s="41" t="n">
        <x:v>-28.0991</x:v>
      </x:c>
      <x:c r="K73" s="41" t="n">
        <x:v>-56.4737</x:v>
      </x:c>
      <x:c r="L73" s="41" t="n">
        <x:v>28.3746</x:v>
      </x:c>
      <x:c r="M73" s="41" t="n">
        <x:v>3384.5686</x:v>
      </x:c>
      <x:c r="N73" s="41" t="n">
        <x:v>506.0574</x:v>
      </x:c>
      <x:c r="O73" s="41" t="n">
        <x:v>11133</x:v>
      </x:c>
      <x:c r="P73" s="41" t="str">
        <x:v>1999-01-04</x:v>
      </x:c>
      <x:c r="Q73" s="41" t="str">
        <x:v>2026-05-22</x:v>
      </x:c>
    </x:row>
    <x:row r="74">
      <x:c r="A74" s="41" t="n">
        <x:v>73</x:v>
      </x:c>
      <x:c r="B74" s="41" t="str">
        <x:v>HYP_REFINE_AUTO002_TOPN_6_V1_DDGRID_EXT_R12_C28_E75_CR50_REDD_RECOVERED_DD8_SL20</x:v>
      </x:c>
      <x:c r="C74" s="41" t="str">
        <x:v>dd_guard_grid</x:v>
      </x:c>
      <x:c r="D74" s="41" t="n">
        <x:v>0.492738</x:v>
      </x:c>
      <x:c r="E74" s="41" t="n">
        <x:v>0.120454</x:v>
      </x:c>
      <x:c r="F74" s="41" t="n">
        <x:v>0.372284</x:v>
      </x:c>
      <x:c r="G74" s="41" t="n">
        <x:v>16.2083</x:v>
      </x:c>
      <x:c r="H74" s="41" t="n">
        <x:v>6.8025</x:v>
      </x:c>
      <x:c r="I74" s="41" t="n">
        <x:v>9.4058</x:v>
      </x:c>
      <x:c r="J74" s="41" t="n">
        <x:v>-32.8943</x:v>
      </x:c>
      <x:c r="K74" s="41" t="n">
        <x:v>-56.4737</x:v>
      </x:c>
      <x:c r="L74" s="41" t="n">
        <x:v>23.5794</x:v>
      </x:c>
      <x:c r="M74" s="41" t="n">
        <x:v>6010.7168</x:v>
      </x:c>
      <x:c r="N74" s="41" t="n">
        <x:v>506.0574</x:v>
      </x:c>
      <x:c r="O74" s="41" t="n">
        <x:v>11075</x:v>
      </x:c>
      <x:c r="P74" s="41" t="str">
        <x:v>1999-01-04</x:v>
      </x:c>
      <x:c r="Q74" s="41" t="str">
        <x:v>2026-05-22</x:v>
      </x:c>
    </x:row>
    <x:row r="75">
      <x:c r="A75" s="41" t="n">
        <x:v>74</x:v>
      </x:c>
      <x:c r="B75" s="41" t="str">
        <x:v>HYP_REFINE_AUTO002_TOPN_6_V1_DDGRID_EXT_R12_C28_E75_CR50_REDD_RECOVERED_DD10_SL20</x:v>
      </x:c>
      <x:c r="C75" s="41" t="str">
        <x:v>dd_guard_grid</x:v>
      </x:c>
      <x:c r="D75" s="41" t="n">
        <x:v>0.49259</x:v>
      </x:c>
      <x:c r="E75" s="41" t="n">
        <x:v>0.120454</x:v>
      </x:c>
      <x:c r="F75" s="41" t="n">
        <x:v>0.372136</x:v>
      </x:c>
      <x:c r="G75" s="41" t="n">
        <x:v>16.2034</x:v>
      </x:c>
      <x:c r="H75" s="41" t="n">
        <x:v>6.8025</x:v>
      </x:c>
      <x:c r="I75" s="41" t="n">
        <x:v>9.4009</x:v>
      </x:c>
      <x:c r="J75" s="41" t="n">
        <x:v>-32.8943</x:v>
      </x:c>
      <x:c r="K75" s="41" t="n">
        <x:v>-56.4737</x:v>
      </x:c>
      <x:c r="L75" s="41" t="n">
        <x:v>23.5794</x:v>
      </x:c>
      <x:c r="M75" s="41" t="n">
        <x:v>6003.7233</x:v>
      </x:c>
      <x:c r="N75" s="41" t="n">
        <x:v>506.0574</x:v>
      </x:c>
      <x:c r="O75" s="41" t="n">
        <x:v>10673</x:v>
      </x:c>
      <x:c r="P75" s="41" t="str">
        <x:v>1999-01-04</x:v>
      </x:c>
      <x:c r="Q75" s="41" t="str">
        <x:v>2026-05-22</x:v>
      </x:c>
    </x:row>
    <x:row r="76">
      <x:c r="A76" s="41" t="n">
        <x:v>75</x:v>
      </x:c>
      <x:c r="B76" s="41" t="str">
        <x:v>HYP_REFINE_AUTO002_TOPN_6_V1_DDGRID_EXT_R12_C22_E66_CR50_REDD_RECOVERED_DD8_SL20</x:v>
      </x:c>
      <x:c r="C76" s="41" t="str">
        <x:v>dd_guard_grid</x:v>
      </x:c>
      <x:c r="D76" s="41" t="n">
        <x:v>0.492428</x:v>
      </x:c>
      <x:c r="E76" s="41" t="n">
        <x:v>0.120454</x:v>
      </x:c>
      <x:c r="F76" s="41" t="n">
        <x:v>0.371974</x:v>
      </x:c>
      <x:c r="G76" s="41" t="n">
        <x:v>13.964</x:v>
      </x:c>
      <x:c r="H76" s="41" t="n">
        <x:v>6.8025</x:v>
      </x:c>
      <x:c r="I76" s="41" t="n">
        <x:v>7.1615</x:v>
      </x:c>
      <x:c r="J76" s="41" t="n">
        <x:v>-28.3575</x:v>
      </x:c>
      <x:c r="K76" s="41" t="n">
        <x:v>-56.4737</x:v>
      </x:c>
      <x:c r="L76" s="41" t="n">
        <x:v>28.1162</x:v>
      </x:c>
      <x:c r="M76" s="41" t="n">
        <x:v>3482.7512</x:v>
      </x:c>
      <x:c r="N76" s="41" t="n">
        <x:v>506.0574</x:v>
      </x:c>
      <x:c r="O76" s="41" t="n">
        <x:v>11301</x:v>
      </x:c>
      <x:c r="P76" s="41" t="str">
        <x:v>1999-01-04</x:v>
      </x:c>
      <x:c r="Q76" s="41" t="str">
        <x:v>2026-05-22</x:v>
      </x:c>
    </x:row>
    <x:row r="77">
      <x:c r="A77" s="41" t="n">
        <x:v>76</x:v>
      </x:c>
      <x:c r="B77" s="41" t="str">
        <x:v>HYP_REFINE_AUTO002_TOPN_6_V1_DDGRID_EXT_FINE_R10_C24_E75_CR50_REDD_RECOVERED_DD8_SL20</x:v>
      </x:c>
      <x:c r="C77" s="41" t="str">
        <x:v>dd_guard_grid</x:v>
      </x:c>
      <x:c r="D77" s="41" t="n">
        <x:v>0.49187</x:v>
      </x:c>
      <x:c r="E77" s="41" t="n">
        <x:v>0.120454</x:v>
      </x:c>
      <x:c r="F77" s="41" t="n">
        <x:v>0.371416</x:v>
      </x:c>
      <x:c r="G77" s="41" t="n">
        <x:v>14.778</x:v>
      </x:c>
      <x:c r="H77" s="41" t="n">
        <x:v>6.8025</x:v>
      </x:c>
      <x:c r="I77" s="41" t="n">
        <x:v>7.9755</x:v>
      </x:c>
      <x:c r="J77" s="41" t="n">
        <x:v>-30.0445</x:v>
      </x:c>
      <x:c r="K77" s="41" t="n">
        <x:v>-56.4737</x:v>
      </x:c>
      <x:c r="L77" s="41" t="n">
        <x:v>26.4292</x:v>
      </x:c>
      <x:c r="M77" s="41" t="n">
        <x:v>4253.4816</x:v>
      </x:c>
      <x:c r="N77" s="41" t="n">
        <x:v>506.0574</x:v>
      </x:c>
      <x:c r="O77" s="41" t="n">
        <x:v>11424</x:v>
      </x:c>
      <x:c r="P77" s="41" t="str">
        <x:v>1999-01-04</x:v>
      </x:c>
      <x:c r="Q77" s="41" t="str">
        <x:v>2026-05-22</x:v>
      </x:c>
    </x:row>
    <x:row r="78">
      <x:c r="A78" s="41" t="n">
        <x:v>77</x:v>
      </x:c>
      <x:c r="B78" s="41" t="str">
        <x:v>HYP_REFINE_AUTO002_TOPN_6_V1_DDGRID_EXT_R12_C26_E66_CR40_REDD_RECOVERED_DD8_SL20</x:v>
      </x:c>
      <x:c r="C78" s="41" t="str">
        <x:v>dd_guard_grid</x:v>
      </x:c>
      <x:c r="D78" s="41" t="n">
        <x:v>0.490993</x:v>
      </x:c>
      <x:c r="E78" s="41" t="n">
        <x:v>0.120454</x:v>
      </x:c>
      <x:c r="F78" s="41" t="n">
        <x:v>0.370539</x:v>
      </x:c>
      <x:c r="G78" s="41" t="n">
        <x:v>14.7852</x:v>
      </x:c>
      <x:c r="H78" s="41" t="n">
        <x:v>6.8025</x:v>
      </x:c>
      <x:c r="I78" s="41" t="n">
        <x:v>7.9827</x:v>
      </x:c>
      <x:c r="J78" s="41" t="n">
        <x:v>-30.1128</x:v>
      </x:c>
      <x:c r="K78" s="41" t="n">
        <x:v>-56.4737</x:v>
      </x:c>
      <x:c r="L78" s="41" t="n">
        <x:v>26.3609</x:v>
      </x:c>
      <x:c r="M78" s="41" t="n">
        <x:v>4260.9612</x:v>
      </x:c>
      <x:c r="N78" s="41" t="n">
        <x:v>506.0574</x:v>
      </x:c>
      <x:c r="O78" s="41" t="n">
        <x:v>11505</x:v>
      </x:c>
      <x:c r="P78" s="41" t="str">
        <x:v>1999-01-04</x:v>
      </x:c>
      <x:c r="Q78" s="41" t="str">
        <x:v>2026-05-22</x:v>
      </x:c>
    </x:row>
    <x:row r="79">
      <x:c r="A79" s="41" t="n">
        <x:v>78</x:v>
      </x:c>
      <x:c r="B79" s="41" t="str">
        <x:v>HYP_REFINE_AUTO002_TOPN_6_V1_DDGRID_EXT_R12_C24_E75_CR50_REDD_RECOVERED_DD10_SL22</x:v>
      </x:c>
      <x:c r="C79" s="41" t="str">
        <x:v>dd_guard_grid</x:v>
      </x:c>
      <x:c r="D79" s="41" t="n">
        <x:v>0.490768</x:v>
      </x:c>
      <x:c r="E79" s="41" t="n">
        <x:v>0.120454</x:v>
      </x:c>
      <x:c r="F79" s="41" t="n">
        <x:v>0.370314</x:v>
      </x:c>
      <x:c r="G79" s="41" t="n">
        <x:v>14.6756</x:v>
      </x:c>
      <x:c r="H79" s="41" t="n">
        <x:v>6.8025</x:v>
      </x:c>
      <x:c r="I79" s="41" t="n">
        <x:v>7.8731</x:v>
      </x:c>
      <x:c r="J79" s="41" t="n">
        <x:v>-29.9033</x:v>
      </x:c>
      <x:c r="K79" s="41" t="n">
        <x:v>-56.4737</x:v>
      </x:c>
      <x:c r="L79" s="41" t="n">
        <x:v>26.5703</x:v>
      </x:c>
      <x:c r="M79" s="41" t="n">
        <x:v>4148.4163</x:v>
      </x:c>
      <x:c r="N79" s="41" t="n">
        <x:v>506.0574</x:v>
      </x:c>
      <x:c r="O79" s="41" t="n">
        <x:v>10968</x:v>
      </x:c>
      <x:c r="P79" s="41" t="str">
        <x:v>1999-01-04</x:v>
      </x:c>
      <x:c r="Q79" s="41" t="str">
        <x:v>2026-05-22</x:v>
      </x:c>
    </x:row>
    <x:row r="80">
      <x:c r="A80" s="41" t="n">
        <x:v>79</x:v>
      </x:c>
      <x:c r="B80" s="41" t="str">
        <x:v>HYP_REFINE_AUTO002_TOPN_6_V1_DDGRID_LONG_R13_C21_E75_CR45_REDD_RECOVERED_DD8_SL20</x:v>
      </x:c>
      <x:c r="C80" s="41" t="str">
        <x:v>dd_guard_grid</x:v>
      </x:c>
      <x:c r="D80" s="41" t="n">
        <x:v>0.489806</x:v>
      </x:c>
      <x:c r="E80" s="41" t="n">
        <x:v>0.120454</x:v>
      </x:c>
      <x:c r="F80" s="41" t="n">
        <x:v>0.369352</x:v>
      </x:c>
      <x:c r="G80" s="41" t="n">
        <x:v>14.3343</x:v>
      </x:c>
      <x:c r="H80" s="41" t="n">
        <x:v>6.8025</x:v>
      </x:c>
      <x:c r="I80" s="41" t="n">
        <x:v>7.5319</x:v>
      </x:c>
      <x:c r="J80" s="41" t="n">
        <x:v>-29.2654</x:v>
      </x:c>
      <x:c r="K80" s="41" t="n">
        <x:v>-56.4737</x:v>
      </x:c>
      <x:c r="L80" s="41" t="n">
        <x:v>27.2083</x:v>
      </x:c>
      <x:c r="M80" s="41" t="n">
        <x:v>3815.5252</x:v>
      </x:c>
      <x:c r="N80" s="41" t="n">
        <x:v>506.0574</x:v>
      </x:c>
      <x:c r="O80" s="41" t="n">
        <x:v>11148</x:v>
      </x:c>
      <x:c r="P80" s="41" t="str">
        <x:v>1999-01-04</x:v>
      </x:c>
      <x:c r="Q80" s="41" t="str">
        <x:v>2026-05-22</x:v>
      </x:c>
    </x:row>
    <x:row r="81">
      <x:c r="A81" s="41" t="n">
        <x:v>80</x:v>
      </x:c>
      <x:c r="B81" s="41" t="str">
        <x:v>HYP_REFINE_AUTO002_TOPN_6_V1_DDGRID_EXT_R12_C24_E66_CR40_REDD_RECOVERED_DD6_SL20</x:v>
      </x:c>
      <x:c r="C81" s="41" t="str">
        <x:v>dd_guard_grid</x:v>
      </x:c>
      <x:c r="D81" s="41" t="n">
        <x:v>0.489733</x:v>
      </x:c>
      <x:c r="E81" s="41" t="n">
        <x:v>0.120454</x:v>
      </x:c>
      <x:c r="F81" s="41" t="n">
        <x:v>0.369279</x:v>
      </x:c>
      <x:c r="G81" s="41" t="n">
        <x:v>14.1536</x:v>
      </x:c>
      <x:c r="H81" s="41" t="n">
        <x:v>6.8025</x:v>
      </x:c>
      <x:c r="I81" s="41" t="n">
        <x:v>7.3511</x:v>
      </x:c>
      <x:c r="J81" s="41" t="n">
        <x:v>-28.9006</x:v>
      </x:c>
      <x:c r="K81" s="41" t="n">
        <x:v>-56.4737</x:v>
      </x:c>
      <x:c r="L81" s="41" t="n">
        <x:v>27.5731</x:v>
      </x:c>
      <x:c r="M81" s="41" t="n">
        <x:v>3649.5222</x:v>
      </x:c>
      <x:c r="N81" s="41" t="n">
        <x:v>506.0574</x:v>
      </x:c>
      <x:c r="O81" s="41" t="n">
        <x:v>11708</x:v>
      </x:c>
      <x:c r="P81" s="41" t="str">
        <x:v>1999-01-04</x:v>
      </x:c>
      <x:c r="Q81" s="41" t="str">
        <x:v>2026-05-22</x:v>
      </x:c>
    </x:row>
    <x:row r="82">
      <x:c r="A82" s="41" t="n">
        <x:v>81</x:v>
      </x:c>
      <x:c r="B82" s="41" t="str">
        <x:v>HYP_REFINE_AUTO002_TOPN_6_V1_DDGRID_EXT_R10_C25_E75_CR50_REDD_RECOVERED_DD8_SL22</x:v>
      </x:c>
      <x:c r="C82" s="41" t="str">
        <x:v>dd_guard_grid</x:v>
      </x:c>
      <x:c r="D82" s="41" t="n">
        <x:v>0.4896</x:v>
      </x:c>
      <x:c r="E82" s="41" t="n">
        <x:v>0.120454</x:v>
      </x:c>
      <x:c r="F82" s="41" t="n">
        <x:v>0.369146</x:v>
      </x:c>
      <x:c r="G82" s="41" t="n">
        <x:v>15.1214</x:v>
      </x:c>
      <x:c r="H82" s="41" t="n">
        <x:v>6.8025</x:v>
      </x:c>
      <x:c r="I82" s="41" t="n">
        <x:v>8.3189</x:v>
      </x:c>
      <x:c r="J82" s="41" t="n">
        <x:v>-30.8852</x:v>
      </x:c>
      <x:c r="K82" s="41" t="n">
        <x:v>-56.4737</x:v>
      </x:c>
      <x:c r="L82" s="41" t="n">
        <x:v>25.5885</x:v>
      </x:c>
      <x:c r="M82" s="41" t="n">
        <x:v>4624.5211</x:v>
      </x:c>
      <x:c r="N82" s="41" t="n">
        <x:v>506.0574</x:v>
      </x:c>
      <x:c r="O82" s="41" t="n">
        <x:v>11684</x:v>
      </x:c>
      <x:c r="P82" s="41" t="str">
        <x:v>1999-01-04</x:v>
      </x:c>
      <x:c r="Q82" s="41" t="str">
        <x:v>2026-05-22</x:v>
      </x:c>
    </x:row>
    <x:row r="83">
      <x:c r="A83" s="41" t="n">
        <x:v>82</x:v>
      </x:c>
      <x:c r="B83" s="41" t="str">
        <x:v>HYP_REFINE_AUTO002_TOPN_6_V1_DDGRID_EXT_R12_C24_E75_CR50_REDD_RECOVERED_DD10_SL25</x:v>
      </x:c>
      <x:c r="C83" s="41" t="str">
        <x:v>dd_guard_grid</x:v>
      </x:c>
      <x:c r="D83" s="41" t="n">
        <x:v>0.489161</x:v>
      </x:c>
      <x:c r="E83" s="41" t="n">
        <x:v>0.120454</x:v>
      </x:c>
      <x:c r="F83" s="41" t="n">
        <x:v>0.368707</x:v>
      </x:c>
      <x:c r="G83" s="41" t="n">
        <x:v>14.6127</x:v>
      </x:c>
      <x:c r="H83" s="41" t="n">
        <x:v>6.8025</x:v>
      </x:c>
      <x:c r="I83" s="41" t="n">
        <x:v>7.8102</x:v>
      </x:c>
      <x:c r="J83" s="41" t="n">
        <x:v>-29.873</x:v>
      </x:c>
      <x:c r="K83" s="41" t="n">
        <x:v>-56.4737</x:v>
      </x:c>
      <x:c r="L83" s="41" t="n">
        <x:v>26.6007</x:v>
      </x:c>
      <x:c r="M83" s="41" t="n">
        <x:v>4085.0802</x:v>
      </x:c>
      <x:c r="N83" s="41" t="n">
        <x:v>506.0574</x:v>
      </x:c>
      <x:c r="O83" s="41" t="n">
        <x:v>10927</x:v>
      </x:c>
      <x:c r="P83" s="41" t="str">
        <x:v>1999-01-04</x:v>
      </x:c>
      <x:c r="Q83" s="41" t="str">
        <x:v>2026-05-22</x:v>
      </x:c>
    </x:row>
    <x:row r="84">
      <x:c r="A84" s="41" t="n">
        <x:v>83</x:v>
      </x:c>
      <x:c r="B84" s="41" t="str">
        <x:v>HYP_REFINE_AUTO002_TOPN_6_V1_DDGRID_LONG_R13_C23_E75_CR45_REDD_RECOVERED_DD8_SL20</x:v>
      </x:c>
      <x:c r="C84" s="41" t="str">
        <x:v>dd_guard_grid</x:v>
      </x:c>
      <x:c r="D84" s="41" t="n">
        <x:v>0.488351</x:v>
      </x:c>
      <x:c r="E84" s="41" t="n">
        <x:v>0.120454</x:v>
      </x:c>
      <x:c r="F84" s="41" t="n">
        <x:v>0.367897</x:v>
      </x:c>
      <x:c r="G84" s="41" t="n">
        <x:v>14.0749</x:v>
      </x:c>
      <x:c r="H84" s="41" t="n">
        <x:v>6.8025</x:v>
      </x:c>
      <x:c r="I84" s="41" t="n">
        <x:v>7.2724</x:v>
      </x:c>
      <x:c r="J84" s="41" t="n">
        <x:v>-28.8212</x:v>
      </x:c>
      <x:c r="K84" s="41" t="n">
        <x:v>-56.4737</x:v>
      </x:c>
      <x:c r="L84" s="41" t="n">
        <x:v>27.6525</x:v>
      </x:c>
      <x:c r="M84" s="41" t="n">
        <x:v>3579.3913</x:v>
      </x:c>
      <x:c r="N84" s="41" t="n">
        <x:v>506.0574</x:v>
      </x:c>
      <x:c r="O84" s="41" t="n">
        <x:v>11212</x:v>
      </x:c>
      <x:c r="P84" s="41" t="str">
        <x:v>1999-01-04</x:v>
      </x:c>
      <x:c r="Q84" s="41" t="str">
        <x:v>2026-05-22</x:v>
      </x:c>
    </x:row>
    <x:row r="85">
      <x:c r="A85" s="41" t="n">
        <x:v>84</x:v>
      </x:c>
      <x:c r="B85" s="41" t="str">
        <x:v>HYP_REFINE_AUTO002_TOPN_6_V1_DDGRID_EXT_FINE_R12_C25_E75_CR50_REDD_RECOVERED_DD6_SL20</x:v>
      </x:c>
      <x:c r="C85" s="41" t="str">
        <x:v>dd_guard_grid</x:v>
      </x:c>
      <x:c r="D85" s="41" t="n">
        <x:v>0.488304</x:v>
      </x:c>
      <x:c r="E85" s="41" t="n">
        <x:v>0.120454</x:v>
      </x:c>
      <x:c r="F85" s="41" t="n">
        <x:v>0.36785</x:v>
      </x:c>
      <x:c r="G85" s="41" t="n">
        <x:v>14.9995</x:v>
      </x:c>
      <x:c r="H85" s="41" t="n">
        <x:v>6.8025</x:v>
      </x:c>
      <x:c r="I85" s="41" t="n">
        <x:v>8.197</x:v>
      </x:c>
      <x:c r="J85" s="41" t="n">
        <x:v>-30.7175</x:v>
      </x:c>
      <x:c r="K85" s="41" t="n">
        <x:v>-56.4737</x:v>
      </x:c>
      <x:c r="L85" s="41" t="n">
        <x:v>25.7562</x:v>
      </x:c>
      <x:c r="M85" s="41" t="n">
        <x:v>4489.4568</x:v>
      </x:c>
      <x:c r="N85" s="41" t="n">
        <x:v>506.0574</x:v>
      </x:c>
      <x:c r="O85" s="41" t="n">
        <x:v>11578</x:v>
      </x:c>
      <x:c r="P85" s="41" t="str">
        <x:v>1999-01-04</x:v>
      </x:c>
      <x:c r="Q85" s="41" t="str">
        <x:v>2026-05-22</x:v>
      </x:c>
    </x:row>
    <x:row r="86">
      <x:c r="A86" s="41" t="n">
        <x:v>85</x:v>
      </x:c>
      <x:c r="B86" s="41" t="str">
        <x:v>HYP_REFINE_AUTO002_TOPN_6_V1_DDGRID_EXT_R12_C25_E75_CR50_REDD_RECOVERED_DD8_SL25</x:v>
      </x:c>
      <x:c r="C86" s="41" t="str">
        <x:v>dd_guard_grid</x:v>
      </x:c>
      <x:c r="D86" s="41" t="n">
        <x:v>0.487858</x:v>
      </x:c>
      <x:c r="E86" s="41" t="n">
        <x:v>0.120454</x:v>
      </x:c>
      <x:c r="F86" s="41" t="n">
        <x:v>0.367404</x:v>
      </x:c>
      <x:c r="G86" s="41" t="n">
        <x:v>14.9659</x:v>
      </x:c>
      <x:c r="H86" s="41" t="n">
        <x:v>6.8025</x:v>
      </x:c>
      <x:c r="I86" s="41" t="n">
        <x:v>8.1634</x:v>
      </x:c>
      <x:c r="J86" s="41" t="n">
        <x:v>-30.6767</x:v>
      </x:c>
      <x:c r="K86" s="41" t="n">
        <x:v>-56.4737</x:v>
      </x:c>
      <x:c r="L86" s="41" t="n">
        <x:v>25.7969</x:v>
      </x:c>
      <x:c r="M86" s="41" t="n">
        <x:v>4452.9186</x:v>
      </x:c>
      <x:c r="N86" s="41" t="n">
        <x:v>506.0574</x:v>
      </x:c>
      <x:c r="O86" s="41" t="n">
        <x:v>11187</x:v>
      </x:c>
      <x:c r="P86" s="41" t="str">
        <x:v>1999-01-04</x:v>
      </x:c>
      <x:c r="Q86" s="41" t="str">
        <x:v>2026-05-22</x:v>
      </x:c>
    </x:row>
    <x:row r="87">
      <x:c r="A87" s="41" t="n">
        <x:v>86</x:v>
      </x:c>
      <x:c r="B87" s="41" t="str">
        <x:v>HYP_REFINE_AUTO002_TOPN_6_V1_DDGRID_EXT_R12_C25_E66_CR50_REDD_RECOVERED_DD6_SLNONE</x:v>
      </x:c>
      <x:c r="C87" s="41" t="str">
        <x:v>dd_guard_grid</x:v>
      </x:c>
      <x:c r="D87" s="41" t="n">
        <x:v>0.487103</x:v>
      </x:c>
      <x:c r="E87" s="41" t="n">
        <x:v>0.120454</x:v>
      </x:c>
      <x:c r="F87" s="41" t="n">
        <x:v>0.366649</x:v>
      </x:c>
      <x:c r="G87" s="41" t="n">
        <x:v>14.2818</x:v>
      </x:c>
      <x:c r="H87" s="41" t="n">
        <x:v>6.8025</x:v>
      </x:c>
      <x:c r="I87" s="41" t="n">
        <x:v>7.4793</x:v>
      </x:c>
      <x:c r="J87" s="41" t="n">
        <x:v>-29.3198</x:v>
      </x:c>
      <x:c r="K87" s="41" t="n">
        <x:v>-56.4737</x:v>
      </x:c>
      <x:c r="L87" s="41" t="n">
        <x:v>27.1539</x:v>
      </x:c>
      <x:c r="M87" s="41" t="n">
        <x:v>3766.5362</x:v>
      </x:c>
      <x:c r="N87" s="41" t="n">
        <x:v>506.0574</x:v>
      </x:c>
      <x:c r="O87" s="41" t="n">
        <x:v>12080</x:v>
      </x:c>
      <x:c r="P87" s="41" t="str">
        <x:v>1999-01-04</x:v>
      </x:c>
      <x:c r="Q87" s="41" t="str">
        <x:v>2026-05-22</x:v>
      </x:c>
    </x:row>
    <x:row r="88">
      <x:c r="A88" s="41" t="n">
        <x:v>87</x:v>
      </x:c>
      <x:c r="B88" s="41" t="str">
        <x:v>HYP_REFINE_AUTO002_TOPN_6_V1_DDGRID_EXT_R12_C25_E60_CR50_REDD_RECOVERED_DD8_SL20</x:v>
      </x:c>
      <x:c r="C88" s="41" t="str">
        <x:v>dd_guard_grid</x:v>
      </x:c>
      <x:c r="D88" s="41" t="n">
        <x:v>0.486982</x:v>
      </x:c>
      <x:c r="E88" s="41" t="n">
        <x:v>0.120454</x:v>
      </x:c>
      <x:c r="F88" s="41" t="n">
        <x:v>0.366528</x:v>
      </x:c>
      <x:c r="G88" s="41" t="n">
        <x:v>13.7502</x:v>
      </x:c>
      <x:c r="H88" s="41" t="n">
        <x:v>6.8025</x:v>
      </x:c>
      <x:c r="I88" s="41" t="n">
        <x:v>6.9477</x:v>
      </x:c>
      <x:c r="J88" s="41" t="n">
        <x:v>-28.2355</x:v>
      </x:c>
      <x:c r="K88" s="41" t="n">
        <x:v>-56.4737</x:v>
      </x:c>
      <x:c r="L88" s="41" t="n">
        <x:v>28.2382</x:v>
      </x:c>
      <x:c r="M88" s="41" t="n">
        <x:v>3303.1826</x:v>
      </x:c>
      <x:c r="N88" s="41" t="n">
        <x:v>506.0574</x:v>
      </x:c>
      <x:c r="O88" s="41" t="n">
        <x:v>11438</x:v>
      </x:c>
      <x:c r="P88" s="41" t="str">
        <x:v>1999-01-04</x:v>
      </x:c>
      <x:c r="Q88" s="41" t="str">
        <x:v>2026-05-22</x:v>
      </x:c>
    </x:row>
    <x:row r="89">
      <x:c r="A89" s="41" t="n">
        <x:v>88</x:v>
      </x:c>
      <x:c r="B89" s="41" t="str">
        <x:v>HYP_REFINE_AUTO002_TOPN_6_V1_DDGRID_EXT_R12_C24_E75_CR50_REDD_RECOVERED_DD10_SLNONE</x:v>
      </x:c>
      <x:c r="C89" s="41" t="str">
        <x:v>dd_guard_grid</x:v>
      </x:c>
      <x:c r="D89" s="41" t="n">
        <x:v>0.486773</x:v>
      </x:c>
      <x:c r="E89" s="41" t="n">
        <x:v>0.120454</x:v>
      </x:c>
      <x:c r="F89" s="41" t="n">
        <x:v>0.366319</x:v>
      </x:c>
      <x:c r="G89" s="41" t="n">
        <x:v>14.7434</x:v>
      </x:c>
      <x:c r="H89" s="41" t="n">
        <x:v>6.8025</x:v>
      </x:c>
      <x:c r="I89" s="41" t="n">
        <x:v>7.9409</x:v>
      </x:c>
      <x:c r="J89" s="41" t="n">
        <x:v>-30.288</x:v>
      </x:c>
      <x:c r="K89" s="41" t="n">
        <x:v>-56.4737</x:v>
      </x:c>
      <x:c r="L89" s="41" t="n">
        <x:v>26.1857</x:v>
      </x:c>
      <x:c r="M89" s="41" t="n">
        <x:v>4217.7123</x:v>
      </x:c>
      <x:c r="N89" s="41" t="n">
        <x:v>506.0574</x:v>
      </x:c>
      <x:c r="O89" s="41" t="n">
        <x:v>10900</x:v>
      </x:c>
      <x:c r="P89" s="41" t="str">
        <x:v>1999-01-04</x:v>
      </x:c>
      <x:c r="Q89" s="41" t="str">
        <x:v>2026-05-22</x:v>
      </x:c>
    </x:row>
    <x:row r="90">
      <x:c r="A90" s="41" t="n">
        <x:v>89</x:v>
      </x:c>
      <x:c r="B90" s="41" t="str">
        <x:v>HYP_REFINE_AUTO002_TOPN_6_V1_DDGRID_EXT_R12_C25_E60_CR50_REDD_RECOVERED_DD8_SL25</x:v>
      </x:c>
      <x:c r="C90" s="41" t="str">
        <x:v>dd_guard_grid</x:v>
      </x:c>
      <x:c r="D90" s="41" t="n">
        <x:v>0.486706</x:v>
      </x:c>
      <x:c r="E90" s="41" t="n">
        <x:v>0.120454</x:v>
      </x:c>
      <x:c r="F90" s="41" t="n">
        <x:v>0.366252</x:v>
      </x:c>
      <x:c r="G90" s="41" t="n">
        <x:v>13.6843</x:v>
      </x:c>
      <x:c r="H90" s="41" t="n">
        <x:v>6.8025</x:v>
      </x:c>
      <x:c r="I90" s="41" t="n">
        <x:v>6.8818</x:v>
      </x:c>
      <x:c r="J90" s="41" t="n">
        <x:v>-28.1162</x:v>
      </x:c>
      <x:c r="K90" s="41" t="n">
        <x:v>-56.4737</x:v>
      </x:c>
      <x:c r="L90" s="41" t="n">
        <x:v>28.3575</x:v>
      </x:c>
      <x:c r="M90" s="41" t="n">
        <x:v>3249.6386</x:v>
      </x:c>
      <x:c r="N90" s="41" t="n">
        <x:v>506.0574</x:v>
      </x:c>
      <x:c r="O90" s="41" t="n">
        <x:v>11597</x:v>
      </x:c>
      <x:c r="P90" s="41" t="str">
        <x:v>1999-01-04</x:v>
      </x:c>
      <x:c r="Q90" s="41" t="str">
        <x:v>2026-05-22</x:v>
      </x:c>
    </x:row>
    <x:row r="91">
      <x:c r="A91" s="41" t="n">
        <x:v>90</x:v>
      </x:c>
      <x:c r="B91" s="41" t="str">
        <x:v>HYP_REFINE_AUTO002_TOPN_6_V1_DDGRID_LONG_R13_C22_E75_CR45_REDD_RECOVERED_DD8_SL20</x:v>
      </x:c>
      <x:c r="C91" s="41" t="str">
        <x:v>dd_guard_grid</x:v>
      </x:c>
      <x:c r="D91" s="41" t="n">
        <x:v>0.486471</x:v>
      </x:c>
      <x:c r="E91" s="41" t="n">
        <x:v>0.120454</x:v>
      </x:c>
      <x:c r="F91" s="41" t="n">
        <x:v>0.366017</x:v>
      </x:c>
      <x:c r="G91" s="41" t="n">
        <x:v>14.5173</x:v>
      </x:c>
      <x:c r="H91" s="41" t="n">
        <x:v>6.8025</x:v>
      </x:c>
      <x:c r="I91" s="41" t="n">
        <x:v>7.7148</x:v>
      </x:c>
      <x:c r="J91" s="41" t="n">
        <x:v>-29.8421</x:v>
      </x:c>
      <x:c r="K91" s="41" t="n">
        <x:v>-56.4737</x:v>
      </x:c>
      <x:c r="L91" s="41" t="n">
        <x:v>26.6316</x:v>
      </x:c>
      <x:c r="M91" s="41" t="n">
        <x:v>3990.7455</x:v>
      </x:c>
      <x:c r="N91" s="41" t="n">
        <x:v>506.0574</x:v>
      </x:c>
      <x:c r="O91" s="41" t="n">
        <x:v>11057</x:v>
      </x:c>
      <x:c r="P91" s="41" t="str">
        <x:v>1999-01-04</x:v>
      </x:c>
      <x:c r="Q91" s="41" t="str">
        <x:v>2026-05-22</x:v>
      </x:c>
    </x:row>
    <x:row r="92">
      <x:c r="A92" s="41" t="n">
        <x:v>91</x:v>
      </x:c>
      <x:c r="B92" s="41" t="str">
        <x:v>HYP_REFINE_AUTO002_TOPN_6_V1_DDGRID_EXT_R12_C26_E66_CR50_REDD_RECOVERED_DD8_SL20</x:v>
      </x:c>
      <x:c r="C92" s="41" t="str">
        <x:v>dd_guard_grid</x:v>
      </x:c>
      <x:c r="D92" s="41" t="n">
        <x:v>0.486438</x:v>
      </x:c>
      <x:c r="E92" s="41" t="n">
        <x:v>0.120454</x:v>
      </x:c>
      <x:c r="F92" s="41" t="n">
        <x:v>0.365984</x:v>
      </x:c>
      <x:c r="G92" s="41" t="n">
        <x:v>14.94</x:v>
      </x:c>
      <x:c r="H92" s="41" t="n">
        <x:v>6.8025</x:v>
      </x:c>
      <x:c r="I92" s="41" t="n">
        <x:v>8.1375</x:v>
      </x:c>
      <x:c r="J92" s="41" t="n">
        <x:v>-30.713</x:v>
      </x:c>
      <x:c r="K92" s="41" t="n">
        <x:v>-56.4737</x:v>
      </x:c>
      <x:c r="L92" s="41" t="n">
        <x:v>25.7606</x:v>
      </x:c>
      <x:c r="M92" s="41" t="n">
        <x:v>4424.9017</x:v>
      </x:c>
      <x:c r="N92" s="41" t="n">
        <x:v>506.0574</x:v>
      </x:c>
      <x:c r="O92" s="41" t="n">
        <x:v>11381</x:v>
      </x:c>
      <x:c r="P92" s="41" t="str">
        <x:v>1999-01-04</x:v>
      </x:c>
      <x:c r="Q92" s="41" t="str">
        <x:v>2026-05-22</x:v>
      </x:c>
    </x:row>
    <x:row r="93">
      <x:c r="A93" s="41" t="n">
        <x:v>92</x:v>
      </x:c>
      <x:c r="B93" s="41" t="str">
        <x:v>HYP_REFINE_AUTO002_TOPN_6_V1_DDGRID_CHEAP_R12_C23_E75_CR45_REDD_RECOVERED_DD8_SL20</x:v>
      </x:c>
      <x:c r="C93" s="41" t="str">
        <x:v>dd_guard_grid</x:v>
      </x:c>
      <x:c r="D93" s="41" t="n">
        <x:v>0.486023</x:v>
      </x:c>
      <x:c r="E93" s="41" t="n">
        <x:v>0.120454</x:v>
      </x:c>
      <x:c r="F93" s="41" t="n">
        <x:v>0.365569</x:v>
      </x:c>
      <x:c r="G93" s="41" t="n">
        <x:v>14.0078</x:v>
      </x:c>
      <x:c r="H93" s="41" t="n">
        <x:v>6.8025</x:v>
      </x:c>
      <x:c r="I93" s="41" t="n">
        <x:v>7.2053</x:v>
      </x:c>
      <x:c r="J93" s="41" t="n">
        <x:v>-28.8212</x:v>
      </x:c>
      <x:c r="K93" s="41" t="n">
        <x:v>-56.4737</x:v>
      </x:c>
      <x:c r="L93" s="41" t="n">
        <x:v>27.6525</x:v>
      </x:c>
      <x:c r="M93" s="41" t="n">
        <x:v>3520.5902</x:v>
      </x:c>
      <x:c r="N93" s="41" t="n">
        <x:v>506.0574</x:v>
      </x:c>
      <x:c r="O93" s="41" t="n">
        <x:v>11421</x:v>
      </x:c>
      <x:c r="P93" s="41" t="str">
        <x:v>1999-01-04</x:v>
      </x:c>
      <x:c r="Q93" s="41" t="str">
        <x:v>2026-05-22</x:v>
      </x:c>
    </x:row>
    <x:row r="94">
      <x:c r="A94" s="41" t="n">
        <x:v>93</x:v>
      </x:c>
      <x:c r="B94" s="41" t="str">
        <x:v>HYP_REFINE_AUTO002_TOPN_6_V1_DDGRID_LONG_R12_C23_E75_CR45_REDD_RECOVERED_DD8_SL20</x:v>
      </x:c>
      <x:c r="C94" s="41" t="str">
        <x:v>dd_guard_grid</x:v>
      </x:c>
      <x:c r="D94" s="41" t="n">
        <x:v>0.486023</x:v>
      </x:c>
      <x:c r="E94" s="41" t="n">
        <x:v>0.120454</x:v>
      </x:c>
      <x:c r="F94" s="41" t="n">
        <x:v>0.365569</x:v>
      </x:c>
      <x:c r="G94" s="41" t="n">
        <x:v>14.0078</x:v>
      </x:c>
      <x:c r="H94" s="41" t="n">
        <x:v>6.8025</x:v>
      </x:c>
      <x:c r="I94" s="41" t="n">
        <x:v>7.2053</x:v>
      </x:c>
      <x:c r="J94" s="41" t="n">
        <x:v>-28.8212</x:v>
      </x:c>
      <x:c r="K94" s="41" t="n">
        <x:v>-56.4737</x:v>
      </x:c>
      <x:c r="L94" s="41" t="n">
        <x:v>27.6525</x:v>
      </x:c>
      <x:c r="M94" s="41" t="n">
        <x:v>3520.5902</x:v>
      </x:c>
      <x:c r="N94" s="41" t="n">
        <x:v>506.0574</x:v>
      </x:c>
      <x:c r="O94" s="41" t="n">
        <x:v>11421</x:v>
      </x:c>
      <x:c r="P94" s="41" t="str">
        <x:v>1999-01-04</x:v>
      </x:c>
      <x:c r="Q94" s="41" t="str">
        <x:v>2026-05-22</x:v>
      </x:c>
    </x:row>
    <x:row r="95">
      <x:c r="A95" s="41" t="n">
        <x:v>94</x:v>
      </x:c>
      <x:c r="B95" s="41" t="str">
        <x:v>HYP_REFINE_AUTO002_TOPN_6_V1_DDGRID_EXT_R12_C25_E75_CR50_REDD_RECOVERED_DD10_SL22</x:v>
      </x:c>
      <x:c r="C95" s="41" t="str">
        <x:v>dd_guard_grid</x:v>
      </x:c>
      <x:c r="D95" s="41" t="n">
        <x:v>0.485806</x:v>
      </x:c>
      <x:c r="E95" s="41" t="n">
        <x:v>0.120454</x:v>
      </x:c>
      <x:c r="F95" s="41" t="n">
        <x:v>0.365352</x:v>
      </x:c>
      <x:c r="G95" s="41" t="n">
        <x:v>15.0042</x:v>
      </x:c>
      <x:c r="H95" s="41" t="n">
        <x:v>6.8025</x:v>
      </x:c>
      <x:c r="I95" s="41" t="n">
        <x:v>8.2017</x:v>
      </x:c>
      <x:c r="J95" s="41" t="n">
        <x:v>-30.8852</x:v>
      </x:c>
      <x:c r="K95" s="41" t="n">
        <x:v>-56.4737</x:v>
      </x:c>
      <x:c r="L95" s="41" t="n">
        <x:v>25.5885</x:v>
      </x:c>
      <x:c r="M95" s="41" t="n">
        <x:v>4494.6397</x:v>
      </x:c>
      <x:c r="N95" s="41" t="n">
        <x:v>506.0574</x:v>
      </x:c>
      <x:c r="O95" s="41" t="n">
        <x:v>11076</x:v>
      </x:c>
      <x:c r="P95" s="41" t="str">
        <x:v>1999-01-04</x:v>
      </x:c>
      <x:c r="Q95" s="41" t="str">
        <x:v>2026-05-22</x:v>
      </x:c>
    </x:row>
    <x:row r="96">
      <x:c r="A96" s="41" t="n">
        <x:v>95</x:v>
      </x:c>
      <x:c r="B96" s="41" t="str">
        <x:v>HYP_REFINE_AUTO002_TOPN_6_V1_DDGRID_EXT_R12_C26_E66_CR50_REDD_RECOVERED_DD12_SL20</x:v>
      </x:c>
      <x:c r="C96" s="41" t="str">
        <x:v>dd_guard_grid</x:v>
      </x:c>
      <x:c r="D96" s="41" t="n">
        <x:v>0.485389</x:v>
      </x:c>
      <x:c r="E96" s="41" t="n">
        <x:v>0.120454</x:v>
      </x:c>
      <x:c r="F96" s="41" t="n">
        <x:v>0.364935</x:v>
      </x:c>
      <x:c r="G96" s="41" t="n">
        <x:v>14.9078</x:v>
      </x:c>
      <x:c r="H96" s="41" t="n">
        <x:v>6.8025</x:v>
      </x:c>
      <x:c r="I96" s="41" t="n">
        <x:v>8.1053</x:v>
      </x:c>
      <x:c r="J96" s="41" t="n">
        <x:v>-30.713</x:v>
      </x:c>
      <x:c r="K96" s="41" t="n">
        <x:v>-56.4737</x:v>
      </x:c>
      <x:c r="L96" s="41" t="n">
        <x:v>25.7606</x:v>
      </x:c>
      <x:c r="M96" s="41" t="n">
        <x:v>4390.3135</x:v>
      </x:c>
      <x:c r="N96" s="41" t="n">
        <x:v>506.0574</x:v>
      </x:c>
      <x:c r="O96" s="41" t="n">
        <x:v>10366</x:v>
      </x:c>
      <x:c r="P96" s="41" t="str">
        <x:v>1999-01-04</x:v>
      </x:c>
      <x:c r="Q96" s="41" t="str">
        <x:v>2026-05-22</x:v>
      </x:c>
    </x:row>
    <x:row r="97">
      <x:c r="A97" s="41" t="n">
        <x:v>96</x:v>
      </x:c>
      <x:c r="B97" s="41" t="str">
        <x:v>HYP_REFINE_AUTO002_TOPN_6_V1_DDGRID_EXT_R12_C26_E75_CR50_REDD_RECOVERED_DD8_SL18</x:v>
      </x:c>
      <x:c r="C97" s="41" t="str">
        <x:v>dd_guard_grid</x:v>
      </x:c>
      <x:c r="D97" s="41" t="n">
        <x:v>0.485148</x:v>
      </x:c>
      <x:c r="E97" s="41" t="n">
        <x:v>0.120454</x:v>
      </x:c>
      <x:c r="F97" s="41" t="n">
        <x:v>0.364694</x:v>
      </x:c>
      <x:c r="G97" s="41" t="n">
        <x:v>15.0579</x:v>
      </x:c>
      <x:c r="H97" s="41" t="n">
        <x:v>6.8025</x:v>
      </x:c>
      <x:c r="I97" s="41" t="n">
        <x:v>8.2555</x:v>
      </x:c>
      <x:c r="J97" s="41" t="n">
        <x:v>-31.0378</x:v>
      </x:c>
      <x:c r="K97" s="41" t="n">
        <x:v>-56.4737</x:v>
      </x:c>
      <x:c r="L97" s="41" t="n">
        <x:v>25.4359</x:v>
      </x:c>
      <x:c r="M97" s="41" t="n">
        <x:v>4553.7638</x:v>
      </x:c>
      <x:c r="N97" s="41" t="n">
        <x:v>506.0574</x:v>
      </x:c>
      <x:c r="O97" s="41" t="n">
        <x:v>11144</x:v>
      </x:c>
      <x:c r="P97" s="41" t="str">
        <x:v>1999-01-04</x:v>
      </x:c>
      <x:c r="Q97" s="41" t="str">
        <x:v>2026-05-22</x:v>
      </x:c>
    </x:row>
    <x:row r="98">
      <x:c r="A98" s="41" t="n">
        <x:v>97</x:v>
      </x:c>
      <x:c r="B98" s="41" t="str">
        <x:v>HYP_REFINE_AUTO002_TOPN_6_V1_DDGRID_EXT_R12_C25_E66_CR50_REDD_RECOVERED_DD6_SL25</x:v>
      </x:c>
      <x:c r="C98" s="41" t="str">
        <x:v>dd_guard_grid</x:v>
      </x:c>
      <x:c r="D98" s="41" t="n">
        <x:v>0.485056</x:v>
      </x:c>
      <x:c r="E98" s="41" t="n">
        <x:v>0.120454</x:v>
      </x:c>
      <x:c r="F98" s="41" t="n">
        <x:v>0.364602</x:v>
      </x:c>
      <x:c r="G98" s="41" t="n">
        <x:v>14.2599</x:v>
      </x:c>
      <x:c r="H98" s="41" t="n">
        <x:v>6.8025</x:v>
      </x:c>
      <x:c r="I98" s="41" t="n">
        <x:v>7.4574</x:v>
      </x:c>
      <x:c r="J98" s="41" t="n">
        <x:v>-29.3985</x:v>
      </x:c>
      <x:c r="K98" s="41" t="n">
        <x:v>-56.4737</x:v>
      </x:c>
      <x:c r="L98" s="41" t="n">
        <x:v>27.0752</x:v>
      </x:c>
      <x:c r="M98" s="41" t="n">
        <x:v>3746.3369</x:v>
      </x:c>
      <x:c r="N98" s="41" t="n">
        <x:v>506.0574</x:v>
      </x:c>
      <x:c r="O98" s="41" t="n">
        <x:v>11952</x:v>
      </x:c>
      <x:c r="P98" s="41" t="str">
        <x:v>1999-01-04</x:v>
      </x:c>
      <x:c r="Q98" s="41" t="str">
        <x:v>2026-05-22</x:v>
      </x:c>
    </x:row>
    <x:row r="99">
      <x:c r="A99" s="41" t="n">
        <x:v>98</x:v>
      </x:c>
      <x:c r="B99" s="41" t="str">
        <x:v>HYP_REFINE_AUTO002_TOPN_6_V1_DDGRID_EXT_R12_C26_E75_CR50_REDD_RECOVERED_DD12_SL18</x:v>
      </x:c>
      <x:c r="C99" s="41" t="str">
        <x:v>dd_guard_grid</x:v>
      </x:c>
      <x:c r="D99" s="41" t="n">
        <x:v>0.484757</x:v>
      </x:c>
      <x:c r="E99" s="41" t="n">
        <x:v>0.120454</x:v>
      </x:c>
      <x:c r="F99" s="41" t="n">
        <x:v>0.364304</x:v>
      </x:c>
      <x:c r="G99" s="41" t="n">
        <x:v>15.0458</x:v>
      </x:c>
      <x:c r="H99" s="41" t="n">
        <x:v>6.8025</x:v>
      </x:c>
      <x:c r="I99" s="41" t="n">
        <x:v>8.2433</x:v>
      </x:c>
      <x:c r="J99" s="41" t="n">
        <x:v>-31.0378</x:v>
      </x:c>
      <x:c r="K99" s="41" t="n">
        <x:v>-56.4737</x:v>
      </x:c>
      <x:c r="L99" s="41" t="n">
        <x:v>25.4359</x:v>
      </x:c>
      <x:c r="M99" s="41" t="n">
        <x:v>4540.3456</x:v>
      </x:c>
      <x:c r="N99" s="41" t="n">
        <x:v>506.0574</x:v>
      </x:c>
      <x:c r="O99" s="41" t="n">
        <x:v>10123</x:v>
      </x:c>
      <x:c r="P99" s="41" t="str">
        <x:v>1999-01-04</x:v>
      </x:c>
      <x:c r="Q99" s="41" t="str">
        <x:v>2026-05-22</x:v>
      </x:c>
    </x:row>
    <x:row r="100">
      <x:c r="A100" s="41" t="n">
        <x:v>99</x:v>
      </x:c>
      <x:c r="B100" s="41" t="str">
        <x:v>HYP_REFINE_AUTO002_TOPN_6_V1_DDGRID_EXT_R12_C25_E60_CR50_REDD_RECOVERED_DD8_SL22</x:v>
      </x:c>
      <x:c r="C100" s="41" t="str">
        <x:v>dd_guard_grid</x:v>
      </x:c>
      <x:c r="D100" s="41" t="n">
        <x:v>0.484595</x:v>
      </x:c>
      <x:c r="E100" s="41" t="n">
        <x:v>0.120454</x:v>
      </x:c>
      <x:c r="F100" s="41" t="n">
        <x:v>0.364141</x:v>
      </x:c>
      <x:c r="G100" s="41" t="n">
        <x:v>13.6167</x:v>
      </x:c>
      <x:c r="H100" s="41" t="n">
        <x:v>6.8025</x:v>
      </x:c>
      <x:c r="I100" s="41" t="n">
        <x:v>6.8142</x:v>
      </x:c>
      <x:c r="J100" s="41" t="n">
        <x:v>-28.0991</x:v>
      </x:c>
      <x:c r="K100" s="41" t="n">
        <x:v>-56.4737</x:v>
      </x:c>
      <x:c r="L100" s="41" t="n">
        <x:v>28.3746</x:v>
      </x:c>
      <x:c r="M100" s="41" t="n">
        <x:v>3195.4922</x:v>
      </x:c>
      <x:c r="N100" s="41" t="n">
        <x:v>506.0574</x:v>
      </x:c>
      <x:c r="O100" s="41" t="n">
        <x:v>11610</x:v>
      </x:c>
      <x:c r="P100" s="41" t="str">
        <x:v>1999-01-04</x:v>
      </x:c>
      <x:c r="Q100" s="41" t="str">
        <x:v>2026-05-22</x:v>
      </x:c>
    </x:row>
    <x:row r="101">
      <x:c r="A101" s="41" t="n">
        <x:v>100</x:v>
      </x:c>
      <x:c r="B101" s="41" t="str">
        <x:v>HYP_REFINE_AUTO002_TOPN_6_V1_DDGRID_EXT_R12_C24_E60_CR40_REDD_RECOVERED_DD8_SL20</x:v>
      </x:c>
      <x:c r="C101" s="41" t="str">
        <x:v>dd_guard_grid</x:v>
      </x:c>
      <x:c r="D101" s="41" t="n">
        <x:v>0.484553</x:v>
      </x:c>
      <x:c r="E101" s="41" t="n">
        <x:v>0.120454</x:v>
      </x:c>
      <x:c r="F101" s="41" t="n">
        <x:v>0.364099</x:v>
      </x:c>
      <x:c r="G101" s="41" t="n">
        <x:v>13.6828</x:v>
      </x:c>
      <x:c r="H101" s="41" t="n">
        <x:v>6.8025</x:v>
      </x:c>
      <x:c r="I101" s="41" t="n">
        <x:v>6.8804</x:v>
      </x:c>
      <x:c r="J101" s="41" t="n">
        <x:v>-28.2381</x:v>
      </x:c>
      <x:c r="K101" s="41" t="n">
        <x:v>-56.4737</x:v>
      </x:c>
      <x:c r="L101" s="41" t="n">
        <x:v>28.2356</x:v>
      </x:c>
      <x:c r="M101" s="41" t="n">
        <x:v>3248.4496</x:v>
      </x:c>
      <x:c r="N101" s="41" t="n">
        <x:v>506.0574</x:v>
      </x:c>
      <x:c r="O101" s="41" t="n">
        <x:v>11508</x:v>
      </x:c>
      <x:c r="P101" s="41" t="str">
        <x:v>1999-01-04</x:v>
      </x:c>
      <x:c r="Q101" s="41" t="str">
        <x:v>2026-05-22</x:v>
      </x:c>
    </x:row>
    <x:row r="102">
      <x:c r="A102" s="41" t="n">
        <x:v>101</x:v>
      </x:c>
      <x:c r="B102" s="41" t="str">
        <x:v>HYP_REFINE_AUTO002_TOPN_6_V1_DDGRID_EXT_R12_C25_E75_CR50_REDD_RECOVERED_DD10_SL25</x:v>
      </x:c>
      <x:c r="C102" s="41" t="str">
        <x:v>dd_guard_grid</x:v>
      </x:c>
      <x:c r="D102" s="41" t="n">
        <x:v>0.483982</x:v>
      </x:c>
      <x:c r="E102" s="41" t="n">
        <x:v>0.120454</x:v>
      </x:c>
      <x:c r="F102" s="41" t="n">
        <x:v>0.363528</x:v>
      </x:c>
      <x:c r="G102" s="41" t="n">
        <x:v>14.847</x:v>
      </x:c>
      <x:c r="H102" s="41" t="n">
        <x:v>6.8025</x:v>
      </x:c>
      <x:c r="I102" s="41" t="n">
        <x:v>8.0445</x:v>
      </x:c>
      <x:c r="J102" s="41" t="n">
        <x:v>-30.6767</x:v>
      </x:c>
      <x:c r="K102" s="41" t="n">
        <x:v>-56.4737</x:v>
      </x:c>
      <x:c r="L102" s="41" t="n">
        <x:v>25.7969</x:v>
      </x:c>
      <x:c r="M102" s="41" t="n">
        <x:v>4325.7354</x:v>
      </x:c>
      <x:c r="N102" s="41" t="n">
        <x:v>506.0574</x:v>
      </x:c>
      <x:c r="O102" s="41" t="n">
        <x:v>10901</x:v>
      </x:c>
      <x:c r="P102" s="41" t="str">
        <x:v>1999-01-04</x:v>
      </x:c>
      <x:c r="Q102" s="41" t="str">
        <x:v>2026-05-22</x:v>
      </x:c>
    </x:row>
    <x:row r="103">
      <x:c r="A103" s="41" t="n">
        <x:v>102</x:v>
      </x:c>
      <x:c r="B103" s="41" t="str">
        <x:v>HYP_REFINE_AUTO002_TOPN_6_V1_DDGRID_EXT_R14_C25_E66_CR50_REDD_RECOVERED_DD8_SL20</x:v>
      </x:c>
      <x:c r="C103" s="41" t="str">
        <x:v>dd_guard_grid</x:v>
      </x:c>
      <x:c r="D103" s="41" t="n">
        <x:v>0.483891</x:v>
      </x:c>
      <x:c r="E103" s="41" t="n">
        <x:v>0.120454</x:v>
      </x:c>
      <x:c r="F103" s="41" t="n">
        <x:v>0.363437</x:v>
      </x:c>
      <x:c r="G103" s="41" t="n">
        <x:v>15.012</x:v>
      </x:c>
      <x:c r="H103" s="41" t="n">
        <x:v>6.8025</x:v>
      </x:c>
      <x:c r="I103" s="41" t="n">
        <x:v>8.2096</x:v>
      </x:c>
      <x:c r="J103" s="41" t="n">
        <x:v>-31.0236</x:v>
      </x:c>
      <x:c r="K103" s="41" t="n">
        <x:v>-56.4737</x:v>
      </x:c>
      <x:c r="L103" s="41" t="n">
        <x:v>25.4501</x:v>
      </x:c>
      <x:c r="M103" s="41" t="n">
        <x:v>4503.2108</x:v>
      </x:c>
      <x:c r="N103" s="41" t="n">
        <x:v>506.0574</x:v>
      </x:c>
      <x:c r="O103" s="41" t="n">
        <x:v>11092</x:v>
      </x:c>
      <x:c r="P103" s="41" t="str">
        <x:v>1999-01-04</x:v>
      </x:c>
      <x:c r="Q103" s="41" t="str">
        <x:v>2026-05-22</x:v>
      </x:c>
    </x:row>
    <x:row r="104">
      <x:c r="A104" s="41" t="n">
        <x:v>103</x:v>
      </x:c>
      <x:c r="B104" s="41" t="str">
        <x:v>HYP_REFINE_AUTO002_TOPN_6_V1_DDGRID_LONG_R12_C23_E75_CR45_REDD_RECOVERED_DD9_SL20</x:v>
      </x:c>
      <x:c r="C104" s="41" t="str">
        <x:v>dd_guard_grid</x:v>
      </x:c>
      <x:c r="D104" s="41" t="n">
        <x:v>0.483861</x:v>
      </x:c>
      <x:c r="E104" s="41" t="n">
        <x:v>0.120454</x:v>
      </x:c>
      <x:c r="F104" s="41" t="n">
        <x:v>0.363407</x:v>
      </x:c>
      <x:c r="G104" s="41" t="n">
        <x:v>13.9455</x:v>
      </x:c>
      <x:c r="H104" s="41" t="n">
        <x:v>6.8025</x:v>
      </x:c>
      <x:c r="I104" s="41" t="n">
        <x:v>7.143</x:v>
      </x:c>
      <x:c r="J104" s="41" t="n">
        <x:v>-28.8212</x:v>
      </x:c>
      <x:c r="K104" s="41" t="n">
        <x:v>-56.4737</x:v>
      </x:c>
      <x:c r="L104" s="41" t="n">
        <x:v>27.6525</x:v>
      </x:c>
      <x:c r="M104" s="41" t="n">
        <x:v>3466.8061</x:v>
      </x:c>
      <x:c r="N104" s="41" t="n">
        <x:v>506.0574</x:v>
      </x:c>
      <x:c r="O104" s="41" t="n">
        <x:v>11280</x:v>
      </x:c>
      <x:c r="P104" s="41" t="str">
        <x:v>1999-01-04</x:v>
      </x:c>
      <x:c r="Q104" s="41" t="str">
        <x:v>2026-05-22</x:v>
      </x:c>
    </x:row>
    <x:row r="105">
      <x:c r="A105" s="41" t="n">
        <x:v>104</x:v>
      </x:c>
      <x:c r="B105" s="41" t="str">
        <x:v>HYP_REFINE_AUTO002_TOPN_6_V1_DDGRID_EXT_R12_C24_E75_CR50_REDD_RECOVERED_DD6_SLNONE</x:v>
      </x:c>
      <x:c r="C105" s="41" t="str">
        <x:v>dd_guard_grid</x:v>
      </x:c>
      <x:c r="D105" s="41" t="n">
        <x:v>0.483341</x:v>
      </x:c>
      <x:c r="E105" s="41" t="n">
        <x:v>0.120454</x:v>
      </x:c>
      <x:c r="F105" s="41" t="n">
        <x:v>0.362888</x:v>
      </x:c>
      <x:c r="G105" s="41" t="n">
        <x:v>14.6394</x:v>
      </x:c>
      <x:c r="H105" s="41" t="n">
        <x:v>6.8025</x:v>
      </x:c>
      <x:c r="I105" s="41" t="n">
        <x:v>7.837</x:v>
      </x:c>
      <x:c r="J105" s="41" t="n">
        <x:v>-30.288</x:v>
      </x:c>
      <x:c r="K105" s="41" t="n">
        <x:v>-56.4737</x:v>
      </x:c>
      <x:c r="L105" s="41" t="n">
        <x:v>26.1857</x:v>
      </x:c>
      <x:c r="M105" s="41" t="n">
        <x:v>4111.8946</x:v>
      </x:c>
      <x:c r="N105" s="41" t="n">
        <x:v>506.0574</x:v>
      </x:c>
      <x:c r="O105" s="41" t="n">
        <x:v>11915</x:v>
      </x:c>
      <x:c r="P105" s="41" t="str">
        <x:v>1999-01-04</x:v>
      </x:c>
      <x:c r="Q105" s="41" t="str">
        <x:v>2026-05-22</x:v>
      </x:c>
    </x:row>
    <x:row r="106">
      <x:c r="A106" s="41" t="n">
        <x:v>105</x:v>
      </x:c>
      <x:c r="B106" s="41" t="str">
        <x:v>HYP_REFINE_AUTO002_TOPN_6_V1_DDGRID_EXT_R12_C24_E66_CR40_REDD_RECOVERED_DD10_SL20</x:v>
      </x:c>
      <x:c r="C106" s="41" t="str">
        <x:v>dd_guard_grid</x:v>
      </x:c>
      <x:c r="D106" s="41" t="n">
        <x:v>0.48317</x:v>
      </x:c>
      <x:c r="E106" s="41" t="n">
        <x:v>0.120454</x:v>
      </x:c>
      <x:c r="F106" s="41" t="n">
        <x:v>0.362716</x:v>
      </x:c>
      <x:c r="G106" s="41" t="n">
        <x:v>13.9639</x:v>
      </x:c>
      <x:c r="H106" s="41" t="n">
        <x:v>6.8025</x:v>
      </x:c>
      <x:c r="I106" s="41" t="n">
        <x:v>7.1614</x:v>
      </x:c>
      <x:c r="J106" s="41" t="n">
        <x:v>-28.9006</x:v>
      </x:c>
      <x:c r="K106" s="41" t="n">
        <x:v>-56.4737</x:v>
      </x:c>
      <x:c r="L106" s="41" t="n">
        <x:v>27.5731</x:v>
      </x:c>
      <x:c r="M106" s="41" t="n">
        <x:v>3482.6425</x:v>
      </x:c>
      <x:c r="N106" s="41" t="n">
        <x:v>506.0574</x:v>
      </x:c>
      <x:c r="O106" s="41" t="n">
        <x:v>11100</x:v>
      </x:c>
      <x:c r="P106" s="41" t="str">
        <x:v>1999-01-04</x:v>
      </x:c>
      <x:c r="Q106" s="41" t="str">
        <x:v>2026-05-22</x:v>
      </x:c>
    </x:row>
    <x:row r="107">
      <x:c r="A107" s="41" t="n">
        <x:v>106</x:v>
      </x:c>
      <x:c r="B107" s="41" t="str">
        <x:v>HYP_REFINE_AUTO002_TOPN_6_V1_DDGRID_EXT_R14_C24_E75_CR50_REDD_RECOVERED_DD8_SL20</x:v>
      </x:c>
      <x:c r="C107" s="41" t="str">
        <x:v>dd_guard_grid</x:v>
      </x:c>
      <x:c r="D107" s="41" t="n">
        <x:v>0.482708</x:v>
      </x:c>
      <x:c r="E107" s="41" t="n">
        <x:v>0.120454</x:v>
      </x:c>
      <x:c r="F107" s="41" t="n">
        <x:v>0.362254</x:v>
      </x:c>
      <x:c r="G107" s="41" t="n">
        <x:v>14.8081</x:v>
      </x:c>
      <x:c r="H107" s="41" t="n">
        <x:v>6.8025</x:v>
      </x:c>
      <x:c r="I107" s="41" t="n">
        <x:v>8.0057</x:v>
      </x:c>
      <x:c r="J107" s="41" t="n">
        <x:v>-30.6772</x:v>
      </x:c>
      <x:c r="K107" s="41" t="n">
        <x:v>-56.4737</x:v>
      </x:c>
      <x:c r="L107" s="41" t="n">
        <x:v>25.7964</x:v>
      </x:c>
      <x:c r="M107" s="41" t="n">
        <x:v>4284.9265</x:v>
      </x:c>
      <x:c r="N107" s="41" t="n">
        <x:v>506.0574</x:v>
      </x:c>
      <x:c r="O107" s="41" t="n">
        <x:v>10853</x:v>
      </x:c>
      <x:c r="P107" s="41" t="str">
        <x:v>1999-01-04</x:v>
      </x:c>
      <x:c r="Q107" s="41" t="str">
        <x:v>2026-05-22</x:v>
      </x:c>
    </x:row>
    <x:row r="108">
      <x:c r="A108" s="41" t="n">
        <x:v>107</x:v>
      </x:c>
      <x:c r="B108" s="41" t="str">
        <x:v>HYP_REFINE_AUTO002_TOPN_6_V1_DDGRID_LONG_R12_C23_E72_CR45_REDD_RECOVERED_DD8_SL20</x:v>
      </x:c>
      <x:c r="C108" s="41" t="str">
        <x:v>dd_guard_grid</x:v>
      </x:c>
      <x:c r="D108" s="41" t="n">
        <x:v>0.482623</x:v>
      </x:c>
      <x:c r="E108" s="41" t="n">
        <x:v>0.120454</x:v>
      </x:c>
      <x:c r="F108" s="41" t="n">
        <x:v>0.362169</x:v>
      </x:c>
      <x:c r="G108" s="41" t="n">
        <x:v>13.7715</x:v>
      </x:c>
      <x:c r="H108" s="41" t="n">
        <x:v>6.8025</x:v>
      </x:c>
      <x:c r="I108" s="41" t="n">
        <x:v>6.969</x:v>
      </x:c>
      <x:c r="J108" s="41" t="n">
        <x:v>-28.5347</x:v>
      </x:c>
      <x:c r="K108" s="41" t="n">
        <x:v>-56.4737</x:v>
      </x:c>
      <x:c r="L108" s="41" t="n">
        <x:v>27.939</x:v>
      </x:c>
      <x:c r="M108" s="41" t="n">
        <x:v>3320.6963</x:v>
      </x:c>
      <x:c r="N108" s="41" t="n">
        <x:v>506.0574</x:v>
      </x:c>
      <x:c r="O108" s="41" t="n">
        <x:v>11535</x:v>
      </x:c>
      <x:c r="P108" s="41" t="str">
        <x:v>1999-01-04</x:v>
      </x:c>
      <x:c r="Q108" s="41" t="str">
        <x:v>2026-05-22</x:v>
      </x:c>
    </x:row>
    <x:row r="109">
      <x:c r="A109" s="41" t="n">
        <x:v>108</x:v>
      </x:c>
      <x:c r="B109" s="41" t="str">
        <x:v>HYP_REFINE_AUTO002_TOPN_6_V1_DDGRID_EXT_R12_C24_E75_CR50_REDD_RECOVERED_DD6_SL22</x:v>
      </x:c>
      <x:c r="C109" s="41" t="str">
        <x:v>dd_guard_grid</x:v>
      </x:c>
      <x:c r="D109" s="41" t="n">
        <x:v>0.482545</x:v>
      </x:c>
      <x:c r="E109" s="41" t="n">
        <x:v>0.120454</x:v>
      </x:c>
      <x:c r="F109" s="41" t="n">
        <x:v>0.362091</x:v>
      </x:c>
      <x:c r="G109" s="41" t="n">
        <x:v>14.4297</x:v>
      </x:c>
      <x:c r="H109" s="41" t="n">
        <x:v>6.8025</x:v>
      </x:c>
      <x:c r="I109" s="41" t="n">
        <x:v>7.6272</x:v>
      </x:c>
      <x:c r="J109" s="41" t="n">
        <x:v>-29.9033</x:v>
      </x:c>
      <x:c r="K109" s="41" t="n">
        <x:v>-56.4737</x:v>
      </x:c>
      <x:c r="L109" s="41" t="n">
        <x:v>26.5703</x:v>
      </x:c>
      <x:c r="M109" s="41" t="n">
        <x:v>3905.9254</x:v>
      </x:c>
      <x:c r="N109" s="41" t="n">
        <x:v>506.0574</x:v>
      </x:c>
      <x:c r="O109" s="41" t="n">
        <x:v>11873</x:v>
      </x:c>
      <x:c r="P109" s="41" t="str">
        <x:v>1999-01-04</x:v>
      </x:c>
      <x:c r="Q109" s="41" t="str">
        <x:v>2026-05-22</x:v>
      </x:c>
    </x:row>
    <x:row r="110">
      <x:c r="A110" s="41" t="n">
        <x:v>109</x:v>
      </x:c>
      <x:c r="B110" s="41" t="str">
        <x:v>HYP_REFINE_AUTO002_TOPN_6_V1_DDGRID_EXT_R12_C22_E75_CR50_REDD_RECOVERED_DD8_SL20</x:v>
      </x:c>
      <x:c r="C110" s="41" t="str">
        <x:v>dd_guard_grid</x:v>
      </x:c>
      <x:c r="D110" s="41" t="n">
        <x:v>0.482321</x:v>
      </x:c>
      <x:c r="E110" s="41" t="n">
        <x:v>0.120454</x:v>
      </x:c>
      <x:c r="F110" s="41" t="n">
        <x:v>0.361867</x:v>
      </x:c>
      <x:c r="G110" s="41" t="n">
        <x:v>14.5903</x:v>
      </x:c>
      <x:c r="H110" s="41" t="n">
        <x:v>6.8025</x:v>
      </x:c>
      <x:c r="I110" s="41" t="n">
        <x:v>7.7878</x:v>
      </x:c>
      <x:c r="J110" s="41" t="n">
        <x:v>-30.2501</x:v>
      </x:c>
      <x:c r="K110" s="41" t="n">
        <x:v>-56.4737</x:v>
      </x:c>
      <x:c r="L110" s="41" t="n">
        <x:v>26.2235</x:v>
      </x:c>
      <x:c r="M110" s="41" t="n">
        <x:v>4062.7391</x:v>
      </x:c>
      <x:c r="N110" s="41" t="n">
        <x:v>506.0574</x:v>
      </x:c>
      <x:c r="O110" s="41" t="n">
        <x:v>11037</x:v>
      </x:c>
      <x:c r="P110" s="41" t="str">
        <x:v>1999-01-04</x:v>
      </x:c>
      <x:c r="Q110" s="41" t="str">
        <x:v>2026-05-22</x:v>
      </x:c>
    </x:row>
    <x:row r="111">
      <x:c r="A111" s="41" t="n">
        <x:v>110</x:v>
      </x:c>
      <x:c r="B111" s="41" t="str">
        <x:v>HYP_REFINE_AUTO002_TOPN_6_V1_DDGRID_LONG_R12_C22_E75_CR50_REDD_RECOVERED_DD8_SL20</x:v>
      </x:c>
      <x:c r="C111" s="41" t="str">
        <x:v>dd_guard_grid</x:v>
      </x:c>
      <x:c r="D111" s="41" t="n">
        <x:v>0.482321</x:v>
      </x:c>
      <x:c r="E111" s="41" t="n">
        <x:v>0.120454</x:v>
      </x:c>
      <x:c r="F111" s="41" t="n">
        <x:v>0.361867</x:v>
      </x:c>
      <x:c r="G111" s="41" t="n">
        <x:v>14.5903</x:v>
      </x:c>
      <x:c r="H111" s="41" t="n">
        <x:v>6.8025</x:v>
      </x:c>
      <x:c r="I111" s="41" t="n">
        <x:v>7.7878</x:v>
      </x:c>
      <x:c r="J111" s="41" t="n">
        <x:v>-30.2501</x:v>
      </x:c>
      <x:c r="K111" s="41" t="n">
        <x:v>-56.4737</x:v>
      </x:c>
      <x:c r="L111" s="41" t="n">
        <x:v>26.2235</x:v>
      </x:c>
      <x:c r="M111" s="41" t="n">
        <x:v>4062.7391</x:v>
      </x:c>
      <x:c r="N111" s="41" t="n">
        <x:v>506.0574</x:v>
      </x:c>
      <x:c r="O111" s="41" t="n">
        <x:v>11037</x:v>
      </x:c>
      <x:c r="P111" s="41" t="str">
        <x:v>1999-01-04</x:v>
      </x:c>
      <x:c r="Q111" s="41" t="str">
        <x:v>2026-05-22</x:v>
      </x:c>
    </x:row>
    <x:row r="112">
      <x:c r="A112" s="41" t="n">
        <x:v>111</x:v>
      </x:c>
      <x:c r="B112" s="41" t="str">
        <x:v>HYP_REFINE_AUTO002_TOPN_6_V1_DDGRID_EXT_R12_C22_E66_CR50_REDD_RECOVERED_DD8_SL22</x:v>
      </x:c>
      <x:c r="C112" s="41" t="str">
        <x:v>dd_guard_grid</x:v>
      </x:c>
      <x:c r="D112" s="41" t="n">
        <x:v>0.482279</x:v>
      </x:c>
      <x:c r="E112" s="41" t="n">
        <x:v>0.120454</x:v>
      </x:c>
      <x:c r="F112" s="41" t="n">
        <x:v>0.361825</x:v>
      </x:c>
      <x:c r="G112" s="41" t="n">
        <x:v>13.6065</x:v>
      </x:c>
      <x:c r="H112" s="41" t="n">
        <x:v>6.8025</x:v>
      </x:c>
      <x:c r="I112" s="41" t="n">
        <x:v>6.804</x:v>
      </x:c>
      <x:c r="J112" s="41" t="n">
        <x:v>-28.213</x:v>
      </x:c>
      <x:c r="K112" s="41" t="n">
        <x:v>-56.4737</x:v>
      </x:c>
      <x:c r="L112" s="41" t="n">
        <x:v>28.2607</x:v>
      </x:c>
      <x:c r="M112" s="41" t="n">
        <x:v>3187.4393</x:v>
      </x:c>
      <x:c r="N112" s="41" t="n">
        <x:v>506.0574</x:v>
      </x:c>
      <x:c r="O112" s="41" t="n">
        <x:v>11573</x:v>
      </x:c>
      <x:c r="P112" s="41" t="str">
        <x:v>1999-01-04</x:v>
      </x:c>
      <x:c r="Q112" s="41" t="str">
        <x:v>2026-05-22</x:v>
      </x:c>
    </x:row>
    <x:row r="113">
      <x:c r="A113" s="41" t="n">
        <x:v>112</x:v>
      </x:c>
      <x:c r="B113" s="41" t="str">
        <x:v>HYP_REFINE_AUTO002_TOPN_6_V1_DDGRID_EXT_R12_C24_E60_CR50_REDD_RECOVERED_DD8_SL20</x:v>
      </x:c>
      <x:c r="C113" s="41" t="str">
        <x:v>dd_guard_grid</x:v>
      </x:c>
      <x:c r="D113" s="41" t="n">
        <x:v>0.482091</x:v>
      </x:c>
      <x:c r="E113" s="41" t="n">
        <x:v>0.120454</x:v>
      </x:c>
      <x:c r="F113" s="41" t="n">
        <x:v>0.361638</x:v>
      </x:c>
      <x:c r="G113" s="41" t="n">
        <x:v>13.7215</x:v>
      </x:c>
      <x:c r="H113" s="41" t="n">
        <x:v>6.8025</x:v>
      </x:c>
      <x:c r="I113" s="41" t="n">
        <x:v>6.919</x:v>
      </x:c>
      <x:c r="J113" s="41" t="n">
        <x:v>-28.4624</x:v>
      </x:c>
      <x:c r="K113" s="41" t="n">
        <x:v>-56.4737</x:v>
      </x:c>
      <x:c r="L113" s="41" t="n">
        <x:v>28.0113</x:v>
      </x:c>
      <x:c r="M113" s="41" t="n">
        <x:v>3279.7484</x:v>
      </x:c>
      <x:c r="N113" s="41" t="n">
        <x:v>506.0574</x:v>
      </x:c>
      <x:c r="O113" s="41" t="n">
        <x:v>11462</x:v>
      </x:c>
      <x:c r="P113" s="41" t="str">
        <x:v>1999-01-04</x:v>
      </x:c>
      <x:c r="Q113" s="41" t="str">
        <x:v>2026-05-22</x:v>
      </x:c>
    </x:row>
    <x:row r="114">
      <x:c r="A114" s="41" t="n">
        <x:v>113</x:v>
      </x:c>
      <x:c r="B114" s="41" t="str">
        <x:v>HYP_REFINE_AUTO002_TOPN_6_V1_DDGRID_EXT_R12_C22_E75_CR50_REDD_RECOVERED_DD8_SL22</x:v>
      </x:c>
      <x:c r="C114" s="41" t="str">
        <x:v>dd_guard_grid</x:v>
      </x:c>
      <x:c r="D114" s="41" t="n">
        <x:v>0.481909</x:v>
      </x:c>
      <x:c r="E114" s="41" t="n">
        <x:v>0.120454</x:v>
      </x:c>
      <x:c r="F114" s="41" t="n">
        <x:v>0.361455</x:v>
      </x:c>
      <x:c r="G114" s="41" t="n">
        <x:v>14.51</x:v>
      </x:c>
      <x:c r="H114" s="41" t="n">
        <x:v>6.8025</x:v>
      </x:c>
      <x:c r="I114" s="41" t="n">
        <x:v>7.7075</x:v>
      </x:c>
      <x:c r="J114" s="41" t="n">
        <x:v>-30.1094</x:v>
      </x:c>
      <x:c r="K114" s="41" t="n">
        <x:v>-56.4737</x:v>
      </x:c>
      <x:c r="L114" s="41" t="n">
        <x:v>26.3643</x:v>
      </x:c>
      <x:c r="M114" s="41" t="n">
        <x:v>3983.6148</x:v>
      </x:c>
      <x:c r="N114" s="41" t="n">
        <x:v>506.0574</x:v>
      </x:c>
      <x:c r="O114" s="41" t="n">
        <x:v>11312</x:v>
      </x:c>
      <x:c r="P114" s="41" t="str">
        <x:v>1999-01-04</x:v>
      </x:c>
      <x:c r="Q114" s="41" t="str">
        <x:v>2026-05-22</x:v>
      </x:c>
    </x:row>
    <x:row r="115">
      <x:c r="A115" s="41" t="n">
        <x:v>114</x:v>
      </x:c>
      <x:c r="B115" s="41" t="str">
        <x:v>HYP_REFINE_AUTO002_TOPN_6_V1_DDGRID_EXT_R12_C28_E66_CR50_REDD_RECOVERED_DD8_SL20</x:v>
      </x:c>
      <x:c r="C115" s="41" t="str">
        <x:v>dd_guard_grid</x:v>
      </x:c>
      <x:c r="D115" s="41" t="n">
        <x:v>0.481905</x:v>
      </x:c>
      <x:c r="E115" s="41" t="n">
        <x:v>0.120454</x:v>
      </x:c>
      <x:c r="F115" s="41" t="n">
        <x:v>0.361451</x:v>
      </x:c>
      <x:c r="G115" s="41" t="n">
        <x:v>14.9384</x:v>
      </x:c>
      <x:c r="H115" s="41" t="n">
        <x:v>6.8025</x:v>
      </x:c>
      <x:c r="I115" s="41" t="n">
        <x:v>8.136</x:v>
      </x:c>
      <x:c r="J115" s="41" t="n">
        <x:v>-30.9987</x:v>
      </x:c>
      <x:c r="K115" s="41" t="n">
        <x:v>-56.4737</x:v>
      </x:c>
      <x:c r="L115" s="41" t="n">
        <x:v>25.4749</x:v>
      </x:c>
      <x:c r="M115" s="41" t="n">
        <x:v>4423.2435</x:v>
      </x:c>
      <x:c r="N115" s="41" t="n">
        <x:v>506.0574</x:v>
      </x:c>
      <x:c r="O115" s="41" t="n">
        <x:v>11511</x:v>
      </x:c>
      <x:c r="P115" s="41" t="str">
        <x:v>1999-01-04</x:v>
      </x:c>
      <x:c r="Q115" s="41" t="str">
        <x:v>2026-05-22</x:v>
      </x:c>
    </x:row>
    <x:row r="116">
      <x:c r="A116" s="41" t="n">
        <x:v>115</x:v>
      </x:c>
      <x:c r="B116" s="41" t="str">
        <x:v>HYP_REFINE_AUTO002_TOPN_6_V1_DDGRID_EXT_R12_C25_E66_CR50_REDD_RECOVERED_DD6_SL20</x:v>
      </x:c>
      <x:c r="C116" s="41" t="str">
        <x:v>dd_guard_grid</x:v>
      </x:c>
      <x:c r="D116" s="41" t="n">
        <x:v>0.481855</x:v>
      </x:c>
      <x:c r="E116" s="41" t="n">
        <x:v>0.120454</x:v>
      </x:c>
      <x:c r="F116" s="41" t="n">
        <x:v>0.361401</x:v>
      </x:c>
      <x:c r="G116" s="41" t="n">
        <x:v>14.4206</x:v>
      </x:c>
      <x:c r="H116" s="41" t="n">
        <x:v>6.8025</x:v>
      </x:c>
      <x:c r="I116" s="41" t="n">
        <x:v>7.6181</x:v>
      </x:c>
      <x:c r="J116" s="41" t="n">
        <x:v>-29.9272</x:v>
      </x:c>
      <x:c r="K116" s="41" t="n">
        <x:v>-56.4737</x:v>
      </x:c>
      <x:c r="L116" s="41" t="n">
        <x:v>26.5464</x:v>
      </x:c>
      <x:c r="M116" s="41" t="n">
        <x:v>3897.2193</x:v>
      </x:c>
      <x:c r="N116" s="41" t="n">
        <x:v>506.0574</x:v>
      </x:c>
      <x:c r="O116" s="41" t="n">
        <x:v>11601</x:v>
      </x:c>
      <x:c r="P116" s="41" t="str">
        <x:v>1999-01-04</x:v>
      </x:c>
      <x:c r="Q116" s="41" t="str">
        <x:v>2026-05-22</x:v>
      </x:c>
    </x:row>
    <x:row r="117">
      <x:c r="A117" s="41" t="n">
        <x:v>116</x:v>
      </x:c>
      <x:c r="B117" s="41" t="str">
        <x:v>HYP_REFINE_AUTO002_TOPN_6_V1_DDGRID_EXT_R12_C24_E60_CR50_REDD_RECOVERED_DD8_SL22</x:v>
      </x:c>
      <x:c r="C117" s="41" t="str">
        <x:v>dd_guard_grid</x:v>
      </x:c>
      <x:c r="D117" s="41" t="n">
        <x:v>0.481321</x:v>
      </x:c>
      <x:c r="E117" s="41" t="n">
        <x:v>0.120454</x:v>
      </x:c>
      <x:c r="F117" s="41" t="n">
        <x:v>0.360867</x:v>
      </x:c>
      <x:c r="G117" s="41" t="n">
        <x:v>13.6254</x:v>
      </x:c>
      <x:c r="H117" s="41" t="n">
        <x:v>6.8025</x:v>
      </x:c>
      <x:c r="I117" s="41" t="n">
        <x:v>6.8229</x:v>
      </x:c>
      <x:c r="J117" s="41" t="n">
        <x:v>-28.3082</x:v>
      </x:c>
      <x:c r="K117" s="41" t="n">
        <x:v>-56.4737</x:v>
      </x:c>
      <x:c r="L117" s="41" t="n">
        <x:v>28.1654</x:v>
      </x:c>
      <x:c r="M117" s="41" t="n">
        <x:v>3202.4058</x:v>
      </x:c>
      <x:c r="N117" s="41" t="n">
        <x:v>506.0574</x:v>
      </x:c>
      <x:c r="O117" s="41" t="n">
        <x:v>11564</x:v>
      </x:c>
      <x:c r="P117" s="41" t="str">
        <x:v>1999-01-04</x:v>
      </x:c>
      <x:c r="Q117" s="41" t="str">
        <x:v>2026-05-22</x:v>
      </x:c>
    </x:row>
    <x:row r="118">
      <x:c r="A118" s="41" t="n">
        <x:v>117</x:v>
      </x:c>
      <x:c r="B118" s="41" t="str">
        <x:v>HYP_REFINE_AUTO002_TOPN_6_V1_DDGRID_LONG_R12_C21_E75_CR45_REDD_RECOVERED_DD8_SL22</x:v>
      </x:c>
      <x:c r="C118" s="41" t="str">
        <x:v>dd_guard_grid</x:v>
      </x:c>
      <x:c r="D118" s="41" t="n">
        <x:v>0.481271</x:v>
      </x:c>
      <x:c r="E118" s="41" t="n">
        <x:v>0.120454</x:v>
      </x:c>
      <x:c r="F118" s="41" t="n">
        <x:v>0.360817</x:v>
      </x:c>
      <x:c r="G118" s="41" t="n">
        <x:v>14.0227</x:v>
      </x:c>
      <x:c r="H118" s="41" t="n">
        <x:v>6.8025</x:v>
      </x:c>
      <x:c r="I118" s="41" t="n">
        <x:v>7.2202</x:v>
      </x:c>
      <x:c r="J118" s="41" t="n">
        <x:v>-29.1368</x:v>
      </x:c>
      <x:c r="K118" s="41" t="n">
        <x:v>-56.4737</x:v>
      </x:c>
      <x:c r="L118" s="41" t="n">
        <x:v>27.3369</x:v>
      </x:c>
      <x:c r="M118" s="41" t="n">
        <x:v>3533.6021</x:v>
      </x:c>
      <x:c r="N118" s="41" t="n">
        <x:v>506.0574</x:v>
      </x:c>
      <x:c r="O118" s="41" t="n">
        <x:v>11597</x:v>
      </x:c>
      <x:c r="P118" s="41" t="str">
        <x:v>1999-01-04</x:v>
      </x:c>
      <x:c r="Q118" s="41" t="str">
        <x:v>2026-05-22</x:v>
      </x:c>
    </x:row>
    <x:row r="119">
      <x:c r="A119" s="41" t="n">
        <x:v>118</x:v>
      </x:c>
      <x:c r="B119" s="41" t="str">
        <x:v>HYP_REFINE_AUTO002_TOPN_6_V1_DDGRID_EXT_R12_C22_E75_CR50_REDD_RECOVERED_DD8_SL25</x:v>
      </x:c>
      <x:c r="C119" s="41" t="str">
        <x:v>dd_guard_grid</x:v>
      </x:c>
      <x:c r="D119" s="41" t="n">
        <x:v>0.48112</x:v>
      </x:c>
      <x:c r="E119" s="41" t="n">
        <x:v>0.120454</x:v>
      </x:c>
      <x:c r="F119" s="41" t="n">
        <x:v>0.360666</x:v>
      </x:c>
      <x:c r="G119" s="41" t="n">
        <x:v>14.4865</x:v>
      </x:c>
      <x:c r="H119" s="41" t="n">
        <x:v>6.8025</x:v>
      </x:c>
      <x:c r="I119" s="41" t="n">
        <x:v>7.684</x:v>
      </x:c>
      <x:c r="J119" s="41" t="n">
        <x:v>-30.1099</x:v>
      </x:c>
      <x:c r="K119" s="41" t="n">
        <x:v>-56.4737</x:v>
      </x:c>
      <x:c r="L119" s="41" t="n">
        <x:v>26.3638</x:v>
      </x:c>
      <x:c r="M119" s="41" t="n">
        <x:v>3960.701</x:v>
      </x:c>
      <x:c r="N119" s="41" t="n">
        <x:v>506.0574</x:v>
      </x:c>
      <x:c r="O119" s="41" t="n">
        <x:v>11327</x:v>
      </x:c>
      <x:c r="P119" s="41" t="str">
        <x:v>1999-01-04</x:v>
      </x:c>
      <x:c r="Q119" s="41" t="str">
        <x:v>2026-05-22</x:v>
      </x:c>
    </x:row>
    <x:row r="120">
      <x:c r="A120" s="41" t="n">
        <x:v>119</x:v>
      </x:c>
      <x:c r="B120" s="41" t="str">
        <x:v>HYP_REFINE_AUTO002_TOPN_6_V1_DDGRID_LONG_R12_C22_E75_CR42_REDD_RECOVERED_DD8_SLNONE</x:v>
      </x:c>
      <x:c r="C120" s="41" t="str">
        <x:v>dd_guard_grid</x:v>
      </x:c>
      <x:c r="D120" s="41" t="n">
        <x:v>0.480841</x:v>
      </x:c>
      <x:c r="E120" s="41" t="n">
        <x:v>0.120454</x:v>
      </x:c>
      <x:c r="F120" s="41" t="n">
        <x:v>0.360387</x:v>
      </x:c>
      <x:c r="G120" s="41" t="n">
        <x:v>13.9986</x:v>
      </x:c>
      <x:c r="H120" s="41" t="n">
        <x:v>6.8025</x:v>
      </x:c>
      <x:c r="I120" s="41" t="n">
        <x:v>7.1961</x:v>
      </x:c>
      <x:c r="J120" s="41" t="n">
        <x:v>-29.1127</x:v>
      </x:c>
      <x:c r="K120" s="41" t="n">
        <x:v>-56.4737</x:v>
      </x:c>
      <x:c r="L120" s="41" t="n">
        <x:v>27.3609</x:v>
      </x:c>
      <x:c r="M120" s="41" t="n">
        <x:v>3512.6303</x:v>
      </x:c>
      <x:c r="N120" s="41" t="n">
        <x:v>506.0574</x:v>
      </x:c>
      <x:c r="O120" s="41" t="n">
        <x:v>11797</x:v>
      </x:c>
      <x:c r="P120" s="41" t="str">
        <x:v>1999-01-04</x:v>
      </x:c>
      <x:c r="Q120" s="41" t="str">
        <x:v>2026-05-22</x:v>
      </x:c>
    </x:row>
    <x:row r="121">
      <x:c r="A121" s="41" t="n">
        <x:v>120</x:v>
      </x:c>
      <x:c r="B121" s="41" t="str">
        <x:v>HYP_REFINE_AUTO002_TOPN_6_V1_DDGRID_EXT_R12_C25_E66_CR50_REDD_RECOVERED_DD10_SL20</x:v>
      </x:c>
      <x:c r="C121" s="41" t="str">
        <x:v>dd_guard_grid</x:v>
      </x:c>
      <x:c r="D121" s="41" t="n">
        <x:v>0.480812</x:v>
      </x:c>
      <x:c r="E121" s="41" t="n">
        <x:v>0.120454</x:v>
      </x:c>
      <x:c r="F121" s="41" t="n">
        <x:v>0.360358</x:v>
      </x:c>
      <x:c r="G121" s="41" t="n">
        <x:v>14.3894</x:v>
      </x:c>
      <x:c r="H121" s="41" t="n">
        <x:v>6.8025</x:v>
      </x:c>
      <x:c r="I121" s="41" t="n">
        <x:v>7.5869</x:v>
      </x:c>
      <x:c r="J121" s="41" t="n">
        <x:v>-29.9272</x:v>
      </x:c>
      <x:c r="K121" s="41" t="n">
        <x:v>-56.4737</x:v>
      </x:c>
      <x:c r="L121" s="41" t="n">
        <x:v>26.5464</x:v>
      </x:c>
      <x:c r="M121" s="41" t="n">
        <x:v>3867.4556</x:v>
      </x:c>
      <x:c r="N121" s="41" t="n">
        <x:v>506.0574</x:v>
      </x:c>
      <x:c r="O121" s="41" t="n">
        <x:v>10919</x:v>
      </x:c>
      <x:c r="P121" s="41" t="str">
        <x:v>1999-01-04</x:v>
      </x:c>
      <x:c r="Q121" s="41" t="str">
        <x:v>2026-05-22</x:v>
      </x:c>
    </x:row>
    <x:row r="122">
      <x:c r="A122" s="41" t="n">
        <x:v>121</x:v>
      </x:c>
      <x:c r="B122" s="41" t="str">
        <x:v>HYP_REFINE_AUTO002_TOPN_6_V1_DDGRID_EXT_FINE_R14_C25_E75_CR50_REDD_RECOVERED_DD8_SL20</x:v>
      </x:c>
      <x:c r="C122" s="41" t="str">
        <x:v>dd_guard_grid</x:v>
      </x:c>
      <x:c r="D122" s="41" t="n">
        <x:v>0.480782</x:v>
      </x:c>
      <x:c r="E122" s="41" t="n">
        <x:v>0.120454</x:v>
      </x:c>
      <x:c r="F122" s="41" t="n">
        <x:v>0.360328</x:v>
      </x:c>
      <x:c r="G122" s="41" t="n">
        <x:v>15.0546</x:v>
      </x:c>
      <x:c r="H122" s="41" t="n">
        <x:v>6.8025</x:v>
      </x:c>
      <x:c r="I122" s="41" t="n">
        <x:v>8.2521</x:v>
      </x:c>
      <x:c r="J122" s="41" t="n">
        <x:v>-31.3126</x:v>
      </x:c>
      <x:c r="K122" s="41" t="n">
        <x:v>-56.4737</x:v>
      </x:c>
      <x:c r="L122" s="41" t="n">
        <x:v>25.161</x:v>
      </x:c>
      <x:c r="M122" s="41" t="n">
        <x:v>4550.0408</x:v>
      </x:c>
      <x:c r="N122" s="41" t="n">
        <x:v>506.0574</x:v>
      </x:c>
      <x:c r="O122" s="41" t="n">
        <x:v>10802</x:v>
      </x:c>
      <x:c r="P122" s="41" t="str">
        <x:v>1999-01-04</x:v>
      </x:c>
      <x:c r="Q122" s="41" t="str">
        <x:v>2026-05-22</x:v>
      </x:c>
    </x:row>
    <x:row r="123">
      <x:c r="A123" s="41" t="n">
        <x:v>122</x:v>
      </x:c>
      <x:c r="B123" s="41" t="str">
        <x:v>HYP_REFINE_AUTO002_TOPN_6_V1_DDGRID_EXT_R12_C24_E75_CR50_REDD_RECOVERED_DD6_SL25</x:v>
      </x:c>
      <x:c r="C123" s="41" t="str">
        <x:v>dd_guard_grid</x:v>
      </x:c>
      <x:c r="D123" s="41" t="n">
        <x:v>0.480713</x:v>
      </x:c>
      <x:c r="E123" s="41" t="n">
        <x:v>0.120454</x:v>
      </x:c>
      <x:c r="F123" s="41" t="n">
        <x:v>0.360259</x:v>
      </x:c>
      <x:c r="G123" s="41" t="n">
        <x:v>14.3603</x:v>
      </x:c>
      <x:c r="H123" s="41" t="n">
        <x:v>6.8025</x:v>
      </x:c>
      <x:c r="I123" s="41" t="n">
        <x:v>7.5579</x:v>
      </x:c>
      <x:c r="J123" s="41" t="n">
        <x:v>-29.873</x:v>
      </x:c>
      <x:c r="K123" s="41" t="n">
        <x:v>-56.4737</x:v>
      </x:c>
      <x:c r="L123" s="41" t="n">
        <x:v>26.6007</x:v>
      </x:c>
      <x:c r="M123" s="41" t="n">
        <x:v>3839.9912</x:v>
      </x:c>
      <x:c r="N123" s="41" t="n">
        <x:v>506.0574</x:v>
      </x:c>
      <x:c r="O123" s="41" t="n">
        <x:v>11952</x:v>
      </x:c>
      <x:c r="P123" s="41" t="str">
        <x:v>1999-01-04</x:v>
      </x:c>
      <x:c r="Q123" s="41" t="str">
        <x:v>2026-05-22</x:v>
      </x:c>
    </x:row>
    <x:row r="124">
      <x:c r="A124" s="41" t="n">
        <x:v>123</x:v>
      </x:c>
      <x:c r="B124" s="41" t="str">
        <x:v>HYP_REFINE_AUTO002_TOPN_6_V1_DDGRID_EXT_R12_C26_E75_CR50_REDD_RECOVERED_DD10_SL18</x:v>
      </x:c>
      <x:c r="C124" s="41" t="str">
        <x:v>dd_guard_grid</x:v>
      </x:c>
      <x:c r="D124" s="41" t="n">
        <x:v>0.480526</x:v>
      </x:c>
      <x:c r="E124" s="41" t="n">
        <x:v>0.120454</x:v>
      </x:c>
      <x:c r="F124" s="41" t="n">
        <x:v>0.360072</x:v>
      </x:c>
      <x:c r="G124" s="41" t="n">
        <x:v>14.9144</x:v>
      </x:c>
      <x:c r="H124" s="41" t="n">
        <x:v>6.8025</x:v>
      </x:c>
      <x:c r="I124" s="41" t="n">
        <x:v>8.112</x:v>
      </x:c>
      <x:c r="J124" s="41" t="n">
        <x:v>-31.0378</x:v>
      </x:c>
      <x:c r="K124" s="41" t="n">
        <x:v>-56.4737</x:v>
      </x:c>
      <x:c r="L124" s="41" t="n">
        <x:v>25.4359</x:v>
      </x:c>
      <x:c r="M124" s="41" t="n">
        <x:v>4397.4582</x:v>
      </x:c>
      <x:c r="N124" s="41" t="n">
        <x:v>506.0574</x:v>
      </x:c>
      <x:c r="O124" s="41" t="n">
        <x:v>10781</x:v>
      </x:c>
      <x:c r="P124" s="41" t="str">
        <x:v>1999-01-04</x:v>
      </x:c>
      <x:c r="Q124" s="41" t="str">
        <x:v>2026-05-22</x:v>
      </x:c>
    </x:row>
    <x:row r="125">
      <x:c r="A125" s="41" t="n">
        <x:v>124</x:v>
      </x:c>
      <x:c r="B125" s="41" t="str">
        <x:v>HYP_REFINE_AUTO002_TOPN_6_V1_DDGRID_EXT_R12_C25_E75_CR50_REDD_RECOVERED_DD10_SL18</x:v>
      </x:c>
      <x:c r="C125" s="41" t="str">
        <x:v>dd_guard_grid</x:v>
      </x:c>
      <x:c r="D125" s="41" t="n">
        <x:v>0.480523</x:v>
      </x:c>
      <x:c r="E125" s="41" t="n">
        <x:v>0.120454</x:v>
      </x:c>
      <x:c r="F125" s="41" t="n">
        <x:v>0.360069</x:v>
      </x:c>
      <x:c r="G125" s="41" t="n">
        <x:v>14.8393</x:v>
      </x:c>
      <x:c r="H125" s="41" t="n">
        <x:v>6.8025</x:v>
      </x:c>
      <x:c r="I125" s="41" t="n">
        <x:v>8.0368</x:v>
      </x:c>
      <x:c r="J125" s="41" t="n">
        <x:v>-30.8816</x:v>
      </x:c>
      <x:c r="K125" s="41" t="n">
        <x:v>-56.4737</x:v>
      </x:c>
      <x:c r="L125" s="41" t="n">
        <x:v>25.5921</x:v>
      </x:c>
      <x:c r="M125" s="41" t="n">
        <x:v>4317.6308</x:v>
      </x:c>
      <x:c r="N125" s="41" t="n">
        <x:v>506.0574</x:v>
      </x:c>
      <x:c r="O125" s="41" t="n">
        <x:v>10637</x:v>
      </x:c>
      <x:c r="P125" s="41" t="str">
        <x:v>1999-01-04</x:v>
      </x:c>
      <x:c r="Q125" s="41" t="str">
        <x:v>2026-05-22</x:v>
      </x:c>
    </x:row>
    <x:row r="126">
      <x:c r="A126" s="41" t="n">
        <x:v>125</x:v>
      </x:c>
      <x:c r="B126" s="41" t="str">
        <x:v>HYP_REFINE_AUTO002_TOPN_6_V1_DDGRID_LONG_R12_C23_E78_CR40_REDD_RECOVERED_DD8_SLNONE</x:v>
      </x:c>
      <x:c r="C126" s="41" t="str">
        <x:v>dd_guard_grid</x:v>
      </x:c>
      <x:c r="D126" s="41" t="n">
        <x:v>0.480301</x:v>
      </x:c>
      <x:c r="E126" s="41" t="n">
        <x:v>0.120454</x:v>
      </x:c>
      <x:c r="F126" s="41" t="n">
        <x:v>0.359847</x:v>
      </x:c>
      <x:c r="G126" s="41" t="n">
        <x:v>13.8628</x:v>
      </x:c>
      <x:c r="H126" s="41" t="n">
        <x:v>6.8025</x:v>
      </x:c>
      <x:c r="I126" s="41" t="n">
        <x:v>7.0603</x:v>
      </x:c>
      <x:c r="J126" s="41" t="n">
        <x:v>-28.8628</x:v>
      </x:c>
      <x:c r="K126" s="41" t="n">
        <x:v>-56.4737</x:v>
      </x:c>
      <x:c r="L126" s="41" t="n">
        <x:v>27.6109</x:v>
      </x:c>
      <x:c r="M126" s="41" t="n">
        <x:v>3396.6589</x:v>
      </x:c>
      <x:c r="N126" s="41" t="n">
        <x:v>506.0574</x:v>
      </x:c>
      <x:c r="O126" s="41" t="n">
        <x:v>12040</x:v>
      </x:c>
      <x:c r="P126" s="41" t="str">
        <x:v>1999-01-04</x:v>
      </x:c>
      <x:c r="Q126" s="41" t="str">
        <x:v>2026-05-22</x:v>
      </x:c>
    </x:row>
    <x:row r="127">
      <x:c r="A127" s="41" t="n">
        <x:v>126</x:v>
      </x:c>
      <x:c r="B127" s="41" t="str">
        <x:v>HYP_REFINE_AUTO002_TOPN_6_V1_DDGRID_EXT_R12_C24_E75_CR40_REDD_RECOVERED_DD8_SL25</x:v>
      </x:c>
      <x:c r="C127" s="41" t="str">
        <x:v>dd_guard_grid</x:v>
      </x:c>
      <x:c r="D127" s="41" t="n">
        <x:v>0.479728</x:v>
      </x:c>
      <x:c r="E127" s="41" t="n">
        <x:v>0.120454</x:v>
      </x:c>
      <x:c r="F127" s="41" t="n">
        <x:v>0.359275</x:v>
      </x:c>
      <x:c r="G127" s="41" t="n">
        <x:v>13.8627</x:v>
      </x:c>
      <x:c r="H127" s="41" t="n">
        <x:v>6.8025</x:v>
      </x:c>
      <x:c r="I127" s="41" t="n">
        <x:v>7.0603</x:v>
      </x:c>
      <x:c r="J127" s="41" t="n">
        <x:v>-28.897</x:v>
      </x:c>
      <x:c r="K127" s="41" t="n">
        <x:v>-56.4737</x:v>
      </x:c>
      <x:c r="L127" s="41" t="n">
        <x:v>27.5766</x:v>
      </x:c>
      <x:c r="M127" s="41" t="n">
        <x:v>3396.5834</x:v>
      </x:c>
      <x:c r="N127" s="41" t="n">
        <x:v>506.0574</x:v>
      </x:c>
      <x:c r="O127" s="41" t="n">
        <x:v>11474</x:v>
      </x:c>
      <x:c r="P127" s="41" t="str">
        <x:v>1999-01-04</x:v>
      </x:c>
      <x:c r="Q127" s="41" t="str">
        <x:v>2026-05-22</x:v>
      </x:c>
    </x:row>
    <x:row r="128">
      <x:c r="A128" s="41" t="n">
        <x:v>127</x:v>
      </x:c>
      <x:c r="B128" s="41" t="str">
        <x:v>HYP_REFINE_AUTO002_TOPN_6_V1_DDGRID_EXT_R10_C25_E75_CR50_REDD_RECOVERED_DD8_SL18</x:v>
      </x:c>
      <x:c r="C128" s="41" t="str">
        <x:v>dd_guard_grid</x:v>
      </x:c>
      <x:c r="D128" s="41" t="n">
        <x:v>0.479402</x:v>
      </x:c>
      <x:c r="E128" s="41" t="n">
        <x:v>0.120454</x:v>
      </x:c>
      <x:c r="F128" s="41" t="n">
        <x:v>0.358948</x:v>
      </x:c>
      <x:c r="G128" s="41" t="n">
        <x:v>14.8047</x:v>
      </x:c>
      <x:c r="H128" s="41" t="n">
        <x:v>6.8025</x:v>
      </x:c>
      <x:c r="I128" s="41" t="n">
        <x:v>8.0022</x:v>
      </x:c>
      <x:c r="J128" s="41" t="n">
        <x:v>-30.8816</x:v>
      </x:c>
      <x:c r="K128" s="41" t="n">
        <x:v>-56.4737</x:v>
      </x:c>
      <x:c r="L128" s="41" t="n">
        <x:v>25.5921</x:v>
      </x:c>
      <x:c r="M128" s="41" t="n">
        <x:v>4281.3322</x:v>
      </x:c>
      <x:c r="N128" s="41" t="n">
        <x:v>506.0574</x:v>
      </x:c>
      <x:c r="O128" s="41" t="n">
        <x:v>11300</x:v>
      </x:c>
      <x:c r="P128" s="41" t="str">
        <x:v>1999-01-04</x:v>
      </x:c>
      <x:c r="Q128" s="41" t="str">
        <x:v>2026-05-22</x:v>
      </x:c>
    </x:row>
    <x:row r="129">
      <x:c r="A129" s="41" t="n">
        <x:v>128</x:v>
      </x:c>
      <x:c r="B129" s="41" t="str">
        <x:v>HYP_REFINE_AUTO002_TOPN_6_V1_DDGRID_EXT_R12_C24_E75_CR50_REDD_RECOVERED_DD6_SL20</x:v>
      </x:c>
      <x:c r="C129" s="41" t="str">
        <x:v>dd_guard_grid</x:v>
      </x:c>
      <x:c r="D129" s="41" t="n">
        <x:v>0.478767</x:v>
      </x:c>
      <x:c r="E129" s="41" t="n">
        <x:v>0.120454</x:v>
      </x:c>
      <x:c r="F129" s="41" t="n">
        <x:v>0.358313</x:v>
      </x:c>
      <x:c r="G129" s="41" t="n">
        <x:v>14.3843</x:v>
      </x:c>
      <x:c r="H129" s="41" t="n">
        <x:v>6.8025</x:v>
      </x:c>
      <x:c r="I129" s="41" t="n">
        <x:v>7.5818</x:v>
      </x:c>
      <x:c r="J129" s="41" t="n">
        <x:v>-30.0445</x:v>
      </x:c>
      <x:c r="K129" s="41" t="n">
        <x:v>-56.4737</x:v>
      </x:c>
      <x:c r="L129" s="41" t="n">
        <x:v>26.4292</x:v>
      </x:c>
      <x:c r="M129" s="41" t="n">
        <x:v>3862.6518</x:v>
      </x:c>
      <x:c r="N129" s="41" t="n">
        <x:v>506.0574</x:v>
      </x:c>
      <x:c r="O129" s="41" t="n">
        <x:v>11556</x:v>
      </x:c>
      <x:c r="P129" s="41" t="str">
        <x:v>1999-01-04</x:v>
      </x:c>
      <x:c r="Q129" s="41" t="str">
        <x:v>2026-05-22</x:v>
      </x:c>
    </x:row>
    <x:row r="130">
      <x:c r="A130" s="41" t="n">
        <x:v>129</x:v>
      </x:c>
      <x:c r="B130" s="41" t="str">
        <x:v>HYP_REFINE_AUTO002_TOPN_6_V1_DDGRID_EXT_R12_C25_E75_CR50_REDD_RECOVERED_DD12_SL25</x:v>
      </x:c>
      <x:c r="C130" s="41" t="str">
        <x:v>dd_guard_grid</x:v>
      </x:c>
      <x:c r="D130" s="41" t="n">
        <x:v>0.478676</x:v>
      </x:c>
      <x:c r="E130" s="41" t="n">
        <x:v>0.120454</x:v>
      </x:c>
      <x:c r="F130" s="41" t="n">
        <x:v>0.358223</x:v>
      </x:c>
      <x:c r="G130" s="41" t="n">
        <x:v>14.6842</x:v>
      </x:c>
      <x:c r="H130" s="41" t="n">
        <x:v>6.8025</x:v>
      </x:c>
      <x:c r="I130" s="41" t="n">
        <x:v>7.8818</x:v>
      </x:c>
      <x:c r="J130" s="41" t="n">
        <x:v>-30.6767</x:v>
      </x:c>
      <x:c r="K130" s="41" t="n">
        <x:v>-56.4737</x:v>
      </x:c>
      <x:c r="L130" s="41" t="n">
        <x:v>25.7969</x:v>
      </x:c>
      <x:c r="M130" s="41" t="n">
        <x:v>4157.1936</x:v>
      </x:c>
      <x:c r="N130" s="41" t="n">
        <x:v>506.0574</x:v>
      </x:c>
      <x:c r="O130" s="41" t="n">
        <x:v>10173</x:v>
      </x:c>
      <x:c r="P130" s="41" t="str">
        <x:v>1999-01-04</x:v>
      </x:c>
      <x:c r="Q130" s="41" t="str">
        <x:v>2026-05-22</x:v>
      </x:c>
    </x:row>
    <x:row r="131">
      <x:c r="A131" s="41" t="n">
        <x:v>130</x:v>
      </x:c>
      <x:c r="B131" s="41" t="str">
        <x:v>HYP_REFINE_AUTO002_TOPN_6_V1_DDGRID_LONG_R12_C21_E78_CR45_REDD_RECOVERED_DD8_SL20</x:v>
      </x:c>
      <x:c r="C131" s="41" t="str">
        <x:v>dd_guard_grid</x:v>
      </x:c>
      <x:c r="D131" s="41" t="n">
        <x:v>0.478322</x:v>
      </x:c>
      <x:c r="E131" s="41" t="n">
        <x:v>0.120454</x:v>
      </x:c>
      <x:c r="F131" s="41" t="n">
        <x:v>0.357868</x:v>
      </x:c>
      <x:c r="G131" s="41" t="n">
        <x:v>14.0445</x:v>
      </x:c>
      <x:c r="H131" s="41" t="n">
        <x:v>6.8025</x:v>
      </x:c>
      <x:c r="I131" s="41" t="n">
        <x:v>7.242</x:v>
      </x:c>
      <x:c r="J131" s="41" t="n">
        <x:v>-29.3619</x:v>
      </x:c>
      <x:c r="K131" s="41" t="n">
        <x:v>-56.4737</x:v>
      </x:c>
      <x:c r="L131" s="41" t="n">
        <x:v>27.1117</x:v>
      </x:c>
      <x:c r="M131" s="41" t="n">
        <x:v>3552.6337</x:v>
      </x:c>
      <x:c r="N131" s="41" t="n">
        <x:v>506.0574</x:v>
      </x:c>
      <x:c r="O131" s="41" t="n">
        <x:v>11431</x:v>
      </x:c>
      <x:c r="P131" s="41" t="str">
        <x:v>1999-01-04</x:v>
      </x:c>
      <x:c r="Q131" s="41" t="str">
        <x:v>2026-05-22</x:v>
      </x:c>
    </x:row>
    <x:row r="132">
      <x:c r="A132" s="41" t="n">
        <x:v>131</x:v>
      </x:c>
      <x:c r="B132" s="41" t="str">
        <x:v>HYP_REFINE_AUTO002_TOPN_6_V1_DDGRID_EXT_R12_C26_E66_CR50_REDD_RECOVERED_DD8_SL22</x:v>
      </x:c>
      <x:c r="C132" s="41" t="str">
        <x:v>dd_guard_grid</x:v>
      </x:c>
      <x:c r="D132" s="41" t="n">
        <x:v>0.478289</x:v>
      </x:c>
      <x:c r="E132" s="41" t="n">
        <x:v>0.120454</x:v>
      </x:c>
      <x:c r="F132" s="41" t="n">
        <x:v>0.357835</x:v>
      </x:c>
      <x:c r="G132" s="41" t="n">
        <x:v>14.3994</x:v>
      </x:c>
      <x:c r="H132" s="41" t="n">
        <x:v>6.8025</x:v>
      </x:c>
      <x:c r="I132" s="41" t="n">
        <x:v>7.5969</x:v>
      </x:c>
      <x:c r="J132" s="41" t="n">
        <x:v>-30.106</x:v>
      </x:c>
      <x:c r="K132" s="41" t="n">
        <x:v>-56.4737</x:v>
      </x:c>
      <x:c r="L132" s="41" t="n">
        <x:v>26.3676</x:v>
      </x:c>
      <x:c r="M132" s="41" t="n">
        <x:v>3876.9897</x:v>
      </x:c>
      <x:c r="N132" s="41" t="n">
        <x:v>506.0574</x:v>
      </x:c>
      <x:c r="O132" s="41" t="n">
        <x:v>11539</x:v>
      </x:c>
      <x:c r="P132" s="41" t="str">
        <x:v>1999-01-04</x:v>
      </x:c>
      <x:c r="Q132" s="41" t="str">
        <x:v>2026-05-22</x:v>
      </x:c>
    </x:row>
    <x:row r="133">
      <x:c r="A133" s="41" t="n">
        <x:v>132</x:v>
      </x:c>
      <x:c r="B133" s="41" t="str">
        <x:v>HYP_REFINE_AUTO002_TOPN_6_V1_DDGRID_EXT_R12_C25_E66_CR50_REDD_RECOVERED_DD12_SL20</x:v>
      </x:c>
      <x:c r="C133" s="41" t="str">
        <x:v>dd_guard_grid</x:v>
      </x:c>
      <x:c r="D133" s="41" t="n">
        <x:v>0.477928</x:v>
      </x:c>
      <x:c r="E133" s="41" t="n">
        <x:v>0.120454</x:v>
      </x:c>
      <x:c r="F133" s="41" t="n">
        <x:v>0.357474</x:v>
      </x:c>
      <x:c r="G133" s="41" t="n">
        <x:v>14.3031</x:v>
      </x:c>
      <x:c r="H133" s="41" t="n">
        <x:v>6.8025</x:v>
      </x:c>
      <x:c r="I133" s="41" t="n">
        <x:v>7.5006</x:v>
      </x:c>
      <x:c r="J133" s="41" t="n">
        <x:v>-29.9272</x:v>
      </x:c>
      <x:c r="K133" s="41" t="n">
        <x:v>-56.4737</x:v>
      </x:c>
      <x:c r="L133" s="41" t="n">
        <x:v>26.5464</x:v>
      </x:c>
      <x:c r="M133" s="41" t="n">
        <x:v>3786.3207</x:v>
      </x:c>
      <x:c r="N133" s="41" t="n">
        <x:v>506.0574</x:v>
      </x:c>
      <x:c r="O133" s="41" t="n">
        <x:v>10462</x:v>
      </x:c>
      <x:c r="P133" s="41" t="str">
        <x:v>1999-01-04</x:v>
      </x:c>
      <x:c r="Q133" s="41" t="str">
        <x:v>2026-05-22</x:v>
      </x:c>
    </x:row>
    <x:row r="134">
      <x:c r="A134" s="41" t="n">
        <x:v>133</x:v>
      </x:c>
      <x:c r="B134" s="41" t="str">
        <x:v>HYP_REFINE_AUTO002_TOPN_6_V1_DDGRID_EXT_R12_C25_E66_CR40_REDD_RECOVERED_DD6_SL20</x:v>
      </x:c>
      <x:c r="C134" s="41" t="str">
        <x:v>dd_guard_grid</x:v>
      </x:c>
      <x:c r="D134" s="41" t="n">
        <x:v>0.477862</x:v>
      </x:c>
      <x:c r="E134" s="41" t="n">
        <x:v>0.120454</x:v>
      </x:c>
      <x:c r="F134" s="41" t="n">
        <x:v>0.357408</x:v>
      </x:c>
      <x:c r="G134" s="41" t="n">
        <x:v>13.964</x:v>
      </x:c>
      <x:c r="H134" s="41" t="n">
        <x:v>6.8025</x:v>
      </x:c>
      <x:c r="I134" s="41" t="n">
        <x:v>7.1615</x:v>
      </x:c>
      <x:c r="J134" s="41" t="n">
        <x:v>-29.2218</x:v>
      </x:c>
      <x:c r="K134" s="41" t="n">
        <x:v>-56.4737</x:v>
      </x:c>
      <x:c r="L134" s="41" t="n">
        <x:v>27.2518</x:v>
      </x:c>
      <x:c r="M134" s="41" t="n">
        <x:v>3482.7334</x:v>
      </x:c>
      <x:c r="N134" s="41" t="n">
        <x:v>506.0574</x:v>
      </x:c>
      <x:c r="O134" s="41" t="n">
        <x:v>11849</x:v>
      </x:c>
      <x:c r="P134" s="41" t="str">
        <x:v>1999-01-04</x:v>
      </x:c>
      <x:c r="Q134" s="41" t="str">
        <x:v>2026-05-22</x:v>
      </x:c>
    </x:row>
    <x:row r="135">
      <x:c r="A135" s="41" t="n">
        <x:v>134</x:v>
      </x:c>
      <x:c r="B135" s="41" t="str">
        <x:v>HYP_REFINE_AUTO002_TOPN_6_V1_DDGRID_EXT_R14_C25_E75_CR50_REDD_RECOVERED_DD8_SL22</x:v>
      </x:c>
      <x:c r="C135" s="41" t="str">
        <x:v>dd_guard_grid</x:v>
      </x:c>
      <x:c r="D135" s="41" t="n">
        <x:v>0.477632</x:v>
      </x:c>
      <x:c r="E135" s="41" t="n">
        <x:v>0.120454</x:v>
      </x:c>
      <x:c r="F135" s="41" t="n">
        <x:v>0.357178</x:v>
      </x:c>
      <x:c r="G135" s="41" t="n">
        <x:v>14.8897</x:v>
      </x:c>
      <x:c r="H135" s="41" t="n">
        <x:v>6.8025</x:v>
      </x:c>
      <x:c r="I135" s="41" t="n">
        <x:v>8.0873</x:v>
      </x:c>
      <x:c r="J135" s="41" t="n">
        <x:v>-31.1741</x:v>
      </x:c>
      <x:c r="K135" s="41" t="n">
        <x:v>-56.4737</x:v>
      </x:c>
      <x:c r="L135" s="41" t="n">
        <x:v>25.2996</x:v>
      </x:c>
      <x:c r="M135" s="41" t="n">
        <x:v>4371.0607</x:v>
      </x:c>
      <x:c r="N135" s="41" t="n">
        <x:v>506.0574</x:v>
      </x:c>
      <x:c r="O135" s="41" t="n">
        <x:v>11090</x:v>
      </x:c>
      <x:c r="P135" s="41" t="str">
        <x:v>1999-01-04</x:v>
      </x:c>
      <x:c r="Q135" s="41" t="str">
        <x:v>2026-05-22</x:v>
      </x:c>
    </x:row>
    <x:row r="136">
      <x:c r="A136" s="41" t="n">
        <x:v>135</x:v>
      </x:c>
      <x:c r="B136" s="41" t="str">
        <x:v>HYP_REFINE_AUTO002_TOPN_6_V1_DDGRID_LONG_R12_C22_E72_CR40_REDD_RECOVERED_DD8_SLNONE</x:v>
      </x:c>
      <x:c r="C136" s="41" t="str">
        <x:v>dd_guard_grid</x:v>
      </x:c>
      <x:c r="D136" s="41" t="n">
        <x:v>0.477477</x:v>
      </x:c>
      <x:c r="E136" s="41" t="n">
        <x:v>0.120454</x:v>
      </x:c>
      <x:c r="F136" s="41" t="n">
        <x:v>0.357023</x:v>
      </x:c>
      <x:c r="G136" s="41" t="n">
        <x:v>13.5541</x:v>
      </x:c>
      <x:c r="H136" s="41" t="n">
        <x:v>6.8025</x:v>
      </x:c>
      <x:c r="I136" s="41" t="n">
        <x:v>6.7517</x:v>
      </x:c>
      <x:c r="J136" s="41" t="n">
        <x:v>-28.387</x:v>
      </x:c>
      <x:c r="K136" s="41" t="n">
        <x:v>-56.4737</x:v>
      </x:c>
      <x:c r="L136" s="41" t="n">
        <x:v>28.0867</x:v>
      </x:c>
      <x:c r="M136" s="41" t="n">
        <x:v>3146.1936</x:v>
      </x:c>
      <x:c r="N136" s="41" t="n">
        <x:v>506.0574</x:v>
      </x:c>
      <x:c r="O136" s="41" t="n">
        <x:v>11858</x:v>
      </x:c>
      <x:c r="P136" s="41" t="str">
        <x:v>1999-01-04</x:v>
      </x:c>
      <x:c r="Q136" s="41" t="str">
        <x:v>2026-05-22</x:v>
      </x:c>
    </x:row>
    <x:row r="137">
      <x:c r="A137" s="41" t="n">
        <x:v>136</x:v>
      </x:c>
      <x:c r="B137" s="41" t="str">
        <x:v>HYP_REFINE_AUTO002_TOPN_6_V1_DDGRID_LONG_R12_C22_E68_CR40_REDD_RECOVERED_DD8_SL20</x:v>
      </x:c>
      <x:c r="C137" s="41" t="str">
        <x:v>dd_guard_grid</x:v>
      </x:c>
      <x:c r="D137" s="41" t="n">
        <x:v>0.477466</x:v>
      </x:c>
      <x:c r="E137" s="41" t="n">
        <x:v>0.120454</x:v>
      </x:c>
      <x:c r="F137" s="41" t="n">
        <x:v>0.357012</x:v>
      </x:c>
      <x:c r="G137" s="41" t="n">
        <x:v>13.2609</x:v>
      </x:c>
      <x:c r="H137" s="41" t="n">
        <x:v>6.8025</x:v>
      </x:c>
      <x:c r="I137" s="41" t="n">
        <x:v>6.4584</x:v>
      </x:c>
      <x:c r="J137" s="41" t="n">
        <x:v>-27.7735</x:v>
      </x:c>
      <x:c r="K137" s="41" t="n">
        <x:v>-56.4737</x:v>
      </x:c>
      <x:c r="L137" s="41" t="n">
        <x:v>28.7001</x:v>
      </x:c>
      <x:c r="M137" s="41" t="n">
        <x:v>2924.3429</x:v>
      </x:c>
      <x:c r="N137" s="41" t="n">
        <x:v>506.0574</x:v>
      </x:c>
      <x:c r="O137" s="41" t="n">
        <x:v>11597</x:v>
      </x:c>
      <x:c r="P137" s="41" t="str">
        <x:v>1999-01-04</x:v>
      </x:c>
      <x:c r="Q137" s="41" t="str">
        <x:v>2026-05-22</x:v>
      </x:c>
    </x:row>
    <x:row r="138">
      <x:c r="A138" s="41" t="n">
        <x:v>137</x:v>
      </x:c>
      <x:c r="B138" s="41" t="str">
        <x:v>HYP_REFINE_AUTO002_TOPN_6_V1_DDGRID_LONG_R12_C20_E75_CR45_REDD_RECOVERED_DD8_SL20</x:v>
      </x:c>
      <x:c r="C138" s="41" t="str">
        <x:v>dd_guard_grid</x:v>
      </x:c>
      <x:c r="D138" s="41" t="n">
        <x:v>0.477426</x:v>
      </x:c>
      <x:c r="E138" s="41" t="n">
        <x:v>0.120454</x:v>
      </x:c>
      <x:c r="F138" s="41" t="n">
        <x:v>0.356972</x:v>
      </x:c>
      <x:c r="G138" s="41" t="n">
        <x:v>13.9761</x:v>
      </x:c>
      <x:c r="H138" s="41" t="n">
        <x:v>6.8025</x:v>
      </x:c>
      <x:c r="I138" s="41" t="n">
        <x:v>7.1737</x:v>
      </x:c>
      <x:c r="J138" s="41" t="n">
        <x:v>-29.2739</x:v>
      </x:c>
      <x:c r="K138" s="41" t="n">
        <x:v>-56.4737</x:v>
      </x:c>
      <x:c r="L138" s="41" t="n">
        <x:v>27.1998</x:v>
      </x:c>
      <x:c r="M138" s="41" t="n">
        <x:v>3493.1937</x:v>
      </x:c>
      <x:c r="N138" s="41" t="n">
        <x:v>506.0574</x:v>
      </x:c>
      <x:c r="O138" s="41" t="n">
        <x:v>11399</x:v>
      </x:c>
      <x:c r="P138" s="41" t="str">
        <x:v>1999-01-04</x:v>
      </x:c>
      <x:c r="Q138" s="41" t="str">
        <x:v>2026-05-22</x:v>
      </x:c>
    </x:row>
    <x:row r="139">
      <x:c r="A139" s="41" t="n">
        <x:v>138</x:v>
      </x:c>
      <x:c r="B139" s="41" t="str">
        <x:v>HYP_REFINE_AUTO002_TOPN_6_V1_DDGRID_LONG_R13_C22_E75_CR45_REDD_RECOVERED_DD8_SL22</x:v>
      </x:c>
      <x:c r="C139" s="41" t="str">
        <x:v>dd_guard_grid</x:v>
      </x:c>
      <x:c r="D139" s="41" t="n">
        <x:v>0.477312</x:v>
      </x:c>
      <x:c r="E139" s="41" t="n">
        <x:v>0.120454</x:v>
      </x:c>
      <x:c r="F139" s="41" t="n">
        <x:v>0.356858</x:v>
      </x:c>
      <x:c r="G139" s="41" t="n">
        <x:v>14.1831</x:v>
      </x:c>
      <x:c r="H139" s="41" t="n">
        <x:v>6.8025</x:v>
      </x:c>
      <x:c r="I139" s="41" t="n">
        <x:v>7.3806</x:v>
      </x:c>
      <x:c r="J139" s="41" t="n">
        <x:v>-29.7146</x:v>
      </x:c>
      <x:c r="K139" s="41" t="n">
        <x:v>-56.4737</x:v>
      </x:c>
      <x:c r="L139" s="41" t="n">
        <x:v>26.7591</x:v>
      </x:c>
      <x:c r="M139" s="41" t="n">
        <x:v>3676.1894</x:v>
      </x:c>
      <x:c r="N139" s="41" t="n">
        <x:v>506.0574</x:v>
      </x:c>
      <x:c r="O139" s="41" t="n">
        <x:v>11256</x:v>
      </x:c>
      <x:c r="P139" s="41" t="str">
        <x:v>1999-01-04</x:v>
      </x:c>
      <x:c r="Q139" s="41" t="str">
        <x:v>2026-05-22</x:v>
      </x:c>
    </x:row>
    <x:row r="140">
      <x:c r="A140" s="41" t="n">
        <x:v>139</x:v>
      </x:c>
      <x:c r="B140" s="41" t="str">
        <x:v>HYP_REFINE_AUTO002_TOPN_6_V1_DDGRID_LONG_R13_C22_E75_CR45_REDD_RECOVERED_DD7_SL20</x:v>
      </x:c>
      <x:c r="C140" s="41" t="str">
        <x:v>dd_guard_grid</x:v>
      </x:c>
      <x:c r="D140" s="41" t="n">
        <x:v>0.477253</x:v>
      </x:c>
      <x:c r="E140" s="41" t="n">
        <x:v>0.120454</x:v>
      </x:c>
      <x:c r="F140" s="41" t="n">
        <x:v>0.356799</x:v>
      </x:c>
      <x:c r="G140" s="41" t="n">
        <x:v>14.2422</x:v>
      </x:c>
      <x:c r="H140" s="41" t="n">
        <x:v>6.8025</x:v>
      </x:c>
      <x:c r="I140" s="41" t="n">
        <x:v>7.4397</x:v>
      </x:c>
      <x:c r="J140" s="41" t="n">
        <x:v>-29.8421</x:v>
      </x:c>
      <x:c r="K140" s="41" t="n">
        <x:v>-56.4737</x:v>
      </x:c>
      <x:c r="L140" s="41" t="n">
        <x:v>26.6316</x:v>
      </x:c>
      <x:c r="M140" s="41" t="n">
        <x:v>3730.0529</x:v>
      </x:c>
      <x:c r="N140" s="41" t="n">
        <x:v>506.0574</x:v>
      </x:c>
      <x:c r="O140" s="41" t="n">
        <x:v>11253</x:v>
      </x:c>
      <x:c r="P140" s="41" t="str">
        <x:v>1999-01-04</x:v>
      </x:c>
      <x:c r="Q140" s="41" t="str">
        <x:v>2026-05-22</x:v>
      </x:c>
    </x:row>
    <x:row r="141">
      <x:c r="A141" s="41" t="n">
        <x:v>140</x:v>
      </x:c>
      <x:c r="B141" s="41" t="str">
        <x:v>HYP_REFINE_AUTO002_TOPN_6_V1_DDGRID_EXT_R12_C24_E66_CR50_REDD_RECOVERED_DD6_SL22</x:v>
      </x:c>
      <x:c r="C141" s="41" t="str">
        <x:v>dd_guard_grid</x:v>
      </x:c>
      <x:c r="D141" s="41" t="n">
        <x:v>0.476669</x:v>
      </x:c>
      <x:c r="E141" s="41" t="n">
        <x:v>0.120454</x:v>
      </x:c>
      <x:c r="F141" s="41" t="n">
        <x:v>0.356215</x:v>
      </x:c>
      <x:c r="G141" s="41" t="n">
        <x:v>13.8649</x:v>
      </x:c>
      <x:c r="H141" s="41" t="n">
        <x:v>6.8025</x:v>
      </x:c>
      <x:c r="I141" s="41" t="n">
        <x:v>7.0624</x:v>
      </x:c>
      <x:c r="J141" s="41" t="n">
        <x:v>-29.087</x:v>
      </x:c>
      <x:c r="K141" s="41" t="n">
        <x:v>-56.4737</x:v>
      </x:c>
      <x:c r="L141" s="41" t="n">
        <x:v>27.3866</x:v>
      </x:c>
      <x:c r="M141" s="41" t="n">
        <x:v>3398.39</x:v>
      </x:c>
      <x:c r="N141" s="41" t="n">
        <x:v>506.0574</x:v>
      </x:c>
      <x:c r="O141" s="41" t="n">
        <x:v>11928</x:v>
      </x:c>
      <x:c r="P141" s="41" t="str">
        <x:v>1999-01-04</x:v>
      </x:c>
      <x:c r="Q141" s="41" t="str">
        <x:v>2026-05-22</x:v>
      </x:c>
    </x:row>
    <x:row r="142">
      <x:c r="A142" s="41" t="n">
        <x:v>141</x:v>
      </x:c>
      <x:c r="B142" s="41" t="str">
        <x:v>HYP_REFINE_AUTO002_TOPN_6_V1_DDGRID_LONG_R12_C24_E70_CR40_REDD_RECOVERED_DD8_SL20</x:v>
      </x:c>
      <x:c r="C142" s="41" t="str">
        <x:v>dd_guard_grid</x:v>
      </x:c>
      <x:c r="D142" s="41" t="n">
        <x:v>0.476657</x:v>
      </x:c>
      <x:c r="E142" s="41" t="n">
        <x:v>0.120454</x:v>
      </x:c>
      <x:c r="F142" s="41" t="n">
        <x:v>0.356203</x:v>
      </x:c>
      <x:c r="G142" s="41" t="n">
        <x:v>13.9545</x:v>
      </x:c>
      <x:c r="H142" s="41" t="n">
        <x:v>6.8025</x:v>
      </x:c>
      <x:c r="I142" s="41" t="n">
        <x:v>7.152</x:v>
      </x:c>
      <x:c r="J142" s="41" t="n">
        <x:v>-29.2757</x:v>
      </x:c>
      <x:c r="K142" s="41" t="n">
        <x:v>-56.4737</x:v>
      </x:c>
      <x:c r="L142" s="41" t="n">
        <x:v>27.198</x:v>
      </x:c>
      <x:c r="M142" s="41" t="n">
        <x:v>3474.5259</x:v>
      </x:c>
      <x:c r="N142" s="41" t="n">
        <x:v>506.0574</x:v>
      </x:c>
      <x:c r="O142" s="41" t="n">
        <x:v>11407</x:v>
      </x:c>
      <x:c r="P142" s="41" t="str">
        <x:v>1999-01-04</x:v>
      </x:c>
      <x:c r="Q142" s="41" t="str">
        <x:v>2026-05-22</x:v>
      </x:c>
    </x:row>
    <x:row r="143">
      <x:c r="A143" s="41" t="n">
        <x:v>142</x:v>
      </x:c>
      <x:c r="B143" s="41" t="str">
        <x:v>HYP_REFINE_AUTO002_TOPN_6_V1_DDGRID_EXT_R12_C25_E75_CR50_REDD_RECOVERED_DD12_SL18</x:v>
      </x:c>
      <x:c r="C143" s="41" t="str">
        <x:v>dd_guard_grid</x:v>
      </x:c>
      <x:c r="D143" s="41" t="n">
        <x:v>0.476632</x:v>
      </x:c>
      <x:c r="E143" s="41" t="n">
        <x:v>0.120454</x:v>
      </x:c>
      <x:c r="F143" s="41" t="n">
        <x:v>0.356178</x:v>
      </x:c>
      <x:c r="G143" s="41" t="n">
        <x:v>14.7191</x:v>
      </x:c>
      <x:c r="H143" s="41" t="n">
        <x:v>6.8025</x:v>
      </x:c>
      <x:c r="I143" s="41" t="n">
        <x:v>7.9167</x:v>
      </x:c>
      <x:c r="J143" s="41" t="n">
        <x:v>-30.8816</x:v>
      </x:c>
      <x:c r="K143" s="41" t="n">
        <x:v>-56.4737</x:v>
      </x:c>
      <x:c r="L143" s="41" t="n">
        <x:v>25.5921</x:v>
      </x:c>
      <x:c r="M143" s="41" t="n">
        <x:v>4192.8144</x:v>
      </x:c>
      <x:c r="N143" s="41" t="n">
        <x:v>506.0574</x:v>
      </x:c>
      <x:c r="O143" s="41" t="n">
        <x:v>9799</x:v>
      </x:c>
      <x:c r="P143" s="41" t="str">
        <x:v>1999-01-04</x:v>
      </x:c>
      <x:c r="Q143" s="41" t="str">
        <x:v>2026-05-22</x:v>
      </x:c>
    </x:row>
    <x:row r="144">
      <x:c r="A144" s="41" t="n">
        <x:v>143</x:v>
      </x:c>
      <x:c r="B144" s="41" t="str">
        <x:v>HYP_REFINE_AUTO002_TOPN_6_V1_DDGRID_EXT_R12_C25_E75_CR50_REDD_RECOVERED_DD6_SL22</x:v>
      </x:c>
      <x:c r="C144" s="41" t="str">
        <x:v>dd_guard_grid</x:v>
      </x:c>
      <x:c r="D144" s="41" t="n">
        <x:v>0.476489</x:v>
      </x:c>
      <x:c r="E144" s="41" t="n">
        <x:v>0.120454</x:v>
      </x:c>
      <x:c r="F144" s="41" t="n">
        <x:v>0.356035</x:v>
      </x:c>
      <x:c r="G144" s="41" t="n">
        <x:v>14.7164</x:v>
      </x:c>
      <x:c r="H144" s="41" t="n">
        <x:v>6.8025</x:v>
      </x:c>
      <x:c r="I144" s="41" t="n">
        <x:v>7.914</x:v>
      </x:c>
      <x:c r="J144" s="41" t="n">
        <x:v>-30.8852</x:v>
      </x:c>
      <x:c r="K144" s="41" t="n">
        <x:v>-56.4737</x:v>
      </x:c>
      <x:c r="L144" s="41" t="n">
        <x:v>25.5885</x:v>
      </x:c>
      <x:c r="M144" s="41" t="n">
        <x:v>4190.0433</x:v>
      </x:c>
      <x:c r="N144" s="41" t="n">
        <x:v>506.0574</x:v>
      </x:c>
      <x:c r="O144" s="41" t="n">
        <x:v>11905</x:v>
      </x:c>
      <x:c r="P144" s="41" t="str">
        <x:v>1999-01-04</x:v>
      </x:c>
      <x:c r="Q144" s="41" t="str">
        <x:v>2026-05-22</x:v>
      </x:c>
    </x:row>
    <x:row r="145">
      <x:c r="A145" s="41" t="n">
        <x:v>144</x:v>
      </x:c>
      <x:c r="B145" s="41" t="str">
        <x:v>HYP_REFINE_AUTO002_TOPN_6_V1_DDGRID_EXT_R12_C26_E60_CR50_REDD_RECOVERED_DD8_SL20</x:v>
      </x:c>
      <x:c r="C145" s="41" t="str">
        <x:v>dd_guard_grid</x:v>
      </x:c>
      <x:c r="D145" s="41" t="n">
        <x:v>0.476487</x:v>
      </x:c>
      <x:c r="E145" s="41" t="n">
        <x:v>0.120454</x:v>
      </x:c>
      <x:c r="F145" s="41" t="n">
        <x:v>0.356033</x:v>
      </x:c>
      <x:c r="G145" s="41" t="n">
        <x:v>13.7193</x:v>
      </x:c>
      <x:c r="H145" s="41" t="n">
        <x:v>6.8025</x:v>
      </x:c>
      <x:c r="I145" s="41" t="n">
        <x:v>6.9168</x:v>
      </x:c>
      <x:c r="J145" s="41" t="n">
        <x:v>-28.7925</x:v>
      </x:c>
      <x:c r="K145" s="41" t="n">
        <x:v>-56.4737</x:v>
      </x:c>
      <x:c r="L145" s="41" t="n">
        <x:v>27.6811</x:v>
      </x:c>
      <x:c r="M145" s="41" t="n">
        <x:v>3277.9454</x:v>
      </x:c>
      <x:c r="N145" s="41" t="n">
        <x:v>506.0574</x:v>
      </x:c>
      <x:c r="O145" s="41" t="n">
        <x:v>11502</x:v>
      </x:c>
      <x:c r="P145" s="41" t="str">
        <x:v>1999-01-04</x:v>
      </x:c>
      <x:c r="Q145" s="41" t="str">
        <x:v>2026-05-22</x:v>
      </x:c>
    </x:row>
    <x:row r="146">
      <x:c r="A146" s="41" t="n">
        <x:v>145</x:v>
      </x:c>
      <x:c r="B146" s="41" t="str">
        <x:v>HYP_REFINE_AUTO002_TOPN_6_V1_DDGRID_LONG_R12_C22_E75_CR45_REDD_RECOVERED_DD8_SL22</x:v>
      </x:c>
      <x:c r="C146" s="41" t="str">
        <x:v>dd_guard_grid</x:v>
      </x:c>
      <x:c r="D146" s="41" t="n">
        <x:v>0.476471</x:v>
      </x:c>
      <x:c r="E146" s="41" t="n">
        <x:v>0.120454</x:v>
      </x:c>
      <x:c r="F146" s="41" t="n">
        <x:v>0.356017</x:v>
      </x:c>
      <x:c r="G146" s="41" t="n">
        <x:v>14.1581</x:v>
      </x:c>
      <x:c r="H146" s="41" t="n">
        <x:v>6.8025</x:v>
      </x:c>
      <x:c r="I146" s="41" t="n">
        <x:v>7.3557</x:v>
      </x:c>
      <x:c r="J146" s="41" t="n">
        <x:v>-29.7146</x:v>
      </x:c>
      <x:c r="K146" s="41" t="n">
        <x:v>-56.4737</x:v>
      </x:c>
      <x:c r="L146" s="41" t="n">
        <x:v>26.7591</x:v>
      </x:c>
      <x:c r="M146" s="41" t="n">
        <x:v>3653.6298</x:v>
      </x:c>
      <x:c r="N146" s="41" t="n">
        <x:v>506.0574</x:v>
      </x:c>
      <x:c r="O146" s="41" t="n">
        <x:v>11521</x:v>
      </x:c>
      <x:c r="P146" s="41" t="str">
        <x:v>1999-01-04</x:v>
      </x:c>
      <x:c r="Q146" s="41" t="str">
        <x:v>2026-05-22</x:v>
      </x:c>
    </x:row>
    <x:row r="147">
      <x:c r="A147" s="41" t="n">
        <x:v>146</x:v>
      </x:c>
      <x:c r="B147" s="41" t="str">
        <x:v>HYP_REFINE_AUTO002_TOPN_6_V1_DDGRID_LONG_R12_C22_E70_CR42_REDD_RECOVERED_DD8_SL20</x:v>
      </x:c>
      <x:c r="C147" s="41" t="str">
        <x:v>dd_guard_grid</x:v>
      </x:c>
      <x:c r="D147" s="41" t="n">
        <x:v>0.47641</x:v>
      </x:c>
      <x:c r="E147" s="41" t="n">
        <x:v>0.120454</x:v>
      </x:c>
      <x:c r="F147" s="41" t="n">
        <x:v>0.355956</x:v>
      </x:c>
      <x:c r="G147" s="41" t="n">
        <x:v>13.6669</x:v>
      </x:c>
      <x:c r="H147" s="41" t="n">
        <x:v>6.8025</x:v>
      </x:c>
      <x:c r="I147" s="41" t="n">
        <x:v>6.8644</x:v>
      </x:c>
      <x:c r="J147" s="41" t="n">
        <x:v>-28.6872</x:v>
      </x:c>
      <x:c r="K147" s="41" t="n">
        <x:v>-56.4737</x:v>
      </x:c>
      <x:c r="L147" s="41" t="n">
        <x:v>27.7865</x:v>
      </x:c>
      <x:c r="M147" s="41" t="n">
        <x:v>3235.5785</x:v>
      </x:c>
      <x:c r="N147" s="41" t="n">
        <x:v>506.0574</x:v>
      </x:c>
      <x:c r="O147" s="41" t="n">
        <x:v>11454</x:v>
      </x:c>
      <x:c r="P147" s="41" t="str">
        <x:v>1999-01-04</x:v>
      </x:c>
      <x:c r="Q147" s="41" t="str">
        <x:v>2026-05-22</x:v>
      </x:c>
    </x:row>
    <x:row r="148">
      <x:c r="A148" s="41" t="n">
        <x:v>147</x:v>
      </x:c>
      <x:c r="B148" s="41" t="str">
        <x:v>HYP_REFINE_AUTO002_TOPN_6_V1_DDGRID_LONG_R12_C23_E68_CR40_REDD_RECOVERED_DD8_SL22</x:v>
      </x:c>
      <x:c r="C148" s="41" t="str">
        <x:v>dd_guard_grid</x:v>
      </x:c>
      <x:c r="D148" s="41" t="n">
        <x:v>0.475902</x:v>
      </x:c>
      <x:c r="E148" s="41" t="n">
        <x:v>0.120454</x:v>
      </x:c>
      <x:c r="F148" s="41" t="n">
        <x:v>0.355448</x:v>
      </x:c>
      <x:c r="G148" s="41" t="n">
        <x:v>13.3191</x:v>
      </x:c>
      <x:c r="H148" s="41" t="n">
        <x:v>6.8025</x:v>
      </x:c>
      <x:c r="I148" s="41" t="n">
        <x:v>6.5166</x:v>
      </x:c>
      <x:c r="J148" s="41" t="n">
        <x:v>-27.9871</x:v>
      </x:c>
      <x:c r="K148" s="41" t="n">
        <x:v>-56.4737</x:v>
      </x:c>
      <x:c r="L148" s="41" t="n">
        <x:v>28.4866</x:v>
      </x:c>
      <x:c r="M148" s="41" t="n">
        <x:v>2967.1741</x:v>
      </x:c>
      <x:c r="N148" s="41" t="n">
        <x:v>506.0574</x:v>
      </x:c>
      <x:c r="O148" s="41" t="n">
        <x:v>11658</x:v>
      </x:c>
      <x:c r="P148" s="41" t="str">
        <x:v>1999-01-04</x:v>
      </x:c>
      <x:c r="Q148" s="41" t="str">
        <x:v>2026-05-22</x:v>
      </x:c>
    </x:row>
    <x:row r="149">
      <x:c r="A149" s="41" t="n">
        <x:v>148</x:v>
      </x:c>
      <x:c r="B149" s="41" t="str">
        <x:v>HYP_REFINE_AUTO002_TOPN_6_V1_DDGRID_EXT_R12_C24_E66_CR40_REDD_RECOVERED_DD8_SL18</x:v>
      </x:c>
      <x:c r="C149" s="41" t="str">
        <x:v>dd_guard_grid</x:v>
      </x:c>
      <x:c r="D149" s="41" t="n">
        <x:v>0.475706</x:v>
      </x:c>
      <x:c r="E149" s="41" t="n">
        <x:v>0.120454</x:v>
      </x:c>
      <x:c r="F149" s="41" t="n">
        <x:v>0.355252</x:v>
      </x:c>
      <x:c r="G149" s="41" t="n">
        <x:v>13.5904</x:v>
      </x:c>
      <x:c r="H149" s="41" t="n">
        <x:v>6.8025</x:v>
      </x:c>
      <x:c r="I149" s="41" t="n">
        <x:v>6.7879</x:v>
      </x:c>
      <x:c r="J149" s="41" t="n">
        <x:v>-28.5689</x:v>
      </x:c>
      <x:c r="K149" s="41" t="n">
        <x:v>-56.4737</x:v>
      </x:c>
      <x:c r="L149" s="41" t="n">
        <x:v>27.9048</x:v>
      </x:c>
      <x:c r="M149" s="41" t="n">
        <x:v>3174.6759</x:v>
      </x:c>
      <x:c r="N149" s="41" t="n">
        <x:v>506.0574</x:v>
      </x:c>
      <x:c r="O149" s="41" t="n">
        <x:v>11690</x:v>
      </x:c>
      <x:c r="P149" s="41" t="str">
        <x:v>1999-01-04</x:v>
      </x:c>
      <x:c r="Q149" s="41" t="str">
        <x:v>2026-05-22</x:v>
      </x:c>
    </x:row>
    <x:row r="150">
      <x:c r="A150" s="41" t="n">
        <x:v>149</x:v>
      </x:c>
      <x:c r="B150" s="41" t="str">
        <x:v>HYP_REFINE_AUTO002_TOPN_6_V1_DDGRID_EXT_R12_C28_E75_CR50_REDD_RECOVERED_DD6_SL20</x:v>
      </x:c>
      <x:c r="C150" s="41" t="str">
        <x:v>dd_guard_grid</x:v>
      </x:c>
      <x:c r="D150" s="41" t="n">
        <x:v>0.47493</x:v>
      </x:c>
      <x:c r="E150" s="41" t="n">
        <x:v>0.120454</x:v>
      </x:c>
      <x:c r="F150" s="41" t="n">
        <x:v>0.354476</x:v>
      </x:c>
      <x:c r="G150" s="41" t="n">
        <x:v>15.6225</x:v>
      </x:c>
      <x:c r="H150" s="41" t="n">
        <x:v>6.8025</x:v>
      </x:c>
      <x:c r="I150" s="41" t="n">
        <x:v>8.82</x:v>
      </x:c>
      <x:c r="J150" s="41" t="n">
        <x:v>-32.8943</x:v>
      </x:c>
      <x:c r="K150" s="41" t="n">
        <x:v>-56.4737</x:v>
      </x:c>
      <x:c r="L150" s="41" t="n">
        <x:v>23.5794</x:v>
      </x:c>
      <x:c r="M150" s="41" t="n">
        <x:v>5221.1412</x:v>
      </x:c>
      <x:c r="N150" s="41" t="n">
        <x:v>506.0574</x:v>
      </x:c>
      <x:c r="O150" s="41" t="n">
        <x:v>11534</x:v>
      </x:c>
      <x:c r="P150" s="41" t="str">
        <x:v>1999-01-04</x:v>
      </x:c>
      <x:c r="Q150" s="41" t="str">
        <x:v>2026-05-22</x:v>
      </x:c>
    </x:row>
    <x:row r="151">
      <x:c r="A151" s="41" t="n">
        <x:v>150</x:v>
      </x:c>
      <x:c r="B151" s="41" t="str">
        <x:v>HYP_REFINE_AUTO002_TOPN_6_V1_DDGRID_LONG_R12_C22_E78_CR45_REDD_RECOVERED_DD8_SL22</x:v>
      </x:c>
      <x:c r="C151" s="41" t="str">
        <x:v>dd_guard_grid</x:v>
      </x:c>
      <x:c r="D151" s="41" t="n">
        <x:v>0.474255</x:v>
      </x:c>
      <x:c r="E151" s="41" t="n">
        <x:v>0.120454</x:v>
      </x:c>
      <x:c r="F151" s="41" t="n">
        <x:v>0.353801</x:v>
      </x:c>
      <x:c r="G151" s="41" t="n">
        <x:v>14.3163</x:v>
      </x:c>
      <x:c r="H151" s="41" t="n">
        <x:v>6.8025</x:v>
      </x:c>
      <x:c r="I151" s="41" t="n">
        <x:v>7.5138</x:v>
      </x:c>
      <x:c r="J151" s="41" t="n">
        <x:v>-30.1869</x:v>
      </x:c>
      <x:c r="K151" s="41" t="n">
        <x:v>-56.4737</x:v>
      </x:c>
      <x:c r="L151" s="41" t="n">
        <x:v>26.2868</x:v>
      </x:c>
      <x:c r="M151" s="41" t="n">
        <x:v>3798.6131</x:v>
      </x:c>
      <x:c r="N151" s="41" t="n">
        <x:v>506.0574</x:v>
      </x:c>
      <x:c r="O151" s="41" t="n">
        <x:v>11449</x:v>
      </x:c>
      <x:c r="P151" s="41" t="str">
        <x:v>1999-01-04</x:v>
      </x:c>
      <x:c r="Q151" s="41" t="str">
        <x:v>2026-05-22</x:v>
      </x:c>
    </x:row>
  </x:sheetData>
  <x:conditionalFormatting sqref="F2:F151">
    <x:cfRule type="dataBar" priority="1">
      <x:dataBar>
        <x:cfvo type="min"/>
        <x:cfvo type="max"/>
        <x:color rgb="FF63A375"/>
      </x:dataBar>
      <x:extLst>
        <x:ext xmlns:x14="http://schemas.microsoft.com/office/spreadsheetml/2009/9/main" uri="{B025F937-C7B1-47D3-B67F-A62EFF666E3E}">
          <x14:id>{EE03F5AB-A686-4FF3-8627-C699F9F65750}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2b7ead3131145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E03F5AB-A686-4FF3-8627-C699F9F65750}">
            <x14:dataBar gradient="1">
              <x14:cfvo type="min"/>
              <x14:cfvo type="max"/>
              <x14:fillColor rgb="FF63A375"/>
            </x14:dataBar>
          </x14:cfRule>
          <xm:sqref>F2:F151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40" t="str">
        <x:v>Rank</x:v>
      </x:c>
      <x:c r="B1" s="40" t="str">
        <x:v>Strategy ID</x:v>
      </x:c>
      <x:c r="C1" s="40" t="str">
        <x:v>Family</x:v>
      </x:c>
      <x:c r="D1" s="40" t="str">
        <x:v>Original Score</x:v>
      </x:c>
      <x:c r="E1" s="40" t="str">
        <x:v>SPY Score</x:v>
      </x:c>
      <x:c r="F1" s="40" t="str">
        <x:v>Score Edge vs SPY</x:v>
      </x:c>
      <x:c r="G1" s="40" t="str">
        <x:v>Original CAGR %</x:v>
      </x:c>
      <x:c r="H1" s="40" t="str">
        <x:v>SPY CAGR %</x:v>
      </x:c>
      <x:c r="I1" s="40" t="str">
        <x:v>Excess CAGR vs SPY %</x:v>
      </x:c>
      <x:c r="J1" s="40" t="str">
        <x:v>Original DD %</x:v>
      </x:c>
      <x:c r="K1" s="40" t="str">
        <x:v>SPY DD %</x:v>
      </x:c>
      <x:c r="L1" s="40" t="str">
        <x:v>DD improvement vs SPY</x:v>
      </x:c>
      <x:c r="M1" s="40" t="str">
        <x:v>Original Total Return %</x:v>
      </x:c>
      <x:c r="N1" s="40" t="str">
        <x:v>SPY Total Return %</x:v>
      </x:c>
      <x:c r="O1" s="40" t="str">
        <x:v>Original Trades</x:v>
      </x:c>
      <x:c r="P1" s="40" t="str">
        <x:v>Start</x:v>
      </x:c>
      <x:c r="Q1" s="40" t="str">
        <x:v>End</x:v>
      </x:c>
    </x:row>
    <x:row r="2">
      <x:c r="A2" s="41" t="n">
        <x:v>1</x:v>
      </x:c>
      <x:c r="B2" s="41" t="str">
        <x:v>HYP_QUALITY_MOMENTUM_CONCENTRATION_9_V1</x:v>
      </x:c>
      <x:c r="C2" s="41" t="str">
        <x:v>cross_sectional_momentum</x:v>
      </x:c>
      <x:c r="D2" s="41" t="n">
        <x:v>0.552253</x:v>
      </x:c>
      <x:c r="E2" s="41" t="n">
        <x:v>0.120454</x:v>
      </x:c>
      <x:c r="F2" s="41" t="n">
        <x:v>0.431799</x:v>
      </x:c>
      <x:c r="G2" s="41" t="n">
        <x:v>32.2708</x:v>
      </x:c>
      <x:c r="H2" s="41" t="n">
        <x:v>6.8025</x:v>
      </x:c>
      <x:c r="I2" s="41" t="n">
        <x:v>25.4684</x:v>
      </x:c>
      <x:c r="J2" s="41" t="n">
        <x:v>-58.4349</x:v>
      </x:c>
      <x:c r="K2" s="41" t="n">
        <x:v>-56.4737</x:v>
      </x:c>
      <x:c r="L2" s="41" t="n">
        <x:v>-1.9612</x:v>
      </x:c>
      <x:c r="M2" s="41" t="n">
        <x:v>211495.4257</x:v>
      </x:c>
      <x:c r="N2" s="41" t="n">
        <x:v>506.0574</x:v>
      </x:c>
      <x:c r="O2" s="41" t="n">
        <x:v>1958</x:v>
      </x:c>
      <x:c r="P2" s="41" t="str">
        <x:v>1999-01-04</x:v>
      </x:c>
      <x:c r="Q2" s="41" t="str">
        <x:v>2026-05-22</x:v>
      </x:c>
    </x:row>
    <x:row r="3">
      <x:c r="A3" s="41" t="n">
        <x:v>2</x:v>
      </x:c>
      <x:c r="B3" s="41" t="str">
        <x:v>HYP_DD_FIRST_AUTO002_TOPN_12_V1</x:v>
      </x:c>
      <x:c r="C3" s="41" t="str">
        <x:v>dd_first_drawdown_control</x:v>
      </x:c>
      <x:c r="D3" s="41" t="n">
        <x:v>0.550198</x:v>
      </x:c>
      <x:c r="E3" s="41" t="n">
        <x:v>0.120454</x:v>
      </x:c>
      <x:c r="F3" s="41" t="n">
        <x:v>0.429744</x:v>
      </x:c>
      <x:c r="G3" s="41" t="n">
        <x:v>29.7681</x:v>
      </x:c>
      <x:c r="H3" s="41" t="n">
        <x:v>6.8025</x:v>
      </x:c>
      <x:c r="I3" s="41" t="n">
        <x:v>22.9656</x:v>
      </x:c>
      <x:c r="J3" s="41" t="n">
        <x:v>-54.1044</x:v>
      </x:c>
      <x:c r="K3" s="41" t="n">
        <x:v>-56.4737</x:v>
      </x:c>
      <x:c r="L3" s="41" t="n">
        <x:v>2.3693</x:v>
      </x:c>
      <x:c r="M3" s="41" t="n">
        <x:v>125321.1135</x:v>
      </x:c>
      <x:c r="N3" s="41" t="n">
        <x:v>506.0574</x:v>
      </x:c>
      <x:c r="O3" s="41" t="n">
        <x:v>2938</x:v>
      </x:c>
      <x:c r="P3" s="41" t="str">
        <x:v>1999-01-04</x:v>
      </x:c>
      <x:c r="Q3" s="41" t="str">
        <x:v>2026-05-22</x:v>
      </x:c>
    </x:row>
    <x:row r="4">
      <x:c r="A4" s="41" t="n">
        <x:v>3</x:v>
      </x:c>
      <x:c r="B4" s="41" t="str">
        <x:v>HYP_DD20_CAGR_SL12_TOPN8_GUARD18_10_V1</x:v>
      </x:c>
      <x:c r="C4" s="41" t="str">
        <x:v>dd20_adaptive_research</x:v>
      </x:c>
      <x:c r="D4" s="41" t="n">
        <x:v>0.54913</x:v>
      </x:c>
      <x:c r="E4" s="41" t="n">
        <x:v>0.120454</x:v>
      </x:c>
      <x:c r="F4" s="41" t="n">
        <x:v>0.428677</x:v>
      </x:c>
      <x:c r="G4" s="41" t="n">
        <x:v>10.866</x:v>
      </x:c>
      <x:c r="H4" s="41" t="n">
        <x:v>6.8025</x:v>
      </x:c>
      <x:c r="I4" s="41" t="n">
        <x:v>4.0636</x:v>
      </x:c>
      <x:c r="J4" s="41" t="n">
        <x:v>-19.7877</x:v>
      </x:c>
      <x:c r="K4" s="41" t="n">
        <x:v>-56.4737</x:v>
      </x:c>
      <x:c r="L4" s="41" t="n">
        <x:v>36.6859</x:v>
      </x:c>
      <x:c r="M4" s="41" t="n">
        <x:v>1584.6814</x:v>
      </x:c>
      <x:c r="N4" s="41" t="n">
        <x:v>506.0574</x:v>
      </x:c>
      <x:c r="O4" s="41" t="n">
        <x:v>2351</x:v>
      </x:c>
      <x:c r="P4" s="41" t="str">
        <x:v>1999-01-04</x:v>
      </x:c>
      <x:c r="Q4" s="41" t="str">
        <x:v>2026-05-22</x:v>
      </x:c>
    </x:row>
    <x:row r="5">
      <x:c r="A5" s="41" t="n">
        <x:v>4</x:v>
      </x:c>
      <x:c r="B5" s="41" t="str">
        <x:v>HYP_DD20_CAGR_DYN8055200_SL11_TOPN8_V1</x:v>
      </x:c>
      <x:c r="C5" s="41" t="str">
        <x:v>dd20_adaptive_research</x:v>
      </x:c>
      <x:c r="D5" s="41" t="n">
        <x:v>0.546067</x:v>
      </x:c>
      <x:c r="E5" s="41" t="n">
        <x:v>0.120454</x:v>
      </x:c>
      <x:c r="F5" s="41" t="n">
        <x:v>0.425613</x:v>
      </x:c>
      <x:c r="G5" s="41" t="n">
        <x:v>10.735</x:v>
      </x:c>
      <x:c r="H5" s="41" t="n">
        <x:v>6.8025</x:v>
      </x:c>
      <x:c r="I5" s="41" t="n">
        <x:v>3.9325</x:v>
      </x:c>
      <x:c r="J5" s="41" t="n">
        <x:v>-19.6588</x:v>
      </x:c>
      <x:c r="K5" s="41" t="n">
        <x:v>-56.4737</x:v>
      </x:c>
      <x:c r="L5" s="41" t="n">
        <x:v>36.8149</x:v>
      </x:c>
      <x:c r="M5" s="41" t="n">
        <x:v>1531.0047</x:v>
      </x:c>
      <x:c r="N5" s="41" t="n">
        <x:v>506.0574</x:v>
      </x:c>
      <x:c r="O5" s="41" t="n">
        <x:v>2353</x:v>
      </x:c>
      <x:c r="P5" s="41" t="str">
        <x:v>1999-01-04</x:v>
      </x:c>
      <x:c r="Q5" s="41" t="str">
        <x:v>2026-05-22</x:v>
      </x:c>
    </x:row>
    <x:row r="6">
      <x:c r="A6" s="41" t="n">
        <x:v>5</x:v>
      </x:c>
      <x:c r="B6" s="41" t="str">
        <x:v>HYP_DD20_EXP_SL9_TOPN5_WHEN_GUARD_V1</x:v>
      </x:c>
      <x:c r="C6" s="41" t="str">
        <x:v>dd20_adaptive_research</x:v>
      </x:c>
      <x:c r="D6" s="41" t="n">
        <x:v>0.545955</x:v>
      </x:c>
      <x:c r="E6" s="41" t="n">
        <x:v>0.120454</x:v>
      </x:c>
      <x:c r="F6" s="41" t="n">
        <x:v>0.425501</x:v>
      </x:c>
      <x:c r="G6" s="41" t="n">
        <x:v>10.1524</x:v>
      </x:c>
      <x:c r="H6" s="41" t="n">
        <x:v>6.8025</x:v>
      </x:c>
      <x:c r="I6" s="41" t="n">
        <x:v>3.3499</x:v>
      </x:c>
      <x:c r="J6" s="41" t="n">
        <x:v>-18.5957</x:v>
      </x:c>
      <x:c r="K6" s="41" t="n">
        <x:v>-56.4737</x:v>
      </x:c>
      <x:c r="L6" s="41" t="n">
        <x:v>37.878</x:v>
      </x:c>
      <x:c r="M6" s="41" t="n">
        <x:v>1311.6629</x:v>
      </x:c>
      <x:c r="N6" s="41" t="n">
        <x:v>506.0574</x:v>
      </x:c>
      <x:c r="O6" s="41" t="n">
        <x:v>2385</x:v>
      </x:c>
      <x:c r="P6" s="41" t="str">
        <x:v>1999-01-04</x:v>
      </x:c>
      <x:c r="Q6" s="41" t="str">
        <x:v>2026-05-22</x:v>
      </x:c>
    </x:row>
    <x:row r="7">
      <x:c r="A7" s="41" t="n">
        <x:v>6</x:v>
      </x:c>
      <x:c r="B7" s="41" t="str">
        <x:v>HYP_DD20_EXP_SL8_TOPN5_WHEN_GUARD_V1</x:v>
      </x:c>
      <x:c r="C7" s="41" t="str">
        <x:v>dd20_adaptive_research</x:v>
      </x:c>
      <x:c r="D7" s="41" t="n">
        <x:v>0.545808</x:v>
      </x:c>
      <x:c r="E7" s="41" t="n">
        <x:v>0.120454</x:v>
      </x:c>
      <x:c r="F7" s="41" t="n">
        <x:v>0.425354</x:v>
      </x:c>
      <x:c r="G7" s="41" t="n">
        <x:v>10.0202</x:v>
      </x:c>
      <x:c r="H7" s="41" t="n">
        <x:v>6.8025</x:v>
      </x:c>
      <x:c r="I7" s="41" t="n">
        <x:v>3.2177</x:v>
      </x:c>
      <x:c r="J7" s="41" t="n">
        <x:v>-18.3584</x:v>
      </x:c>
      <x:c r="K7" s="41" t="n">
        <x:v>-56.4737</x:v>
      </x:c>
      <x:c r="L7" s="41" t="n">
        <x:v>38.1152</x:v>
      </x:c>
      <x:c r="M7" s="41" t="n">
        <x:v>1266.0053</x:v>
      </x:c>
      <x:c r="N7" s="41" t="n">
        <x:v>506.0574</x:v>
      </x:c>
      <x:c r="O7" s="41" t="n">
        <x:v>2410</x:v>
      </x:c>
      <x:c r="P7" s="41" t="str">
        <x:v>1999-01-04</x:v>
      </x:c>
      <x:c r="Q7" s="41" t="str">
        <x:v>2026-05-22</x:v>
      </x:c>
    </x:row>
    <x:row r="8">
      <x:c r="A8" s="41" t="n">
        <x:v>7</x:v>
      </x:c>
      <x:c r="B8" s="41" t="str">
        <x:v>HYP_DD20_CAGR_SL12_TOPN10_GUARD18_10_V1</x:v>
      </x:c>
      <x:c r="C8" s="41" t="str">
        <x:v>dd20_adaptive_research</x:v>
      </x:c>
      <x:c r="D8" s="41" t="n">
        <x:v>0.544555</x:v>
      </x:c>
      <x:c r="E8" s="41" t="n">
        <x:v>0.120454</x:v>
      </x:c>
      <x:c r="F8" s="41" t="n">
        <x:v>0.424101</x:v>
      </x:c>
      <x:c r="G8" s="41" t="n">
        <x:v>10.7755</x:v>
      </x:c>
      <x:c r="H8" s="41" t="n">
        <x:v>6.8025</x:v>
      </x:c>
      <x:c r="I8" s="41" t="n">
        <x:v>3.973</x:v>
      </x:c>
      <x:c r="J8" s="41" t="n">
        <x:v>-19.7877</x:v>
      </x:c>
      <x:c r="K8" s="41" t="n">
        <x:v>-56.4737</x:v>
      </x:c>
      <x:c r="L8" s="41" t="n">
        <x:v>36.6859</x:v>
      </x:c>
      <x:c r="M8" s="41" t="n">
        <x:v>1547.4166</x:v>
      </x:c>
      <x:c r="N8" s="41" t="n">
        <x:v>506.0574</x:v>
      </x:c>
      <x:c r="O8" s="41" t="n">
        <x:v>2359</x:v>
      </x:c>
      <x:c r="P8" s="41" t="str">
        <x:v>1999-01-04</x:v>
      </x:c>
      <x:c r="Q8" s="41" t="str">
        <x:v>2026-05-22</x:v>
      </x:c>
    </x:row>
    <x:row r="9">
      <x:c r="A9" s="41" t="n">
        <x:v>8</x:v>
      </x:c>
      <x:c r="B9" s="41" t="str">
        <x:v>HYP_DD20_CAGR_SL12_TOPN12_GUARD18_12_V1</x:v>
      </x:c>
      <x:c r="C9" s="41" t="str">
        <x:v>dd20_adaptive_research</x:v>
      </x:c>
      <x:c r="D9" s="41" t="n">
        <x:v>0.540306</x:v>
      </x:c>
      <x:c r="E9" s="41" t="n">
        <x:v>0.120454</x:v>
      </x:c>
      <x:c r="F9" s="41" t="n">
        <x:v>0.419852</x:v>
      </x:c>
      <x:c r="G9" s="41" t="n">
        <x:v>10.8354</x:v>
      </x:c>
      <x:c r="H9" s="41" t="n">
        <x:v>6.8025</x:v>
      </x:c>
      <x:c r="I9" s="41" t="n">
        <x:v>4.0329</x:v>
      </x:c>
      <x:c r="J9" s="41" t="n">
        <x:v>-20.0542</x:v>
      </x:c>
      <x:c r="K9" s="41" t="n">
        <x:v>-56.4737</x:v>
      </x:c>
      <x:c r="L9" s="41" t="n">
        <x:v>36.4195</x:v>
      </x:c>
      <x:c r="M9" s="41" t="n">
        <x:v>1571.9783</x:v>
      </x:c>
      <x:c r="N9" s="41" t="n">
        <x:v>506.0574</x:v>
      </x:c>
      <x:c r="O9" s="41" t="n">
        <x:v>2371</x:v>
      </x:c>
      <x:c r="P9" s="41" t="str">
        <x:v>1999-01-04</x:v>
      </x:c>
      <x:c r="Q9" s="41" t="str">
        <x:v>2026-05-22</x:v>
      </x:c>
    </x:row>
    <x:row r="10">
      <x:c r="A10" s="41" t="n">
        <x:v>9</x:v>
      </x:c>
      <x:c r="B10" s="41" t="str">
        <x:v>HYP_DD20_CAGR_DYN8055250_SL10_TOPN8_V1</x:v>
      </x:c>
      <x:c r="C10" s="41" t="str">
        <x:v>dd20_adaptive_research</x:v>
      </x:c>
      <x:c r="D10" s="41" t="n">
        <x:v>0.539592</x:v>
      </x:c>
      <x:c r="E10" s="41" t="n">
        <x:v>0.120454</x:v>
      </x:c>
      <x:c r="F10" s="41" t="n">
        <x:v>0.419139</x:v>
      </x:c>
      <x:c r="G10" s="41" t="n">
        <x:v>10.4277</x:v>
      </x:c>
      <x:c r="H10" s="41" t="n">
        <x:v>6.8025</x:v>
      </x:c>
      <x:c r="I10" s="41" t="n">
        <x:v>3.6252</x:v>
      </x:c>
      <x:c r="J10" s="41" t="n">
        <x:v>-19.3252</x:v>
      </x:c>
      <x:c r="K10" s="41" t="n">
        <x:v>-56.4737</x:v>
      </x:c>
      <x:c r="L10" s="41" t="n">
        <x:v>37.1485</x:v>
      </x:c>
      <x:c r="M10" s="41" t="n">
        <x:v>1411.5224</x:v>
      </x:c>
      <x:c r="N10" s="41" t="n">
        <x:v>506.0574</x:v>
      </x:c>
      <x:c r="O10" s="41" t="n">
        <x:v>2387</x:v>
      </x:c>
      <x:c r="P10" s="41" t="str">
        <x:v>1999-01-04</x:v>
      </x:c>
      <x:c r="Q10" s="41" t="str">
        <x:v>2026-05-22</x:v>
      </x:c>
    </x:row>
    <x:row r="11">
      <x:c r="A11" s="41" t="n">
        <x:v>10</x:v>
      </x:c>
      <x:c r="B11" s="41" t="str">
        <x:v>HYP_DD20_EXP_SL11_TOPN8_WHEN_GUARD_V1</x:v>
      </x:c>
      <x:c r="C11" s="41" t="str">
        <x:v>dd20_adaptive_research</x:v>
      </x:c>
      <x:c r="D11" s="41" t="n">
        <x:v>0.536206</x:v>
      </x:c>
      <x:c r="E11" s="41" t="n">
        <x:v>0.120454</x:v>
      </x:c>
      <x:c r="F11" s="41" t="n">
        <x:v>0.415752</x:v>
      </x:c>
      <x:c r="G11" s="41" t="n">
        <x:v>10.5412</x:v>
      </x:c>
      <x:c r="H11" s="41" t="n">
        <x:v>6.8025</x:v>
      </x:c>
      <x:c r="I11" s="41" t="n">
        <x:v>3.7387</x:v>
      </x:c>
      <x:c r="J11" s="41" t="n">
        <x:v>-19.6588</x:v>
      </x:c>
      <x:c r="K11" s="41" t="n">
        <x:v>-56.4737</x:v>
      </x:c>
      <x:c r="L11" s="41" t="n">
        <x:v>36.8149</x:v>
      </x:c>
      <x:c r="M11" s="41" t="n">
        <x:v>1454.6112</x:v>
      </x:c>
      <x:c r="N11" s="41" t="n">
        <x:v>506.0574</x:v>
      </x:c>
      <x:c r="O11" s="41" t="n">
        <x:v>2354</x:v>
      </x:c>
      <x:c r="P11" s="41" t="str">
        <x:v>1999-01-04</x:v>
      </x:c>
      <x:c r="Q11" s="41" t="str">
        <x:v>2026-05-22</x:v>
      </x:c>
    </x:row>
    <x:row r="12">
      <x:c r="A12" s="41" t="n">
        <x:v>11</x:v>
      </x:c>
      <x:c r="B12" s="41" t="str">
        <x:v>HYP_DD20_RESCUE_DYN8050200_NO_NEW_CRISIS_SL11_TOPN8_V1</x:v>
      </x:c>
      <x:c r="C12" s="41" t="str">
        <x:v>dd20_adaptive_research</x:v>
      </x:c>
      <x:c r="D12" s="41" t="n">
        <x:v>0.536206</x:v>
      </x:c>
      <x:c r="E12" s="41" t="n">
        <x:v>0.120454</x:v>
      </x:c>
      <x:c r="F12" s="41" t="n">
        <x:v>0.415752</x:v>
      </x:c>
      <x:c r="G12" s="41" t="n">
        <x:v>10.5412</x:v>
      </x:c>
      <x:c r="H12" s="41" t="n">
        <x:v>6.8025</x:v>
      </x:c>
      <x:c r="I12" s="41" t="n">
        <x:v>3.7387</x:v>
      </x:c>
      <x:c r="J12" s="41" t="n">
        <x:v>-19.6588</x:v>
      </x:c>
      <x:c r="K12" s="41" t="n">
        <x:v>-56.4737</x:v>
      </x:c>
      <x:c r="L12" s="41" t="n">
        <x:v>36.8149</x:v>
      </x:c>
      <x:c r="M12" s="41" t="n">
        <x:v>1454.6112</x:v>
      </x:c>
      <x:c r="N12" s="41" t="n">
        <x:v>506.0574</x:v>
      </x:c>
      <x:c r="O12" s="41" t="n">
        <x:v>2354</x:v>
      </x:c>
      <x:c r="P12" s="41" t="str">
        <x:v>1999-01-04</x:v>
      </x:c>
      <x:c r="Q12" s="41" t="str">
        <x:v>2026-05-22</x:v>
      </x:c>
    </x:row>
    <x:row r="13">
      <x:c r="A13" s="41" t="n">
        <x:v>12</x:v>
      </x:c>
      <x:c r="B13" s="41" t="str">
        <x:v>HYP_DD20_CAGR_DYN8555200_SL11_TOPN10_V1</x:v>
      </x:c>
      <x:c r="C13" s="41" t="str">
        <x:v>dd20_adaptive_research</x:v>
      </x:c>
      <x:c r="D13" s="41" t="n">
        <x:v>0.535895</x:v>
      </x:c>
      <x:c r="E13" s="41" t="n">
        <x:v>0.120454</x:v>
      </x:c>
      <x:c r="F13" s="41" t="n">
        <x:v>0.415441</x:v>
      </x:c>
      <x:c r="G13" s="41" t="n">
        <x:v>11.1338</x:v>
      </x:c>
      <x:c r="H13" s="41" t="n">
        <x:v>6.8025</x:v>
      </x:c>
      <x:c r="I13" s="41" t="n">
        <x:v>4.3314</x:v>
      </x:c>
      <x:c r="J13" s="41" t="n">
        <x:v>-20.7762</x:v>
      </x:c>
      <x:c r="K13" s="41" t="n">
        <x:v>-56.4737</x:v>
      </x:c>
      <x:c r="L13" s="41" t="n">
        <x:v>35.6975</x:v>
      </x:c>
      <x:c r="M13" s="41" t="n">
        <x:v>1699.717</x:v>
      </x:c>
      <x:c r="N13" s="41" t="n">
        <x:v>506.0574</x:v>
      </x:c>
      <x:c r="O13" s="41" t="n">
        <x:v>2314</x:v>
      </x:c>
      <x:c r="P13" s="41" t="str">
        <x:v>1999-01-04</x:v>
      </x:c>
      <x:c r="Q13" s="41" t="str">
        <x:v>2026-05-22</x:v>
      </x:c>
    </x:row>
    <x:row r="14">
      <x:c r="A14" s="41" t="n">
        <x:v>13</x:v>
      </x:c>
      <x:c r="B14" s="41" t="str">
        <x:v>HYP_DD20_CAGR_DYN8050250_SL11_TOPN8_V1</x:v>
      </x:c>
      <x:c r="C14" s="41" t="str">
        <x:v>dd20_adaptive_research</x:v>
      </x:c>
      <x:c r="D14" s="41" t="n">
        <x:v>0.535885</x:v>
      </x:c>
      <x:c r="E14" s="41" t="n">
        <x:v>0.120454</x:v>
      </x:c>
      <x:c r="F14" s="41" t="n">
        <x:v>0.415431</x:v>
      </x:c>
      <x:c r="G14" s="41" t="n">
        <x:v>10.5348</x:v>
      </x:c>
      <x:c r="H14" s="41" t="n">
        <x:v>6.8025</x:v>
      </x:c>
      <x:c r="I14" s="41" t="n">
        <x:v>3.7324</x:v>
      </x:c>
      <x:c r="J14" s="41" t="n">
        <x:v>-19.6588</x:v>
      </x:c>
      <x:c r="K14" s="41" t="n">
        <x:v>-56.4737</x:v>
      </x:c>
      <x:c r="L14" s="41" t="n">
        <x:v>36.8149</x:v>
      </x:c>
      <x:c r="M14" s="41" t="n">
        <x:v>1452.1838</x:v>
      </x:c>
      <x:c r="N14" s="41" t="n">
        <x:v>506.0574</x:v>
      </x:c>
      <x:c r="O14" s="41" t="n">
        <x:v>2354</x:v>
      </x:c>
      <x:c r="P14" s="41" t="str">
        <x:v>1999-01-04</x:v>
      </x:c>
      <x:c r="Q14" s="41" t="str">
        <x:v>2026-05-22</x:v>
      </x:c>
    </x:row>
    <x:row r="15">
      <x:c r="A15" s="41" t="n">
        <x:v>14</x:v>
      </x:c>
      <x:c r="B15" s="41" t="str">
        <x:v>HYP_DD20_CAGR_DYN8550200_SL11_TOPN8_V1</x:v>
      </x:c>
      <x:c r="C15" s="41" t="str">
        <x:v>dd20_adaptive_research</x:v>
      </x:c>
      <x:c r="D15" s="41" t="n">
        <x:v>0.534561</x:v>
      </x:c>
      <x:c r="E15" s="41" t="n">
        <x:v>0.120454</x:v>
      </x:c>
      <x:c r="F15" s="41" t="n">
        <x:v>0.414107</x:v>
      </x:c>
      <x:c r="G15" s="41" t="n">
        <x:v>11.1061</x:v>
      </x:c>
      <x:c r="H15" s="41" t="n">
        <x:v>6.8025</x:v>
      </x:c>
      <x:c r="I15" s="41" t="n">
        <x:v>4.3037</x:v>
      </x:c>
      <x:c r="J15" s="41" t="n">
        <x:v>-20.7762</x:v>
      </x:c>
      <x:c r="K15" s="41" t="n">
        <x:v>-56.4737</x:v>
      </x:c>
      <x:c r="L15" s="41" t="n">
        <x:v>35.6975</x:v>
      </x:c>
      <x:c r="M15" s="41" t="n">
        <x:v>1687.4706</x:v>
      </x:c>
      <x:c r="N15" s="41" t="n">
        <x:v>506.0574</x:v>
      </x:c>
      <x:c r="O15" s="41" t="n">
        <x:v>2319</x:v>
      </x:c>
      <x:c r="P15" s="41" t="str">
        <x:v>1999-01-04</x:v>
      </x:c>
      <x:c r="Q15" s="41" t="str">
        <x:v>2026-05-22</x:v>
      </x:c>
    </x:row>
    <x:row r="16">
      <x:c r="A16" s="41" t="n">
        <x:v>15</x:v>
      </x:c>
      <x:c r="B16" s="41" t="str">
        <x:v>HYP_DD20_CAGR_SL10P5_TOPN8_GUARD18_10_V1</x:v>
      </x:c>
      <x:c r="C16" s="41" t="str">
        <x:v>dd20_adaptive_research</x:v>
      </x:c>
      <x:c r="D16" s="41" t="n">
        <x:v>0.534533</x:v>
      </x:c>
      <x:c r="E16" s="41" t="n">
        <x:v>0.120454</x:v>
      </x:c>
      <x:c r="F16" s="41" t="n">
        <x:v>0.414079</x:v>
      </x:c>
      <x:c r="G16" s="41" t="n">
        <x:v>10.2593</x:v>
      </x:c>
      <x:c r="H16" s="41" t="n">
        <x:v>6.8025</x:v>
      </x:c>
      <x:c r="I16" s="41" t="n">
        <x:v>3.4568</x:v>
      </x:c>
      <x:c r="J16" s="41" t="n">
        <x:v>-19.1929</x:v>
      </x:c>
      <x:c r="K16" s="41" t="n">
        <x:v>-56.4737</x:v>
      </x:c>
      <x:c r="L16" s="41" t="n">
        <x:v>37.2807</x:v>
      </x:c>
      <x:c r="M16" s="41" t="n">
        <x:v>1349.6439</x:v>
      </x:c>
      <x:c r="N16" s="41" t="n">
        <x:v>506.0574</x:v>
      </x:c>
      <x:c r="O16" s="41" t="n">
        <x:v>2370</x:v>
      </x:c>
      <x:c r="P16" s="41" t="str">
        <x:v>1999-01-04</x:v>
      </x:c>
      <x:c r="Q16" s="41" t="str">
        <x:v>2026-05-22</x:v>
      </x:c>
    </x:row>
    <x:row r="17">
      <x:c r="A17" s="41" t="n">
        <x:v>16</x:v>
      </x:c>
      <x:c r="B17" s="41" t="str">
        <x:v>HYP_DD20_EXP_SL10_TOPN3_WHEN_GUARD_V1</x:v>
      </x:c>
      <x:c r="C17" s="41" t="str">
        <x:v>dd20_adaptive_research</x:v>
      </x:c>
      <x:c r="D17" s="41" t="n">
        <x:v>0.534387</x:v>
      </x:c>
      <x:c r="E17" s="41" t="n">
        <x:v>0.120454</x:v>
      </x:c>
      <x:c r="F17" s="41" t="n">
        <x:v>0.413933</x:v>
      </x:c>
      <x:c r="G17" s="41" t="n">
        <x:v>10.3271</x:v>
      </x:c>
      <x:c r="H17" s="41" t="n">
        <x:v>6.8025</x:v>
      </x:c>
      <x:c r="I17" s="41" t="n">
        <x:v>3.5246</x:v>
      </x:c>
      <x:c r="J17" s="41" t="n">
        <x:v>-19.3252</x:v>
      </x:c>
      <x:c r="K17" s="41" t="n">
        <x:v>-56.4737</x:v>
      </x:c>
      <x:c r="L17" s="41" t="n">
        <x:v>37.1485</x:v>
      </x:c>
      <x:c r="M17" s="41" t="n">
        <x:v>1374.2707</x:v>
      </x:c>
      <x:c r="N17" s="41" t="n">
        <x:v>506.0574</x:v>
      </x:c>
      <x:c r="O17" s="41" t="n">
        <x:v>2379</x:v>
      </x:c>
      <x:c r="P17" s="41" t="str">
        <x:v>1999-01-04</x:v>
      </x:c>
      <x:c r="Q17" s="41" t="str">
        <x:v>2026-05-22</x:v>
      </x:c>
    </x:row>
    <x:row r="18">
      <x:c r="A18" s="41" t="n">
        <x:v>17</x:v>
      </x:c>
      <x:c r="B18" s="41" t="str">
        <x:v>HYP_DD20_EXP_DYN8055200_SL10_TOPN5_V1</x:v>
      </x:c>
      <x:c r="C18" s="41" t="str">
        <x:v>dd20_adaptive_research</x:v>
      </x:c>
      <x:c r="D18" s="41" t="n">
        <x:v>0.533659</x:v>
      </x:c>
      <x:c r="E18" s="41" t="n">
        <x:v>0.120454</x:v>
      </x:c>
      <x:c r="F18" s="41" t="n">
        <x:v>0.413205</x:v>
      </x:c>
      <x:c r="G18" s="41" t="n">
        <x:v>10.3131</x:v>
      </x:c>
      <x:c r="H18" s="41" t="n">
        <x:v>6.8025</x:v>
      </x:c>
      <x:c r="I18" s="41" t="n">
        <x:v>3.5106</x:v>
      </x:c>
      <x:c r="J18" s="41" t="n">
        <x:v>-19.3252</x:v>
      </x:c>
      <x:c r="K18" s="41" t="n">
        <x:v>-56.4737</x:v>
      </x:c>
      <x:c r="L18" s="41" t="n">
        <x:v>37.1485</x:v>
      </x:c>
      <x:c r="M18" s="41" t="n">
        <x:v>1369.1341</x:v>
      </x:c>
      <x:c r="N18" s="41" t="n">
        <x:v>506.0574</x:v>
      </x:c>
      <x:c r="O18" s="41" t="n">
        <x:v>2366</x:v>
      </x:c>
      <x:c r="P18" s="41" t="str">
        <x:v>1999-01-04</x:v>
      </x:c>
      <x:c r="Q18" s="41" t="str">
        <x:v>2026-05-22</x:v>
      </x:c>
    </x:row>
    <x:row r="19">
      <x:c r="A19" s="41" t="n">
        <x:v>18</x:v>
      </x:c>
      <x:c r="B19" s="41" t="str">
        <x:v>HYP_DD20_CAGR_SL11_TOPN8_GUARD18_12_V1</x:v>
      </x:c>
      <x:c r="C19" s="41" t="str">
        <x:v>dd20_adaptive_research</x:v>
      </x:c>
      <x:c r="D19" s="41" t="n">
        <x:v>0.53107</x:v>
      </x:c>
      <x:c r="E19" s="41" t="n">
        <x:v>0.120454</x:v>
      </x:c>
      <x:c r="F19" s="41" t="n">
        <x:v>0.410616</x:v>
      </x:c>
      <x:c r="G19" s="41" t="n">
        <x:v>10.4402</x:v>
      </x:c>
      <x:c r="H19" s="41" t="n">
        <x:v>6.8025</x:v>
      </x:c>
      <x:c r="I19" s="41" t="n">
        <x:v>3.6377</x:v>
      </x:c>
      <x:c r="J19" s="41" t="n">
        <x:v>-19.6588</x:v>
      </x:c>
      <x:c r="K19" s="41" t="n">
        <x:v>-56.4737</x:v>
      </x:c>
      <x:c r="L19" s="41" t="n">
        <x:v>36.8149</x:v>
      </x:c>
      <x:c r="M19" s="41" t="n">
        <x:v>1416.2024</x:v>
      </x:c>
      <x:c r="N19" s="41" t="n">
        <x:v>506.0574</x:v>
      </x:c>
      <x:c r="O19" s="41" t="n">
        <x:v>2376</x:v>
      </x:c>
      <x:c r="P19" s="41" t="str">
        <x:v>1999-01-04</x:v>
      </x:c>
      <x:c r="Q19" s="41" t="str">
        <x:v>2026-05-22</x:v>
      </x:c>
    </x:row>
    <x:row r="20">
      <x:c r="A20" s="41" t="n">
        <x:v>19</x:v>
      </x:c>
      <x:c r="B20" s="41" t="str">
        <x:v>HYP_DD20_CTRL_DD_COMPRESS_15_35_V1</x:v>
      </x:c>
      <x:c r="C20" s="41" t="str">
        <x:v>dd20_adaptive_research</x:v>
      </x:c>
      <x:c r="D20" s="41" t="n">
        <x:v>0.530663</x:v>
      </x:c>
      <x:c r="E20" s="41" t="n">
        <x:v>0.120454</x:v>
      </x:c>
      <x:c r="F20" s="41" t="n">
        <x:v>0.410209</x:v>
      </x:c>
      <x:c r="G20" s="41" t="n">
        <x:v>10.185</x:v>
      </x:c>
      <x:c r="H20" s="41" t="n">
        <x:v>6.8025</x:v>
      </x:c>
      <x:c r="I20" s="41" t="n">
        <x:v>3.3825</x:v>
      </x:c>
      <x:c r="J20" s="41" t="n">
        <x:v>-19.1929</x:v>
      </x:c>
      <x:c r="K20" s="41" t="n">
        <x:v>-56.4737</x:v>
      </x:c>
      <x:c r="L20" s="41" t="n">
        <x:v>37.2807</x:v>
      </x:c>
      <x:c r="M20" s="41" t="n">
        <x:v>1323.1434</x:v>
      </x:c>
      <x:c r="N20" s="41" t="n">
        <x:v>506.0574</x:v>
      </x:c>
      <x:c r="O20" s="41" t="n">
        <x:v>2385</x:v>
      </x:c>
      <x:c r="P20" s="41" t="str">
        <x:v>1999-01-04</x:v>
      </x:c>
      <x:c r="Q20" s="41" t="str">
        <x:v>2026-05-22</x:v>
      </x:c>
    </x:row>
    <x:row r="21">
      <x:c r="A21" s="41" t="n">
        <x:v>20</x:v>
      </x:c>
      <x:c r="B21" s="41" t="str">
        <x:v>HYP_DD20_CTRL_DD_COMPRESS_16_40_V1</x:v>
      </x:c>
      <x:c r="C21" s="41" t="str">
        <x:v>dd20_adaptive_research</x:v>
      </x:c>
      <x:c r="D21" s="41" t="n">
        <x:v>0.530663</x:v>
      </x:c>
      <x:c r="E21" s="41" t="n">
        <x:v>0.120454</x:v>
      </x:c>
      <x:c r="F21" s="41" t="n">
        <x:v>0.410209</x:v>
      </x:c>
      <x:c r="G21" s="41" t="n">
        <x:v>10.185</x:v>
      </x:c>
      <x:c r="H21" s="41" t="n">
        <x:v>6.8025</x:v>
      </x:c>
      <x:c r="I21" s="41" t="n">
        <x:v>3.3825</x:v>
      </x:c>
      <x:c r="J21" s="41" t="n">
        <x:v>-19.1929</x:v>
      </x:c>
      <x:c r="K21" s="41" t="n">
        <x:v>-56.4737</x:v>
      </x:c>
      <x:c r="L21" s="41" t="n">
        <x:v>37.2807</x:v>
      </x:c>
      <x:c r="M21" s="41" t="n">
        <x:v>1323.1434</x:v>
      </x:c>
      <x:c r="N21" s="41" t="n">
        <x:v>506.0574</x:v>
      </x:c>
      <x:c r="O21" s="41" t="n">
        <x:v>2385</x:v>
      </x:c>
      <x:c r="P21" s="41" t="str">
        <x:v>1999-01-04</x:v>
      </x:c>
      <x:c r="Q21" s="41" t="str">
        <x:v>2026-05-22</x:v>
      </x:c>
    </x:row>
    <x:row r="22">
      <x:c r="A22" s="41" t="n">
        <x:v>21</x:v>
      </x:c>
      <x:c r="B22" s="41" t="str">
        <x:v>HYP_DD20_CTRL_DD_COMPRESS_17_45_V1</x:v>
      </x:c>
      <x:c r="C22" s="41" t="str">
        <x:v>dd20_adaptive_research</x:v>
      </x:c>
      <x:c r="D22" s="41" t="n">
        <x:v>0.530663</x:v>
      </x:c>
      <x:c r="E22" s="41" t="n">
        <x:v>0.120454</x:v>
      </x:c>
      <x:c r="F22" s="41" t="n">
        <x:v>0.410209</x:v>
      </x:c>
      <x:c r="G22" s="41" t="n">
        <x:v>10.185</x:v>
      </x:c>
      <x:c r="H22" s="41" t="n">
        <x:v>6.8025</x:v>
      </x:c>
      <x:c r="I22" s="41" t="n">
        <x:v>3.3825</x:v>
      </x:c>
      <x:c r="J22" s="41" t="n">
        <x:v>-19.1929</x:v>
      </x:c>
      <x:c r="K22" s="41" t="n">
        <x:v>-56.4737</x:v>
      </x:c>
      <x:c r="L22" s="41" t="n">
        <x:v>37.2807</x:v>
      </x:c>
      <x:c r="M22" s="41" t="n">
        <x:v>1323.1434</x:v>
      </x:c>
      <x:c r="N22" s="41" t="n">
        <x:v>506.0574</x:v>
      </x:c>
      <x:c r="O22" s="41" t="n">
        <x:v>2385</x:v>
      </x:c>
      <x:c r="P22" s="41" t="str">
        <x:v>1999-01-04</x:v>
      </x:c>
      <x:c r="Q22" s="41" t="str">
        <x:v>2026-05-22</x:v>
      </x:c>
    </x:row>
    <x:row r="23">
      <x:c r="A23" s="41" t="n">
        <x:v>22</x:v>
      </x:c>
      <x:c r="B23" s="41" t="str">
        <x:v>HYP_DD20_EXP_SL10_TOPN10_WHEN_GUARD_V1</x:v>
      </x:c>
      <x:c r="C23" s="41" t="str">
        <x:v>dd20_adaptive_research</x:v>
      </x:c>
      <x:c r="D23" s="41" t="n">
        <x:v>0.529927</x:v>
      </x:c>
      <x:c r="E23" s="41" t="n">
        <x:v>0.120454</x:v>
      </x:c>
      <x:c r="F23" s="41" t="n">
        <x:v>0.409473</x:v>
      </x:c>
      <x:c r="G23" s="41" t="n">
        <x:v>10.2409</x:v>
      </x:c>
      <x:c r="H23" s="41" t="n">
        <x:v>6.8025</x:v>
      </x:c>
      <x:c r="I23" s="41" t="n">
        <x:v>3.4385</x:v>
      </x:c>
      <x:c r="J23" s="41" t="n">
        <x:v>-19.3252</x:v>
      </x:c>
      <x:c r="K23" s="41" t="n">
        <x:v>-56.4737</x:v>
      </x:c>
      <x:c r="L23" s="41" t="n">
        <x:v>37.1485</x:v>
      </x:c>
      <x:c r="M23" s="41" t="n">
        <x:v>1343.0593</x:v>
      </x:c>
      <x:c r="N23" s="41" t="n">
        <x:v>506.0574</x:v>
      </x:c>
      <x:c r="O23" s="41" t="n">
        <x:v>2393</x:v>
      </x:c>
      <x:c r="P23" s="41" t="str">
        <x:v>1999-01-04</x:v>
      </x:c>
      <x:c r="Q23" s="41" t="str">
        <x:v>2026-05-22</x:v>
      </x:c>
    </x:row>
    <x:row r="24">
      <x:c r="A24" s="41" t="n">
        <x:v>23</x:v>
      </x:c>
      <x:c r="B24" s="41" t="str">
        <x:v>HYP_DD20_EXP_SL10_TOPN8_WHEN_GUARD_V1</x:v>
      </x:c>
      <x:c r="C24" s="41" t="str">
        <x:v>dd20_adaptive_research</x:v>
      </x:c>
      <x:c r="D24" s="41" t="n">
        <x:v>0.529927</x:v>
      </x:c>
      <x:c r="E24" s="41" t="n">
        <x:v>0.120454</x:v>
      </x:c>
      <x:c r="F24" s="41" t="n">
        <x:v>0.409473</x:v>
      </x:c>
      <x:c r="G24" s="41" t="n">
        <x:v>10.2409</x:v>
      </x:c>
      <x:c r="H24" s="41" t="n">
        <x:v>6.8025</x:v>
      </x:c>
      <x:c r="I24" s="41" t="n">
        <x:v>3.4385</x:v>
      </x:c>
      <x:c r="J24" s="41" t="n">
        <x:v>-19.3252</x:v>
      </x:c>
      <x:c r="K24" s="41" t="n">
        <x:v>-56.4737</x:v>
      </x:c>
      <x:c r="L24" s="41" t="n">
        <x:v>37.1485</x:v>
      </x:c>
      <x:c r="M24" s="41" t="n">
        <x:v>1343.0593</x:v>
      </x:c>
      <x:c r="N24" s="41" t="n">
        <x:v>506.0574</x:v>
      </x:c>
      <x:c r="O24" s="41" t="n">
        <x:v>2393</x:v>
      </x:c>
      <x:c r="P24" s="41" t="str">
        <x:v>1999-01-04</x:v>
      </x:c>
      <x:c r="Q24" s="41" t="str">
        <x:v>2026-05-22</x:v>
      </x:c>
    </x:row>
    <x:row r="25">
      <x:c r="A25" s="41" t="n">
        <x:v>24</x:v>
      </x:c>
      <x:c r="B25" s="41" t="str">
        <x:v>HYP_DD20_ADAPT_SL10_TOPN5_WHEN_GUARD_V1</x:v>
      </x:c>
      <x:c r="C25" s="41" t="str">
        <x:v>dd20_adaptive_research</x:v>
      </x:c>
      <x:c r="D25" s="41" t="n">
        <x:v>0.529906</x:v>
      </x:c>
      <x:c r="E25" s="41" t="n">
        <x:v>0.120454</x:v>
      </x:c>
      <x:c r="F25" s="41" t="n">
        <x:v>0.409452</x:v>
      </x:c>
      <x:c r="G25" s="41" t="n">
        <x:v>10.2405</x:v>
      </x:c>
      <x:c r="H25" s="41" t="n">
        <x:v>6.8025</x:v>
      </x:c>
      <x:c r="I25" s="41" t="n">
        <x:v>3.4381</x:v>
      </x:c>
      <x:c r="J25" s="41" t="n">
        <x:v>-19.3252</x:v>
      </x:c>
      <x:c r="K25" s="41" t="n">
        <x:v>-56.4737</x:v>
      </x:c>
      <x:c r="L25" s="41" t="n">
        <x:v>37.1485</x:v>
      </x:c>
      <x:c r="M25" s="41" t="n">
        <x:v>1342.9201</x:v>
      </x:c>
      <x:c r="N25" s="41" t="n">
        <x:v>506.0574</x:v>
      </x:c>
      <x:c r="O25" s="41" t="n">
        <x:v>2388</x:v>
      </x:c>
      <x:c r="P25" s="41" t="str">
        <x:v>1999-01-04</x:v>
      </x:c>
      <x:c r="Q25" s="41" t="str">
        <x:v>2026-05-22</x:v>
      </x:c>
    </x:row>
    <x:row r="26">
      <x:c r="A26" s="41" t="n">
        <x:v>25</x:v>
      </x:c>
      <x:c r="B26" s="41" t="str">
        <x:v>HYP_DD20_CAGR_SL11_TOPN10_GUARD18_10_V1</x:v>
      </x:c>
      <x:c r="C26" s="41" t="str">
        <x:v>dd20_adaptive_research</x:v>
      </x:c>
      <x:c r="D26" s="41" t="n">
        <x:v>0.528332</x:v>
      </x:c>
      <x:c r="E26" s="41" t="n">
        <x:v>0.120454</x:v>
      </x:c>
      <x:c r="F26" s="41" t="n">
        <x:v>0.407878</x:v>
      </x:c>
      <x:c r="G26" s="41" t="n">
        <x:v>10.3864</x:v>
      </x:c>
      <x:c r="H26" s="41" t="n">
        <x:v>6.8025</x:v>
      </x:c>
      <x:c r="I26" s="41" t="n">
        <x:v>3.5839</x:v>
      </x:c>
      <x:c r="J26" s="41" t="n">
        <x:v>-19.6588</x:v>
      </x:c>
      <x:c r="K26" s="41" t="n">
        <x:v>-56.4737</x:v>
      </x:c>
      <x:c r="L26" s="41" t="n">
        <x:v>36.8149</x:v>
      </x:c>
      <x:c r="M26" s="41" t="n">
        <x:v>1396.0966</x:v>
      </x:c>
      <x:c r="N26" s="41" t="n">
        <x:v>506.0574</x:v>
      </x:c>
      <x:c r="O26" s="41" t="n">
        <x:v>2362</x:v>
      </x:c>
      <x:c r="P26" s="41" t="str">
        <x:v>1999-01-04</x:v>
      </x:c>
      <x:c r="Q26" s="41" t="str">
        <x:v>2026-05-22</x:v>
      </x:c>
    </x:row>
    <x:row r="27">
      <x:c r="A27" s="41" t="n">
        <x:v>26</x:v>
      </x:c>
      <x:c r="B27" s="41" t="str">
        <x:v>HYP_DD20_CAGR_SL11_TOPN8_GUARD18_14_V1</x:v>
      </x:c>
      <x:c r="C27" s="41" t="str">
        <x:v>dd20_adaptive_research</x:v>
      </x:c>
      <x:c r="D27" s="41" t="n">
        <x:v>0.526453</x:v>
      </x:c>
      <x:c r="E27" s="41" t="n">
        <x:v>0.120454</x:v>
      </x:c>
      <x:c r="F27" s="41" t="n">
        <x:v>0.405999</x:v>
      </x:c>
      <x:c r="G27" s="41" t="n">
        <x:v>10.3494</x:v>
      </x:c>
      <x:c r="H27" s="41" t="n">
        <x:v>6.8025</x:v>
      </x:c>
      <x:c r="I27" s="41" t="n">
        <x:v>3.547</x:v>
      </x:c>
      <x:c r="J27" s="41" t="n">
        <x:v>-19.6588</x:v>
      </x:c>
      <x:c r="K27" s="41" t="n">
        <x:v>-56.4737</x:v>
      </x:c>
      <x:c r="L27" s="41" t="n">
        <x:v>36.8149</x:v>
      </x:c>
      <x:c r="M27" s="41" t="n">
        <x:v>1382.4554</x:v>
      </x:c>
      <x:c r="N27" s="41" t="n">
        <x:v>506.0574</x:v>
      </x:c>
      <x:c r="O27" s="41" t="n">
        <x:v>2369</x:v>
      </x:c>
      <x:c r="P27" s="41" t="str">
        <x:v>1999-01-04</x:v>
      </x:c>
      <x:c r="Q27" s="41" t="str">
        <x:v>2026-05-22</x:v>
      </x:c>
    </x:row>
    <x:row r="28">
      <x:c r="A28" s="41" t="n">
        <x:v>27</x:v>
      </x:c>
      <x:c r="B28" s="41" t="str">
        <x:v>HYP_DD20_EXP_DYN8050250_SL10_TOPN5_V1</x:v>
      </x:c>
      <x:c r="C28" s="41" t="str">
        <x:v>dd20_adaptive_research</x:v>
      </x:c>
      <x:c r="D28" s="41" t="n">
        <x:v>0.526446</x:v>
      </x:c>
      <x:c r="E28" s="41" t="n">
        <x:v>0.120454</x:v>
      </x:c>
      <x:c r="F28" s="41" t="n">
        <x:v>0.405992</x:v>
      </x:c>
      <x:c r="G28" s="41" t="n">
        <x:v>10.1737</x:v>
      </x:c>
      <x:c r="H28" s="41" t="n">
        <x:v>6.8025</x:v>
      </x:c>
      <x:c r="I28" s="41" t="n">
        <x:v>3.3712</x:v>
      </x:c>
      <x:c r="J28" s="41" t="n">
        <x:v>-19.3252</x:v>
      </x:c>
      <x:c r="K28" s="41" t="n">
        <x:v>-56.4737</x:v>
      </x:c>
      <x:c r="L28" s="41" t="n">
        <x:v>37.1485</x:v>
      </x:c>
      <x:c r="M28" s="41" t="n">
        <x:v>1319.1451</x:v>
      </x:c>
      <x:c r="N28" s="41" t="n">
        <x:v>506.0574</x:v>
      </x:c>
      <x:c r="O28" s="41" t="n">
        <x:v>2388</x:v>
      </x:c>
      <x:c r="P28" s="41" t="str">
        <x:v>1999-01-04</x:v>
      </x:c>
      <x:c r="Q28" s="41" t="str">
        <x:v>2026-05-22</x:v>
      </x:c>
    </x:row>
    <x:row r="29">
      <x:c r="A29" s="41" t="n">
        <x:v>28</x:v>
      </x:c>
      <x:c r="B29" s="41" t="str">
        <x:v>HYP_DD20_EXP_GUARD18_14_SL10_TOPN5_V1</x:v>
      </x:c>
      <x:c r="C29" s="41" t="str">
        <x:v>dd20_adaptive_research</x:v>
      </x:c>
      <x:c r="D29" s="41" t="n">
        <x:v>0.526242</x:v>
      </x:c>
      <x:c r="E29" s="41" t="n">
        <x:v>0.120454</x:v>
      </x:c>
      <x:c r="F29" s="41" t="n">
        <x:v>0.405788</x:v>
      </x:c>
      <x:c r="G29" s="41" t="n">
        <x:v>10.1697</x:v>
      </x:c>
      <x:c r="H29" s="41" t="n">
        <x:v>6.8025</x:v>
      </x:c>
      <x:c r="I29" s="41" t="n">
        <x:v>3.3673</x:v>
      </x:c>
      <x:c r="J29" s="41" t="n">
        <x:v>-19.3252</x:v>
      </x:c>
      <x:c r="K29" s="41" t="n">
        <x:v>-56.4737</x:v>
      </x:c>
      <x:c r="L29" s="41" t="n">
        <x:v>37.1485</x:v>
      </x:c>
      <x:c r="M29" s="41" t="n">
        <x:v>1317.7584</x:v>
      </x:c>
      <x:c r="N29" s="41" t="n">
        <x:v>506.0574</x:v>
      </x:c>
      <x:c r="O29" s="41" t="n">
        <x:v>2398</x:v>
      </x:c>
      <x:c r="P29" s="41" t="str">
        <x:v>1999-01-04</x:v>
      </x:c>
      <x:c r="Q29" s="41" t="str">
        <x:v>2026-05-22</x:v>
      </x:c>
    </x:row>
    <x:row r="30">
      <x:c r="A30" s="41" t="n">
        <x:v>29</x:v>
      </x:c>
      <x:c r="B30" s="41" t="str">
        <x:v>HYP_DD20_EXP_GUARD19_12_SL10_TOPN5_V1</x:v>
      </x:c>
      <x:c r="C30" s="41" t="str">
        <x:v>dd20_adaptive_research</x:v>
      </x:c>
      <x:c r="D30" s="41" t="n">
        <x:v>0.526242</x:v>
      </x:c>
      <x:c r="E30" s="41" t="n">
        <x:v>0.120454</x:v>
      </x:c>
      <x:c r="F30" s="41" t="n">
        <x:v>0.405788</x:v>
      </x:c>
      <x:c r="G30" s="41" t="n">
        <x:v>10.1697</x:v>
      </x:c>
      <x:c r="H30" s="41" t="n">
        <x:v>6.8025</x:v>
      </x:c>
      <x:c r="I30" s="41" t="n">
        <x:v>3.3673</x:v>
      </x:c>
      <x:c r="J30" s="41" t="n">
        <x:v>-19.3252</x:v>
      </x:c>
      <x:c r="K30" s="41" t="n">
        <x:v>-56.4737</x:v>
      </x:c>
      <x:c r="L30" s="41" t="n">
        <x:v>37.1485</x:v>
      </x:c>
      <x:c r="M30" s="41" t="n">
        <x:v>1317.7584</x:v>
      </x:c>
      <x:c r="N30" s="41" t="n">
        <x:v>506.0574</x:v>
      </x:c>
      <x:c r="O30" s="41" t="n">
        <x:v>2398</x:v>
      </x:c>
      <x:c r="P30" s="41" t="str">
        <x:v>1999-01-04</x:v>
      </x:c>
      <x:c r="Q30" s="41" t="str">
        <x:v>2026-05-22</x:v>
      </x:c>
    </x:row>
    <x:row r="31">
      <x:c r="A31" s="41" t="n">
        <x:v>30</x:v>
      </x:c>
      <x:c r="B31" s="41" t="str">
        <x:v>HYP_DD20_EXP_SL10_TOPN5_GUARD18_12_V1</x:v>
      </x:c>
      <x:c r="C31" s="41" t="str">
        <x:v>dd20_adaptive_research</x:v>
      </x:c>
      <x:c r="D31" s="41" t="n">
        <x:v>0.526242</x:v>
      </x:c>
      <x:c r="E31" s="41" t="n">
        <x:v>0.120454</x:v>
      </x:c>
      <x:c r="F31" s="41" t="n">
        <x:v>0.405788</x:v>
      </x:c>
      <x:c r="G31" s="41" t="n">
        <x:v>10.1697</x:v>
      </x:c>
      <x:c r="H31" s="41" t="n">
        <x:v>6.8025</x:v>
      </x:c>
      <x:c r="I31" s="41" t="n">
        <x:v>3.3673</x:v>
      </x:c>
      <x:c r="J31" s="41" t="n">
        <x:v>-19.3252</x:v>
      </x:c>
      <x:c r="K31" s="41" t="n">
        <x:v>-56.4737</x:v>
      </x:c>
      <x:c r="L31" s="41" t="n">
        <x:v>37.1485</x:v>
      </x:c>
      <x:c r="M31" s="41" t="n">
        <x:v>1317.7584</x:v>
      </x:c>
      <x:c r="N31" s="41" t="n">
        <x:v>506.0574</x:v>
      </x:c>
      <x:c r="O31" s="41" t="n">
        <x:v>2398</x:v>
      </x:c>
      <x:c r="P31" s="41" t="str">
        <x:v>1999-01-04</x:v>
      </x:c>
      <x:c r="Q31" s="41" t="str">
        <x:v>2026-05-22</x:v>
      </x:c>
    </x:row>
    <x:row r="32">
      <x:c r="A32" s="41" t="n">
        <x:v>31</x:v>
      </x:c>
      <x:c r="B32" s="41" t="str">
        <x:v>HYP_DD20_EXP_SL10_TOPN10_GUARD18_12_V1</x:v>
      </x:c>
      <x:c r="C32" s="41" t="str">
        <x:v>dd20_adaptive_research</x:v>
      </x:c>
      <x:c r="D32" s="41" t="n">
        <x:v>0.526074</x:v>
      </x:c>
      <x:c r="E32" s="41" t="n">
        <x:v>0.120454</x:v>
      </x:c>
      <x:c r="F32" s="41" t="n">
        <x:v>0.40562</x:v>
      </x:c>
      <x:c r="G32" s="41" t="n">
        <x:v>10.1665</x:v>
      </x:c>
      <x:c r="H32" s="41" t="n">
        <x:v>6.8025</x:v>
      </x:c>
      <x:c r="I32" s="41" t="n">
        <x:v>3.364</x:v>
      </x:c>
      <x:c r="J32" s="41" t="n">
        <x:v>-19.3252</x:v>
      </x:c>
      <x:c r="K32" s="41" t="n">
        <x:v>-56.4737</x:v>
      </x:c>
      <x:c r="L32" s="41" t="n">
        <x:v>37.1485</x:v>
      </x:c>
      <x:c r="M32" s="41" t="n">
        <x:v>1316.6129</x:v>
      </x:c>
      <x:c r="N32" s="41" t="n">
        <x:v>506.0574</x:v>
      </x:c>
      <x:c r="O32" s="41" t="n">
        <x:v>2402</x:v>
      </x:c>
      <x:c r="P32" s="41" t="str">
        <x:v>1999-01-04</x:v>
      </x:c>
      <x:c r="Q32" s="41" t="str">
        <x:v>2026-05-22</x:v>
      </x:c>
    </x:row>
    <x:row r="33">
      <x:c r="A33" s="41" t="n">
        <x:v>32</x:v>
      </x:c>
      <x:c r="B33" s="41" t="str">
        <x:v>HYP_DD20_EXP_SL10_TOPN8_GUARD18_12_V1</x:v>
      </x:c>
      <x:c r="C33" s="41" t="str">
        <x:v>dd20_adaptive_research</x:v>
      </x:c>
      <x:c r="D33" s="41" t="n">
        <x:v>0.526074</x:v>
      </x:c>
      <x:c r="E33" s="41" t="n">
        <x:v>0.120454</x:v>
      </x:c>
      <x:c r="F33" s="41" t="n">
        <x:v>0.40562</x:v>
      </x:c>
      <x:c r="G33" s="41" t="n">
        <x:v>10.1665</x:v>
      </x:c>
      <x:c r="H33" s="41" t="n">
        <x:v>6.8025</x:v>
      </x:c>
      <x:c r="I33" s="41" t="n">
        <x:v>3.364</x:v>
      </x:c>
      <x:c r="J33" s="41" t="n">
        <x:v>-19.3252</x:v>
      </x:c>
      <x:c r="K33" s="41" t="n">
        <x:v>-56.4737</x:v>
      </x:c>
      <x:c r="L33" s="41" t="n">
        <x:v>37.1485</x:v>
      </x:c>
      <x:c r="M33" s="41" t="n">
        <x:v>1316.6129</x:v>
      </x:c>
      <x:c r="N33" s="41" t="n">
        <x:v>506.0574</x:v>
      </x:c>
      <x:c r="O33" s="41" t="n">
        <x:v>2402</x:v>
      </x:c>
      <x:c r="P33" s="41" t="str">
        <x:v>1999-01-04</x:v>
      </x:c>
      <x:c r="Q33" s="41" t="str">
        <x:v>2026-05-22</x:v>
      </x:c>
    </x:row>
    <x:row r="34">
      <x:c r="A34" s="41" t="n">
        <x:v>33</x:v>
      </x:c>
      <x:c r="B34" s="41" t="str">
        <x:v>HYP_DD20_EXP_GUARD17_10_SL10_TOPN5_V1</x:v>
      </x:c>
      <x:c r="C34" s="41" t="str">
        <x:v>dd20_adaptive_research</x:v>
      </x:c>
      <x:c r="D34" s="41" t="n">
        <x:v>0.525884</x:v>
      </x:c>
      <x:c r="E34" s="41" t="n">
        <x:v>0.120454</x:v>
      </x:c>
      <x:c r="F34" s="41" t="n">
        <x:v>0.40543</x:v>
      </x:c>
      <x:c r="G34" s="41" t="n">
        <x:v>10.1628</x:v>
      </x:c>
      <x:c r="H34" s="41" t="n">
        <x:v>6.8025</x:v>
      </x:c>
      <x:c r="I34" s="41" t="n">
        <x:v>3.3603</x:v>
      </x:c>
      <x:c r="J34" s="41" t="n">
        <x:v>-19.3252</x:v>
      </x:c>
      <x:c r="K34" s="41" t="n">
        <x:v>-56.4737</x:v>
      </x:c>
      <x:c r="L34" s="41" t="n">
        <x:v>37.1485</x:v>
      </x:c>
      <x:c r="M34" s="41" t="n">
        <x:v>1315.3223</x:v>
      </x:c>
      <x:c r="N34" s="41" t="n">
        <x:v>506.0574</x:v>
      </x:c>
      <x:c r="O34" s="41" t="n">
        <x:v>2361</x:v>
      </x:c>
      <x:c r="P34" s="41" t="str">
        <x:v>1999-01-04</x:v>
      </x:c>
      <x:c r="Q34" s="41" t="str">
        <x:v>2026-05-22</x:v>
      </x:c>
    </x:row>
    <x:row r="35">
      <x:c r="A35" s="41" t="n">
        <x:v>34</x:v>
      </x:c>
      <x:c r="B35" s="41" t="str">
        <x:v>HYP_DD20_CAGR_SL11_TOPN8_GUARD19_12_V1</x:v>
      </x:c>
      <x:c r="C35" s="41" t="str">
        <x:v>dd20_adaptive_research</x:v>
      </x:c>
      <x:c r="D35" s="41" t="n">
        <x:v>0.520894</x:v>
      </x:c>
      <x:c r="E35" s="41" t="n">
        <x:v>0.120454</x:v>
      </x:c>
      <x:c r="F35" s="41" t="n">
        <x:v>0.40044</x:v>
      </x:c>
      <x:c r="G35" s="41" t="n">
        <x:v>10.2938</x:v>
      </x:c>
      <x:c r="H35" s="41" t="n">
        <x:v>6.8025</x:v>
      </x:c>
      <x:c r="I35" s="41" t="n">
        <x:v>3.4913</x:v>
      </x:c>
      <x:c r="J35" s="41" t="n">
        <x:v>-19.7618</x:v>
      </x:c>
      <x:c r="K35" s="41" t="n">
        <x:v>-56.4737</x:v>
      </x:c>
      <x:c r="L35" s="41" t="n">
        <x:v>36.7118</x:v>
      </x:c>
      <x:c r="M35" s="41" t="n">
        <x:v>1362.1362</x:v>
      </x:c>
      <x:c r="N35" s="41" t="n">
        <x:v>506.0574</x:v>
      </x:c>
      <x:c r="O35" s="41" t="n">
        <x:v>2380</x:v>
      </x:c>
      <x:c r="P35" s="41" t="str">
        <x:v>1999-01-04</x:v>
      </x:c>
      <x:c r="Q35" s="41" t="str">
        <x:v>2026-05-22</x:v>
      </x:c>
    </x:row>
    <x:row r="36">
      <x:c r="A36" s="41" t="n">
        <x:v>35</x:v>
      </x:c>
      <x:c r="B36" s="41" t="str">
        <x:v>HYP_DD20_EXP_DYN8550200_SL10_TOPN5_V1</x:v>
      </x:c>
      <x:c r="C36" s="41" t="str">
        <x:v>dd20_adaptive_research</x:v>
      </x:c>
      <x:c r="D36" s="41" t="n">
        <x:v>0.516359</x:v>
      </x:c>
      <x:c r="E36" s="41" t="n">
        <x:v>0.120454</x:v>
      </x:c>
      <x:c r="F36" s="41" t="n">
        <x:v>0.395905</x:v>
      </x:c>
      <x:c r="G36" s="41" t="n">
        <x:v>10.5466</x:v>
      </x:c>
      <x:c r="H36" s="41" t="n">
        <x:v>6.8025</x:v>
      </x:c>
      <x:c r="I36" s="41" t="n">
        <x:v>3.7441</x:v>
      </x:c>
      <x:c r="J36" s="41" t="n">
        <x:v>-20.4249</x:v>
      </x:c>
      <x:c r="K36" s="41" t="n">
        <x:v>-56.4737</x:v>
      </x:c>
      <x:c r="L36" s="41" t="n">
        <x:v>36.0488</x:v>
      </x:c>
      <x:c r="M36" s="41" t="n">
        <x:v>1456.6951</x:v>
      </x:c>
      <x:c r="N36" s="41" t="n">
        <x:v>506.0574</x:v>
      </x:c>
      <x:c r="O36" s="41" t="n">
        <x:v>2338</x:v>
      </x:c>
      <x:c r="P36" s="41" t="str">
        <x:v>1999-01-04</x:v>
      </x:c>
      <x:c r="Q36" s="41" t="str">
        <x:v>2026-05-22</x:v>
      </x:c>
    </x:row>
    <x:row r="37">
      <x:c r="A37" s="41" t="n">
        <x:v>36</x:v>
      </x:c>
      <x:c r="B37" s="41" t="str">
        <x:v>HYP_CAN_SLIM_CONCENTRATION_5_V1</x:v>
      </x:c>
      <x:c r="C37" s="41" t="str">
        <x:v>cross_sectional_momentum</x:v>
      </x:c>
      <x:c r="D37" s="41" t="n">
        <x:v>0.512538</x:v>
      </x:c>
      <x:c r="E37" s="41" t="n">
        <x:v>0.120454</x:v>
      </x:c>
      <x:c r="F37" s="41" t="n">
        <x:v>0.392084</x:v>
      </x:c>
      <x:c r="G37" s="41" t="n">
        <x:v>33.9124</x:v>
      </x:c>
      <x:c r="H37" s="41" t="n">
        <x:v>6.8025</x:v>
      </x:c>
      <x:c r="I37" s="41" t="n">
        <x:v>27.11</x:v>
      </x:c>
      <x:c r="J37" s="41" t="n">
        <x:v>-66.1657</x:v>
      </x:c>
      <x:c r="K37" s="41" t="n">
        <x:v>-56.4737</x:v>
      </x:c>
      <x:c r="L37" s="41" t="n">
        <x:v>-9.6921</x:v>
      </x:c>
      <x:c r="M37" s="41" t="n">
        <x:v>296497.5727</x:v>
      </x:c>
      <x:c r="N37" s="41" t="n">
        <x:v>506.0574</x:v>
      </x:c>
      <x:c r="O37" s="41" t="n">
        <x:v>1112</x:v>
      </x:c>
      <x:c r="P37" s="41" t="str">
        <x:v>1999-01-04</x:v>
      </x:c>
      <x:c r="Q37" s="41" t="str">
        <x:v>2026-05-22</x:v>
      </x:c>
    </x:row>
    <x:row r="38">
      <x:c r="A38" s="41" t="n">
        <x:v>37</x:v>
      </x:c>
      <x:c r="B38" s="41" t="str">
        <x:v>HYP_CAN_SLIM_CONCENTRATION_5_V2</x:v>
      </x:c>
      <x:c r="C38" s="41" t="str">
        <x:v>cross_sectional_momentum</x:v>
      </x:c>
      <x:c r="D38" s="41" t="n">
        <x:v>0.512538</x:v>
      </x:c>
      <x:c r="E38" s="41" t="n">
        <x:v>0.120454</x:v>
      </x:c>
      <x:c r="F38" s="41" t="n">
        <x:v>0.392084</x:v>
      </x:c>
      <x:c r="G38" s="41" t="n">
        <x:v>33.9124</x:v>
      </x:c>
      <x:c r="H38" s="41" t="n">
        <x:v>6.8025</x:v>
      </x:c>
      <x:c r="I38" s="41" t="n">
        <x:v>27.11</x:v>
      </x:c>
      <x:c r="J38" s="41" t="n">
        <x:v>-66.1657</x:v>
      </x:c>
      <x:c r="K38" s="41" t="n">
        <x:v>-56.4737</x:v>
      </x:c>
      <x:c r="L38" s="41" t="n">
        <x:v>-9.6921</x:v>
      </x:c>
      <x:c r="M38" s="41" t="n">
        <x:v>296497.5727</x:v>
      </x:c>
      <x:c r="N38" s="41" t="n">
        <x:v>506.0574</x:v>
      </x:c>
      <x:c r="O38" s="41" t="n">
        <x:v>1112</x:v>
      </x:c>
      <x:c r="P38" s="41" t="str">
        <x:v>1999-01-04</x:v>
      </x:c>
      <x:c r="Q38" s="41" t="str">
        <x:v>2026-05-22</x:v>
      </x:c>
    </x:row>
    <x:row r="39">
      <x:c r="A39" s="41" t="n">
        <x:v>38</x:v>
      </x:c>
      <x:c r="B39" s="41" t="str">
        <x:v>HYP_DD20_ADAPT_SL10_GUARD18_12_V1</x:v>
      </x:c>
      <x:c r="C39" s="41" t="str">
        <x:v>dd20_adaptive_research</x:v>
      </x:c>
      <x:c r="D39" s="41" t="n">
        <x:v>0.500908</x:v>
      </x:c>
      <x:c r="E39" s="41" t="n">
        <x:v>0.120454</x:v>
      </x:c>
      <x:c r="F39" s="41" t="n">
        <x:v>0.380454</x:v>
      </x:c>
      <x:c r="G39" s="41" t="n">
        <x:v>9.6801</x:v>
      </x:c>
      <x:c r="H39" s="41" t="n">
        <x:v>6.8025</x:v>
      </x:c>
      <x:c r="I39" s="41" t="n">
        <x:v>2.8777</x:v>
      </x:c>
      <x:c r="J39" s="41" t="n">
        <x:v>-19.3252</x:v>
      </x:c>
      <x:c r="K39" s="41" t="n">
        <x:v>-56.4737</x:v>
      </x:c>
      <x:c r="L39" s="41" t="n">
        <x:v>37.1485</x:v>
      </x:c>
      <x:c r="M39" s="41" t="n">
        <x:v>1155.0047</x:v>
      </x:c>
      <x:c r="N39" s="41" t="n">
        <x:v>506.0574</x:v>
      </x:c>
      <x:c r="O39" s="41" t="n">
        <x:v>2365</x:v>
      </x:c>
      <x:c r="P39" s="41" t="str">
        <x:v>1999-01-04</x:v>
      </x:c>
      <x:c r="Q39" s="41" t="str">
        <x:v>2026-05-22</x:v>
      </x:c>
    </x:row>
    <x:row r="40">
      <x:c r="A40" s="41" t="n">
        <x:v>39</x:v>
      </x:c>
      <x:c r="B40" s="41" t="str">
        <x:v>HYP_DD20_ADAPT_SL10_COOLDOWN_3_V1</x:v>
      </x:c>
      <x:c r="C40" s="41" t="str">
        <x:v>dd20_adaptive_research</x:v>
      </x:c>
      <x:c r="D40" s="41" t="n">
        <x:v>0.500687</x:v>
      </x:c>
      <x:c r="E40" s="41" t="n">
        <x:v>0.120454</x:v>
      </x:c>
      <x:c r="F40" s="41" t="n">
        <x:v>0.380233</x:v>
      </x:c>
      <x:c r="G40" s="41" t="n">
        <x:v>9.6759</x:v>
      </x:c>
      <x:c r="H40" s="41" t="n">
        <x:v>6.8025</x:v>
      </x:c>
      <x:c r="I40" s="41" t="n">
        <x:v>2.8734</x:v>
      </x:c>
      <x:c r="J40" s="41" t="n">
        <x:v>-19.3252</x:v>
      </x:c>
      <x:c r="K40" s="41" t="n">
        <x:v>-56.4737</x:v>
      </x:c>
      <x:c r="L40" s="41" t="n">
        <x:v>37.1485</x:v>
      </x:c>
      <x:c r="M40" s="41" t="n">
        <x:v>1153.6652</x:v>
      </x:c>
      <x:c r="N40" s="41" t="n">
        <x:v>506.0574</x:v>
      </x:c>
      <x:c r="O40" s="41" t="n">
        <x:v>2345</x:v>
      </x:c>
      <x:c r="P40" s="41" t="str">
        <x:v>1999-01-04</x:v>
      </x:c>
      <x:c r="Q40" s="41" t="str">
        <x:v>2026-05-22</x:v>
      </x:c>
    </x:row>
    <x:row r="41">
      <x:c r="A41" s="41" t="n">
        <x:v>40</x:v>
      </x:c>
      <x:c r="B41" s="41" t="str">
        <x:v>HYP_DD20_STOP_DYN8050200_GUARD1810_SL10_V1</x:v>
      </x:c>
      <x:c r="C41" s="41" t="str">
        <x:v>dd20_stop_trailing_repair</x:v>
      </x:c>
      <x:c r="D41" s="41" t="n">
        <x:v>0.500687</x:v>
      </x:c>
      <x:c r="E41" s="41" t="n">
        <x:v>0.120454</x:v>
      </x:c>
      <x:c r="F41" s="41" t="n">
        <x:v>0.380233</x:v>
      </x:c>
      <x:c r="G41" s="41" t="n">
        <x:v>9.6759</x:v>
      </x:c>
      <x:c r="H41" s="41" t="n">
        <x:v>6.8025</x:v>
      </x:c>
      <x:c r="I41" s="41" t="n">
        <x:v>2.8734</x:v>
      </x:c>
      <x:c r="J41" s="41" t="n">
        <x:v>-19.3252</x:v>
      </x:c>
      <x:c r="K41" s="41" t="n">
        <x:v>-56.4737</x:v>
      </x:c>
      <x:c r="L41" s="41" t="n">
        <x:v>37.1485</x:v>
      </x:c>
      <x:c r="M41" s="41" t="n">
        <x:v>1153.6652</x:v>
      </x:c>
      <x:c r="N41" s="41" t="n">
        <x:v>506.0574</x:v>
      </x:c>
      <x:c r="O41" s="41" t="n">
        <x:v>2345</x:v>
      </x:c>
      <x:c r="P41" s="41" t="str">
        <x:v>1999-01-04</x:v>
      </x:c>
      <x:c r="Q41" s="41" t="str">
        <x:v>2026-05-22</x:v>
      </x:c>
    </x:row>
    <x:row r="42">
      <x:c r="A42" s="41" t="n">
        <x:v>41</x:v>
      </x:c>
      <x:c r="B42" s="41" t="str">
        <x:v>SP500_MOMENTUM_TREND_CONCENTRATION_V1</x:v>
      </x:c>
      <x:c r="C42" s="41" t="str">
        <x:v>cross_sectional_momentum</x:v>
      </x:c>
      <x:c r="D42" s="41" t="n">
        <x:v>0.489662</x:v>
      </x:c>
      <x:c r="E42" s="41" t="n">
        <x:v>0.120454</x:v>
      </x:c>
      <x:c r="F42" s="41" t="n">
        <x:v>0.369208</x:v>
      </x:c>
      <x:c r="G42" s="41" t="n">
        <x:v>29.9942</x:v>
      </x:c>
      <x:c r="H42" s="41" t="n">
        <x:v>6.8025</x:v>
      </x:c>
      <x:c r="I42" s="41" t="n">
        <x:v>23.1918</x:v>
      </x:c>
      <x:c r="J42" s="41" t="n">
        <x:v>-61.255</x:v>
      </x:c>
      <x:c r="K42" s="41" t="n">
        <x:v>-56.4737</x:v>
      </x:c>
      <x:c r="L42" s="41" t="n">
        <x:v>-4.7813</x:v>
      </x:c>
      <x:c r="M42" s="41" t="n">
        <x:v>131444.2096</x:v>
      </x:c>
      <x:c r="N42" s="41" t="n">
        <x:v>506.0574</x:v>
      </x:c>
      <x:c r="O42" s="41" t="n">
        <x:v>2190</x:v>
      </x:c>
      <x:c r="P42" s="41" t="str">
        <x:v>1999-01-04</x:v>
      </x:c>
      <x:c r="Q42" s="41" t="str">
        <x:v>2026-05-22</x:v>
      </x:c>
    </x:row>
    <x:row r="43">
      <x:c r="A43" s="41" t="n">
        <x:v>42</x:v>
      </x:c>
      <x:c r="B43" s="41" t="str">
        <x:v>HYP_DD20_CTRL_GUARD_DYNAMIC_13_25_V1</x:v>
      </x:c>
      <x:c r="C43" s="41" t="str">
        <x:v>dd20_adaptive_research</x:v>
      </x:c>
      <x:c r="D43" s="41" t="n">
        <x:v>0.476852</x:v>
      </x:c>
      <x:c r="E43" s="41" t="n">
        <x:v>0.120454</x:v>
      </x:c>
      <x:c r="F43" s="41" t="n">
        <x:v>0.356398</x:v>
      </x:c>
      <x:c r="G43" s="41" t="n">
        <x:v>9.2153</x:v>
      </x:c>
      <x:c r="H43" s="41" t="n">
        <x:v>6.8025</x:v>
      </x:c>
      <x:c r="I43" s="41" t="n">
        <x:v>2.4128</x:v>
      </x:c>
      <x:c r="J43" s="41" t="n">
        <x:v>-19.3252</x:v>
      </x:c>
      <x:c r="K43" s="41" t="n">
        <x:v>-56.4737</x:v>
      </x:c>
      <x:c r="L43" s="41" t="n">
        <x:v>37.1485</x:v>
      </x:c>
      <x:c r="M43" s="41" t="n">
        <x:v>1017.2221</x:v>
      </x:c>
      <x:c r="N43" s="41" t="n">
        <x:v>506.0574</x:v>
      </x:c>
      <x:c r="O43" s="41" t="n">
        <x:v>2376</x:v>
      </x:c>
      <x:c r="P43" s="41" t="str">
        <x:v>1999-01-04</x:v>
      </x:c>
      <x:c r="Q43" s="41" t="str">
        <x:v>2026-05-22</x:v>
      </x:c>
    </x:row>
    <x:row r="44">
      <x:c r="A44" s="41" t="n">
        <x:v>43</x:v>
      </x:c>
      <x:c r="B44" s="41" t="str">
        <x:v>HYP_DD_FIRST_AUTO002_DD_PROXY_26W_V1</x:v>
      </x:c>
      <x:c r="C44" s="41" t="str">
        <x:v>dd_first_drawdown_control</x:v>
      </x:c>
      <x:c r="D44" s="41" t="n">
        <x:v>0.474512</x:v>
      </x:c>
      <x:c r="E44" s="41" t="n">
        <x:v>0.120454</x:v>
      </x:c>
      <x:c r="F44" s="41" t="n">
        <x:v>0.354058</x:v>
      </x:c>
      <x:c r="G44" s="41" t="n">
        <x:v>25.9293</x:v>
      </x:c>
      <x:c r="H44" s="41" t="n">
        <x:v>6.8025</x:v>
      </x:c>
      <x:c r="I44" s="41" t="n">
        <x:v>19.1268</x:v>
      </x:c>
      <x:c r="J44" s="41" t="n">
        <x:v>-54.6441</x:v>
      </x:c>
      <x:c r="K44" s="41" t="n">
        <x:v>-56.4737</x:v>
      </x:c>
      <x:c r="L44" s="41" t="n">
        <x:v>1.8296</x:v>
      </x:c>
      <x:c r="M44" s="41" t="n">
        <x:v>55021.2677</x:v>
      </x:c>
      <x:c r="N44" s="41" t="n">
        <x:v>506.0574</x:v>
      </x:c>
      <x:c r="O44" s="41" t="n">
        <x:v>3706</x:v>
      </x:c>
      <x:c r="P44" s="41" t="str">
        <x:v>1999-01-04</x:v>
      </x:c>
      <x:c r="Q44" s="41" t="str">
        <x:v>2026-05-22</x:v>
      </x:c>
    </x:row>
    <x:row r="45">
      <x:c r="A45" s="41" t="n">
        <x:v>44</x:v>
      </x:c>
      <x:c r="B45" s="41" t="str">
        <x:v>HYP_DD_FIRST_AUTO002_SOFT_SPY_TOPN_5_V1</x:v>
      </x:c>
      <x:c r="C45" s="41" t="str">
        <x:v>dd_first_drawdown_control</x:v>
      </x:c>
      <x:c r="D45" s="41" t="n">
        <x:v>0.474512</x:v>
      </x:c>
      <x:c r="E45" s="41" t="n">
        <x:v>0.120454</x:v>
      </x:c>
      <x:c r="F45" s="41" t="n">
        <x:v>0.354058</x:v>
      </x:c>
      <x:c r="G45" s="41" t="n">
        <x:v>25.9293</x:v>
      </x:c>
      <x:c r="H45" s="41" t="n">
        <x:v>6.8025</x:v>
      </x:c>
      <x:c r="I45" s="41" t="n">
        <x:v>19.1268</x:v>
      </x:c>
      <x:c r="J45" s="41" t="n">
        <x:v>-54.6441</x:v>
      </x:c>
      <x:c r="K45" s="41" t="n">
        <x:v>-56.4737</x:v>
      </x:c>
      <x:c r="L45" s="41" t="n">
        <x:v>1.8296</x:v>
      </x:c>
      <x:c r="M45" s="41" t="n">
        <x:v>55021.2677</x:v>
      </x:c>
      <x:c r="N45" s="41" t="n">
        <x:v>506.0574</x:v>
      </x:c>
      <x:c r="O45" s="41" t="n">
        <x:v>3706</x:v>
      </x:c>
      <x:c r="P45" s="41" t="str">
        <x:v>1999-01-04</x:v>
      </x:c>
      <x:c r="Q45" s="41" t="str">
        <x:v>2026-05-22</x:v>
      </x:c>
    </x:row>
    <x:row r="46">
      <x:c r="A46" s="41" t="n">
        <x:v>45</x:v>
      </x:c>
      <x:c r="B46" s="41" t="str">
        <x:v>HYP_DD_FIRST_AUTO002_SOFT_SPY_TOPN_8_V1</x:v>
      </x:c>
      <x:c r="C46" s="41" t="str">
        <x:v>dd_first_drawdown_control</x:v>
      </x:c>
      <x:c r="D46" s="41" t="n">
        <x:v>0.474512</x:v>
      </x:c>
      <x:c r="E46" s="41" t="n">
        <x:v>0.120454</x:v>
      </x:c>
      <x:c r="F46" s="41" t="n">
        <x:v>0.354058</x:v>
      </x:c>
      <x:c r="G46" s="41" t="n">
        <x:v>25.9293</x:v>
      </x:c>
      <x:c r="H46" s="41" t="n">
        <x:v>6.8025</x:v>
      </x:c>
      <x:c r="I46" s="41" t="n">
        <x:v>19.1268</x:v>
      </x:c>
      <x:c r="J46" s="41" t="n">
        <x:v>-54.6441</x:v>
      </x:c>
      <x:c r="K46" s="41" t="n">
        <x:v>-56.4737</x:v>
      </x:c>
      <x:c r="L46" s="41" t="n">
        <x:v>1.8296</x:v>
      </x:c>
      <x:c r="M46" s="41" t="n">
        <x:v>55021.2677</x:v>
      </x:c>
      <x:c r="N46" s="41" t="n">
        <x:v>506.0574</x:v>
      </x:c>
      <x:c r="O46" s="41" t="n">
        <x:v>3706</x:v>
      </x:c>
      <x:c r="P46" s="41" t="str">
        <x:v>1999-01-04</x:v>
      </x:c>
      <x:c r="Q46" s="41" t="str">
        <x:v>2026-05-22</x:v>
      </x:c>
    </x:row>
    <x:row r="47">
      <x:c r="A47" s="41" t="n">
        <x:v>46</x:v>
      </x:c>
      <x:c r="B47" s="41" t="str">
        <x:v>HYP_DD20_CTRL_GUARD_DYNAMIC_12_20_V1</x:v>
      </x:c>
      <x:c r="C47" s="41" t="str">
        <x:v>dd20_adaptive_research</x:v>
      </x:c>
      <x:c r="D47" s="41" t="n">
        <x:v>0.470899</x:v>
      </x:c>
      <x:c r="E47" s="41" t="n">
        <x:v>0.120454</x:v>
      </x:c>
      <x:c r="F47" s="41" t="n">
        <x:v>0.350445</x:v>
      </x:c>
      <x:c r="G47" s="41" t="n">
        <x:v>9.1002</x:v>
      </x:c>
      <x:c r="H47" s="41" t="n">
        <x:v>6.8025</x:v>
      </x:c>
      <x:c r="I47" s="41" t="n">
        <x:v>2.2977</x:v>
      </x:c>
      <x:c r="J47" s="41" t="n">
        <x:v>-19.3252</x:v>
      </x:c>
      <x:c r="K47" s="41" t="n">
        <x:v>-56.4737</x:v>
      </x:c>
      <x:c r="L47" s="41" t="n">
        <x:v>37.1485</x:v>
      </x:c>
      <x:c r="M47" s="41" t="n">
        <x:v>985.4442</x:v>
      </x:c>
      <x:c r="N47" s="41" t="n">
        <x:v>506.0574</x:v>
      </x:c>
      <x:c r="O47" s="41" t="n">
        <x:v>2376</x:v>
      </x:c>
      <x:c r="P47" s="41" t="str">
        <x:v>1999-01-04</x:v>
      </x:c>
      <x:c r="Q47" s="41" t="str">
        <x:v>2026-05-22</x:v>
      </x:c>
    </x:row>
    <x:row r="48">
      <x:c r="A48" s="41" t="n">
        <x:v>47</x:v>
      </x:c>
      <x:c r="B48" s="41" t="str">
        <x:v>HYP_DD_FIRST_AUTO002_ANTI_EXTENSION_SMA20W_60_V1</x:v>
      </x:c>
      <x:c r="C48" s="41" t="str">
        <x:v>dd_first_drawdown_control</x:v>
      </x:c>
      <x:c r="D48" s="41" t="n">
        <x:v>0.465494</x:v>
      </x:c>
      <x:c r="E48" s="41" t="n">
        <x:v>0.120454</x:v>
      </x:c>
      <x:c r="F48" s="41" t="n">
        <x:v>0.34504</x:v>
      </x:c>
      <x:c r="G48" s="41" t="n">
        <x:v>25.1614</x:v>
      </x:c>
      <x:c r="H48" s="41" t="n">
        <x:v>6.8025</x:v>
      </x:c>
      <x:c r="I48" s="41" t="n">
        <x:v>18.3589</x:v>
      </x:c>
      <x:c r="J48" s="41" t="n">
        <x:v>-54.053</x:v>
      </x:c>
      <x:c r="K48" s="41" t="n">
        <x:v>-56.4737</x:v>
      </x:c>
      <x:c r="L48" s="41" t="n">
        <x:v>2.4206</x:v>
      </x:c>
      <x:c r="M48" s="41" t="n">
        <x:v>46522.1114</x:v>
      </x:c>
      <x:c r="N48" s="41" t="n">
        <x:v>506.0574</x:v>
      </x:c>
      <x:c r="O48" s="41" t="n">
        <x:v>3700</x:v>
      </x:c>
      <x:c r="P48" s="41" t="str">
        <x:v>1999-01-04</x:v>
      </x:c>
      <x:c r="Q48" s="41" t="str">
        <x:v>2026-05-22</x:v>
      </x:c>
    </x:row>
    <x:row r="49">
      <x:c r="A49" s="41" t="n">
        <x:v>48</x:v>
      </x:c>
      <x:c r="B49" s="41" t="str">
        <x:v>HYP_DD_FIRST_AUTO002_LOWVOL_PENALTY_V1</x:v>
      </x:c>
      <x:c r="C49" s="41" t="str">
        <x:v>dd_first_drawdown_control</x:v>
      </x:c>
      <x:c r="D49" s="41" t="n">
        <x:v>0.462574</x:v>
      </x:c>
      <x:c r="E49" s="41" t="n">
        <x:v>0.120454</x:v>
      </x:c>
      <x:c r="F49" s="41" t="n">
        <x:v>0.34212</x:v>
      </x:c>
      <x:c r="G49" s="41" t="n">
        <x:v>25.2419</x:v>
      </x:c>
      <x:c r="H49" s="41" t="n">
        <x:v>6.8025</x:v>
      </x:c>
      <x:c r="I49" s="41" t="n">
        <x:v>18.4394</x:v>
      </x:c>
      <x:c r="J49" s="41" t="n">
        <x:v>-54.5684</x:v>
      </x:c>
      <x:c r="K49" s="41" t="n">
        <x:v>-56.4737</x:v>
      </x:c>
      <x:c r="L49" s="41" t="n">
        <x:v>1.9053</x:v>
      </x:c>
      <x:c r="M49" s="41" t="n">
        <x:v>47350.4982</x:v>
      </x:c>
      <x:c r="N49" s="41" t="n">
        <x:v>506.0574</x:v>
      </x:c>
      <x:c r="O49" s="41" t="n">
        <x:v>3704</x:v>
      </x:c>
      <x:c r="P49" s="41" t="str">
        <x:v>1999-01-04</x:v>
      </x:c>
      <x:c r="Q49" s="41" t="str">
        <x:v>2026-05-22</x:v>
      </x:c>
    </x:row>
    <x:row r="50">
      <x:c r="A50" s="41" t="n">
        <x:v>49</x:v>
      </x:c>
      <x:c r="B50" s="41" t="str">
        <x:v>HYP_DD20_ADAPT_SL10_REDUCED_25_V1</x:v>
      </x:c>
      <x:c r="C50" s="41" t="str">
        <x:v>dd20_adaptive_research</x:v>
      </x:c>
      <x:c r="D50" s="41" t="n">
        <x:v>0.461534</x:v>
      </x:c>
      <x:c r="E50" s="41" t="n">
        <x:v>0.120454</x:v>
      </x:c>
      <x:c r="F50" s="41" t="n">
        <x:v>0.34108</x:v>
      </x:c>
      <x:c r="G50" s="41" t="n">
        <x:v>9.1374</x:v>
      </x:c>
      <x:c r="H50" s="41" t="n">
        <x:v>6.8025</x:v>
      </x:c>
      <x:c r="I50" s="41" t="n">
        <x:v>2.335</x:v>
      </x:c>
      <x:c r="J50" s="41" t="n">
        <x:v>-19.798</x:v>
      </x:c>
      <x:c r="K50" s="41" t="n">
        <x:v>-56.4737</x:v>
      </x:c>
      <x:c r="L50" s="41" t="n">
        <x:v>36.6757</x:v>
      </x:c>
      <x:c r="M50" s="41" t="n">
        <x:v>995.6305</x:v>
      </x:c>
      <x:c r="N50" s="41" t="n">
        <x:v>506.0574</x:v>
      </x:c>
      <x:c r="O50" s="41" t="n">
        <x:v>2405</x:v>
      </x:c>
      <x:c r="P50" s="41" t="str">
        <x:v>1999-01-04</x:v>
      </x:c>
      <x:c r="Q50" s="41" t="str">
        <x:v>2026-05-22</x:v>
      </x:c>
    </x:row>
    <x:row r="51">
      <x:c r="A51" s="41" t="n">
        <x:v>50</x:v>
      </x:c>
      <x:c r="B51" s="41" t="str">
        <x:v>HYP_DD_FIRST_AUTO002_LOWVOL_PENALTY_LIGHT_V1</x:v>
      </x:c>
      <x:c r="C51" s="41" t="str">
        <x:v>dd_first_drawdown_control</x:v>
      </x:c>
      <x:c r="D51" s="41" t="n">
        <x:v>0.461096</x:v>
      </x:c>
      <x:c r="E51" s="41" t="n">
        <x:v>0.120454</x:v>
      </x:c>
      <x:c r="F51" s="41" t="n">
        <x:v>0.340642</x:v>
      </x:c>
      <x:c r="G51" s="41" t="n">
        <x:v>25.1611</x:v>
      </x:c>
      <x:c r="H51" s="41" t="n">
        <x:v>6.8025</x:v>
      </x:c>
      <x:c r="I51" s="41" t="n">
        <x:v>18.3586</x:v>
      </x:c>
      <x:c r="J51" s="41" t="n">
        <x:v>-54.568</x:v>
      </x:c>
      <x:c r="K51" s="41" t="n">
        <x:v>-56.4737</x:v>
      </x:c>
      <x:c r="L51" s="41" t="n">
        <x:v>1.9057</x:v>
      </x:c>
      <x:c r="M51" s="41" t="n">
        <x:v>46518.9456</x:v>
      </x:c>
      <x:c r="N51" s="41" t="n">
        <x:v>506.0574</x:v>
      </x:c>
      <x:c r="O51" s="41" t="n">
        <x:v>3708</x:v>
      </x:c>
      <x:c r="P51" s="41" t="str">
        <x:v>1999-01-04</x:v>
      </x:c>
      <x:c r="Q51" s="41" t="str">
        <x:v>2026-05-22</x:v>
      </x:c>
    </x:row>
    <x:row r="52">
      <x:c r="A52" s="41" t="n">
        <x:v>51</x:v>
      </x:c>
      <x:c r="B52" s="41" t="str">
        <x:v>HYP_DD_FIRST_AUTO002_EXPOSURE_85_V1</x:v>
      </x:c>
      <x:c r="C52" s="41" t="str">
        <x:v>dd_first_drawdown_control</x:v>
      </x:c>
      <x:c r="D52" s="41" t="n">
        <x:v>0.45722</x:v>
      </x:c>
      <x:c r="E52" s="41" t="n">
        <x:v>0.120454</x:v>
      </x:c>
      <x:c r="F52" s="41" t="n">
        <x:v>0.336766</x:v>
      </x:c>
      <x:c r="G52" s="41" t="n">
        <x:v>22.1833</x:v>
      </x:c>
      <x:c r="H52" s="41" t="n">
        <x:v>6.8025</x:v>
      </x:c>
      <x:c r="I52" s="41" t="n">
        <x:v>15.3808</x:v>
      </x:c>
      <x:c r="J52" s="41" t="n">
        <x:v>-48.5178</x:v>
      </x:c>
      <x:c r="K52" s="41" t="n">
        <x:v>-56.4737</x:v>
      </x:c>
      <x:c r="L52" s="41" t="n">
        <x:v>7.9559</x:v>
      </x:c>
      <x:c r="M52" s="41" t="n">
        <x:v>24013.2465</x:v>
      </x:c>
      <x:c r="N52" s="41" t="n">
        <x:v>506.0574</x:v>
      </x:c>
      <x:c r="O52" s="41" t="n">
        <x:v>3767</x:v>
      </x:c>
      <x:c r="P52" s="41" t="str">
        <x:v>1999-01-04</x:v>
      </x:c>
      <x:c r="Q52" s="41" t="str">
        <x:v>2026-05-22</x:v>
      </x:c>
    </x:row>
    <x:row r="53">
      <x:c r="A53" s="41" t="n">
        <x:v>52</x:v>
      </x:c>
      <x:c r="B53" s="41" t="str">
        <x:v>HYP_CROSS_SECTIONAL_MOMENTUM_CONCENTRATION_12_V1</x:v>
      </x:c>
      <x:c r="C53" s="41" t="str">
        <x:v>cross_sectional_momentum</x:v>
      </x:c>
      <x:c r="D53" s="41" t="n">
        <x:v>0.450623</x:v>
      </x:c>
      <x:c r="E53" s="41" t="n">
        <x:v>0.120454</x:v>
      </x:c>
      <x:c r="F53" s="41" t="n">
        <x:v>0.330169</x:v>
      </x:c>
      <x:c r="G53" s="41" t="n">
        <x:v>27.0875</x:v>
      </x:c>
      <x:c r="H53" s="41" t="n">
        <x:v>6.8025</x:v>
      </x:c>
      <x:c r="I53" s="41" t="n">
        <x:v>20.285</x:v>
      </x:c>
      <x:c r="J53" s="41" t="n">
        <x:v>-60.1111</x:v>
      </x:c>
      <x:c r="K53" s="41" t="n">
        <x:v>-56.4737</x:v>
      </x:c>
      <x:c r="L53" s="41" t="n">
        <x:v>-3.6375</x:v>
      </x:c>
      <x:c r="M53" s="41" t="n">
        <x:v>70723.6632</x:v>
      </x:c>
      <x:c r="N53" s="41" t="n">
        <x:v>506.0574</x:v>
      </x:c>
      <x:c r="O53" s="41" t="n">
        <x:v>2641</x:v>
      </x:c>
      <x:c r="P53" s="41" t="str">
        <x:v>1999-01-04</x:v>
      </x:c>
      <x:c r="Q53" s="41" t="str">
        <x:v>2026-05-22</x:v>
      </x:c>
    </x:row>
    <x:row r="54">
      <x:c r="A54" s="41" t="n">
        <x:v>53</x:v>
      </x:c>
      <x:c r="B54" s="41" t="str">
        <x:v>HYP_CROSS_SECTIONAL_MOMENTUM_CONCENTRATION_12_V10</x:v>
      </x:c>
      <x:c r="C54" s="41" t="str">
        <x:v>cross_sectional_momentum</x:v>
      </x:c>
      <x:c r="D54" s="41" t="n">
        <x:v>0.450623</x:v>
      </x:c>
      <x:c r="E54" s="41" t="n">
        <x:v>0.120454</x:v>
      </x:c>
      <x:c r="F54" s="41" t="n">
        <x:v>0.330169</x:v>
      </x:c>
      <x:c r="G54" s="41" t="n">
        <x:v>27.0875</x:v>
      </x:c>
      <x:c r="H54" s="41" t="n">
        <x:v>6.8025</x:v>
      </x:c>
      <x:c r="I54" s="41" t="n">
        <x:v>20.285</x:v>
      </x:c>
      <x:c r="J54" s="41" t="n">
        <x:v>-60.1111</x:v>
      </x:c>
      <x:c r="K54" s="41" t="n">
        <x:v>-56.4737</x:v>
      </x:c>
      <x:c r="L54" s="41" t="n">
        <x:v>-3.6375</x:v>
      </x:c>
      <x:c r="M54" s="41" t="n">
        <x:v>70723.6632</x:v>
      </x:c>
      <x:c r="N54" s="41" t="n">
        <x:v>506.0574</x:v>
      </x:c>
      <x:c r="O54" s="41" t="n">
        <x:v>2641</x:v>
      </x:c>
      <x:c r="P54" s="41" t="str">
        <x:v>1999-01-04</x:v>
      </x:c>
      <x:c r="Q54" s="41" t="str">
        <x:v>2026-05-22</x:v>
      </x:c>
    </x:row>
    <x:row r="55">
      <x:c r="A55" s="41" t="n">
        <x:v>54</x:v>
      </x:c>
      <x:c r="B55" s="41" t="str">
        <x:v>HYP_DD_FIRST_AUTO002_DD_PROXY_26W_V2</x:v>
      </x:c>
      <x:c r="C55" s="41" t="str">
        <x:v>dd_first_drawdown_control</x:v>
      </x:c>
      <x:c r="D55" s="41" t="n">
        <x:v>0.446772</x:v>
      </x:c>
      <x:c r="E55" s="41" t="n">
        <x:v>0.120454</x:v>
      </x:c>
      <x:c r="F55" s="41" t="n">
        <x:v>0.326318</x:v>
      </x:c>
      <x:c r="G55" s="41" t="n">
        <x:v>24.4622</x:v>
      </x:c>
      <x:c r="H55" s="41" t="n">
        <x:v>6.8025</x:v>
      </x:c>
      <x:c r="I55" s="41" t="n">
        <x:v>17.6598</x:v>
      </x:c>
      <x:c r="J55" s="41" t="n">
        <x:v>-54.7533</x:v>
      </x:c>
      <x:c r="K55" s="41" t="n">
        <x:v>-56.4737</x:v>
      </x:c>
      <x:c r="L55" s="41" t="n">
        <x:v>1.7204</x:v>
      </x:c>
      <x:c r="M55" s="41" t="n">
        <x:v>39893.3812</x:v>
      </x:c>
      <x:c r="N55" s="41" t="n">
        <x:v>506.0574</x:v>
      </x:c>
      <x:c r="O55" s="41" t="n">
        <x:v>3741</x:v>
      </x:c>
      <x:c r="P55" s="41" t="str">
        <x:v>1999-01-04</x:v>
      </x:c>
      <x:c r="Q55" s="41" t="str">
        <x:v>2026-05-22</x:v>
      </x:c>
    </x:row>
    <x:row r="56">
      <x:c r="A56" s="41" t="n">
        <x:v>55</x:v>
      </x:c>
      <x:c r="B56" s="41" t="str">
        <x:v>HYP_DD_FIRST_AUTO002_EXPOSURE_75_V1</x:v>
      </x:c>
      <x:c r="C56" s="41" t="str">
        <x:v>dd_first_drawdown_control</x:v>
      </x:c>
      <x:c r="D56" s="41" t="n">
        <x:v>0.445846</x:v>
      </x:c>
      <x:c r="E56" s="41" t="n">
        <x:v>0.120454</x:v>
      </x:c>
      <x:c r="F56" s="41" t="n">
        <x:v>0.325392</x:v>
      </x:c>
      <x:c r="G56" s="41" t="n">
        <x:v>19.6408</x:v>
      </x:c>
      <x:c r="H56" s="41" t="n">
        <x:v>6.8025</x:v>
      </x:c>
      <x:c r="I56" s="41" t="n">
        <x:v>12.8383</x:v>
      </x:c>
      <x:c r="J56" s="41" t="n">
        <x:v>-44.0528</x:v>
      </x:c>
      <x:c r="K56" s="41" t="n">
        <x:v>-56.4737</x:v>
      </x:c>
      <x:c r="L56" s="41" t="n">
        <x:v>12.4209</x:v>
      </x:c>
      <x:c r="M56" s="41" t="n">
        <x:v>13458.6417</x:v>
      </x:c>
      <x:c r="N56" s="41" t="n">
        <x:v>506.0574</x:v>
      </x:c>
      <x:c r="O56" s="41" t="n">
        <x:v>3796</x:v>
      </x:c>
      <x:c r="P56" s="41" t="str">
        <x:v>1999-01-04</x:v>
      </x:c>
      <x:c r="Q56" s="41" t="str">
        <x:v>2026-05-22</x:v>
      </x:c>
    </x:row>
    <x:row r="57">
      <x:c r="A57" s="41" t="n">
        <x:v>56</x:v>
      </x:c>
      <x:c r="B57" s="41" t="str">
        <x:v>HYP_DD20_ADAPT_SL10_REDUCED_20_V1</x:v>
      </x:c>
      <x:c r="C57" s="41" t="str">
        <x:v>dd20_adaptive_research</x:v>
      </x:c>
      <x:c r="D57" s="41" t="n">
        <x:v>0.441314</x:v>
      </x:c>
      <x:c r="E57" s="41" t="n">
        <x:v>0.120454</x:v>
      </x:c>
      <x:c r="F57" s="41" t="n">
        <x:v>0.320861</x:v>
      </x:c>
      <x:c r="G57" s="41" t="n">
        <x:v>9.033</x:v>
      </x:c>
      <x:c r="H57" s="41" t="n">
        <x:v>6.8025</x:v>
      </x:c>
      <x:c r="I57" s="41" t="n">
        <x:v>2.2305</x:v>
      </x:c>
      <x:c r="J57" s="41" t="n">
        <x:v>-20.4683</x:v>
      </x:c>
      <x:c r="K57" s="41" t="n">
        <x:v>-56.4737</x:v>
      </x:c>
      <x:c r="L57" s="41" t="n">
        <x:v>36.0053</x:v>
      </x:c>
      <x:c r="M57" s="41" t="n">
        <x:v>967.2793</x:v>
      </x:c>
      <x:c r="N57" s="41" t="n">
        <x:v>506.0574</x:v>
      </x:c>
      <x:c r="O57" s="41" t="n">
        <x:v>2405</x:v>
      </x:c>
      <x:c r="P57" s="41" t="str">
        <x:v>1999-01-04</x:v>
      </x:c>
      <x:c r="Q57" s="41" t="str">
        <x:v>2026-05-22</x:v>
      </x:c>
    </x:row>
    <x:row r="58">
      <x:c r="A58" s="41" t="n">
        <x:v>57</x:v>
      </x:c>
      <x:c r="B58" s="41" t="str">
        <x:v>HYP_DD_FIRST_AUTO002_EXPOSURE_70_V1</x:v>
      </x:c>
      <x:c r="C58" s="41" t="str">
        <x:v>dd_first_drawdown_control</x:v>
      </x:c>
      <x:c r="D58" s="41" t="n">
        <x:v>0.440191</x:v>
      </x:c>
      <x:c r="E58" s="41" t="n">
        <x:v>0.120454</x:v>
      </x:c>
      <x:c r="F58" s="41" t="n">
        <x:v>0.319737</x:v>
      </x:c>
      <x:c r="G58" s="41" t="n">
        <x:v>18.3599</x:v>
      </x:c>
      <x:c r="H58" s="41" t="n">
        <x:v>6.8025</x:v>
      </x:c>
      <x:c r="I58" s="41" t="n">
        <x:v>11.5575</x:v>
      </x:c>
      <x:c r="J58" s="41" t="n">
        <x:v>-41.709</x:v>
      </x:c>
      <x:c r="K58" s="41" t="n">
        <x:v>-56.4737</x:v>
      </x:c>
      <x:c r="L58" s="41" t="n">
        <x:v>14.7646</x:v>
      </x:c>
      <x:c r="M58" s="41" t="n">
        <x:v>9998.0032</x:v>
      </x:c>
      <x:c r="N58" s="41" t="n">
        <x:v>506.0574</x:v>
      </x:c>
      <x:c r="O58" s="41" t="n">
        <x:v>3816</x:v>
      </x:c>
      <x:c r="P58" s="41" t="str">
        <x:v>1999-01-04</x:v>
      </x:c>
      <x:c r="Q58" s="41" t="str">
        <x:v>2026-05-22</x:v>
      </x:c>
    </x:row>
    <x:row r="59">
      <x:c r="A59" s="41" t="n">
        <x:v>58</x:v>
      </x:c>
      <x:c r="B59" s="41" t="str">
        <x:v>HYP_FSPACE_AUTO_002_RANK_CHANNEL_SLOPE_PCT_EXIT_23_V1</x:v>
      </x:c>
      <x:c r="C59" s="41" t="str">
        <x:v>feature_space_composite_exit</x:v>
      </x:c>
      <x:c r="D59" s="41" t="n">
        <x:v>0.43738</x:v>
      </x:c>
      <x:c r="E59" s="41" t="n">
        <x:v>0.120454</x:v>
      </x:c>
      <x:c r="F59" s="41" t="n">
        <x:v>0.316926</x:v>
      </x:c>
      <x:c r="G59" s="41" t="n">
        <x:v>30.21</x:v>
      </x:c>
      <x:c r="H59" s="41" t="n">
        <x:v>6.8025</x:v>
      </x:c>
      <x:c r="I59" s="41" t="n">
        <x:v>23.4075</x:v>
      </x:c>
      <x:c r="J59" s="41" t="n">
        <x:v>-69.0703</x:v>
      </x:c>
      <x:c r="K59" s="41" t="n">
        <x:v>-56.4737</x:v>
      </x:c>
      <x:c r="L59" s="41" t="n">
        <x:v>-12.5967</x:v>
      </x:c>
      <x:c r="M59" s="41" t="n">
        <x:v>137554.4916</x:v>
      </x:c>
      <x:c r="N59" s="41" t="n">
        <x:v>506.0574</x:v>
      </x:c>
      <x:c r="O59" s="41" t="n">
        <x:v>2822</x:v>
      </x:c>
      <x:c r="P59" s="41" t="str">
        <x:v>1999-01-04</x:v>
      </x:c>
      <x:c r="Q59" s="41" t="str">
        <x:v>2026-05-22</x:v>
      </x:c>
    </x:row>
    <x:row r="60">
      <x:c r="A60" s="41" t="n">
        <x:v>59</x:v>
      </x:c>
      <x:c r="B60" s="41" t="str">
        <x:v>HYP_FSPACE_AUTO_002_RANK_CHANNEL_SLOPE_PCT_EXIT_24_V1</x:v>
      </x:c>
      <x:c r="C60" s="41" t="str">
        <x:v>feature_space_composite_exit</x:v>
      </x:c>
      <x:c r="D60" s="41" t="n">
        <x:v>0.43738</x:v>
      </x:c>
      <x:c r="E60" s="41" t="n">
        <x:v>0.120454</x:v>
      </x:c>
      <x:c r="F60" s="41" t="n">
        <x:v>0.316926</x:v>
      </x:c>
      <x:c r="G60" s="41" t="n">
        <x:v>30.21</x:v>
      </x:c>
      <x:c r="H60" s="41" t="n">
        <x:v>6.8025</x:v>
      </x:c>
      <x:c r="I60" s="41" t="n">
        <x:v>23.4075</x:v>
      </x:c>
      <x:c r="J60" s="41" t="n">
        <x:v>-69.0703</x:v>
      </x:c>
      <x:c r="K60" s="41" t="n">
        <x:v>-56.4737</x:v>
      </x:c>
      <x:c r="L60" s="41" t="n">
        <x:v>-12.5967</x:v>
      </x:c>
      <x:c r="M60" s="41" t="n">
        <x:v>137554.4916</x:v>
      </x:c>
      <x:c r="N60" s="41" t="n">
        <x:v>506.0574</x:v>
      </x:c>
      <x:c r="O60" s="41" t="n">
        <x:v>2822</x:v>
      </x:c>
      <x:c r="P60" s="41" t="str">
        <x:v>1999-01-04</x:v>
      </x:c>
      <x:c r="Q60" s="41" t="str">
        <x:v>2026-05-22</x:v>
      </x:c>
    </x:row>
    <x:row r="61">
      <x:c r="A61" s="41" t="n">
        <x:v>60</x:v>
      </x:c>
      <x:c r="B61" s="41" t="str">
        <x:v>HYP_FSPACE_AUTO_002_RANK_CHANNEL_SLOPE_PCT_EXIT_26_V1</x:v>
      </x:c>
      <x:c r="C61" s="41" t="str">
        <x:v>feature_space_composite_exit</x:v>
      </x:c>
      <x:c r="D61" s="41" t="n">
        <x:v>0.43738</x:v>
      </x:c>
      <x:c r="E61" s="41" t="n">
        <x:v>0.120454</x:v>
      </x:c>
      <x:c r="F61" s="41" t="n">
        <x:v>0.316926</x:v>
      </x:c>
      <x:c r="G61" s="41" t="n">
        <x:v>30.21</x:v>
      </x:c>
      <x:c r="H61" s="41" t="n">
        <x:v>6.8025</x:v>
      </x:c>
      <x:c r="I61" s="41" t="n">
        <x:v>23.4075</x:v>
      </x:c>
      <x:c r="J61" s="41" t="n">
        <x:v>-69.0703</x:v>
      </x:c>
      <x:c r="K61" s="41" t="n">
        <x:v>-56.4737</x:v>
      </x:c>
      <x:c r="L61" s="41" t="n">
        <x:v>-12.5967</x:v>
      </x:c>
      <x:c r="M61" s="41" t="n">
        <x:v>137554.4916</x:v>
      </x:c>
      <x:c r="N61" s="41" t="n">
        <x:v>506.0574</x:v>
      </x:c>
      <x:c r="O61" s="41" t="n">
        <x:v>2822</x:v>
      </x:c>
      <x:c r="P61" s="41" t="str">
        <x:v>1999-01-04</x:v>
      </x:c>
      <x:c r="Q61" s="41" t="str">
        <x:v>2026-05-22</x:v>
      </x:c>
    </x:row>
    <x:row r="62">
      <x:c r="A62" s="41" t="n">
        <x:v>61</x:v>
      </x:c>
      <x:c r="B62" s="41" t="str">
        <x:v>HYP_FSPACE_AUTO_002_RANK_CHANNEL_SLOPE_PCT_EXIT_28_V1</x:v>
      </x:c>
      <x:c r="C62" s="41" t="str">
        <x:v>feature_space_composite_exit</x:v>
      </x:c>
      <x:c r="D62" s="41" t="n">
        <x:v>0.43738</x:v>
      </x:c>
      <x:c r="E62" s="41" t="n">
        <x:v>0.120454</x:v>
      </x:c>
      <x:c r="F62" s="41" t="n">
        <x:v>0.316926</x:v>
      </x:c>
      <x:c r="G62" s="41" t="n">
        <x:v>30.21</x:v>
      </x:c>
      <x:c r="H62" s="41" t="n">
        <x:v>6.8025</x:v>
      </x:c>
      <x:c r="I62" s="41" t="n">
        <x:v>23.4075</x:v>
      </x:c>
      <x:c r="J62" s="41" t="n">
        <x:v>-69.0703</x:v>
      </x:c>
      <x:c r="K62" s="41" t="n">
        <x:v>-56.4737</x:v>
      </x:c>
      <x:c r="L62" s="41" t="n">
        <x:v>-12.5967</x:v>
      </x:c>
      <x:c r="M62" s="41" t="n">
        <x:v>137554.4916</x:v>
      </x:c>
      <x:c r="N62" s="41" t="n">
        <x:v>506.0574</x:v>
      </x:c>
      <x:c r="O62" s="41" t="n">
        <x:v>2822</x:v>
      </x:c>
      <x:c r="P62" s="41" t="str">
        <x:v>1999-01-04</x:v>
      </x:c>
      <x:c r="Q62" s="41" t="str">
        <x:v>2026-05-22</x:v>
      </x:c>
    </x:row>
    <x:row r="63">
      <x:c r="A63" s="41" t="n">
        <x:v>62</x:v>
      </x:c>
      <x:c r="B63" s="41" t="str">
        <x:v>HYP_REFINE_AUTO002_TOPN_6_V1_DDGRID_STRICT_R12_C22_E75_CR40_REDD_RECOVERED_DD7_SL18</x:v>
      </x:c>
      <x:c r="C63" s="41" t="str">
        <x:v>dd_guard_grid</x:v>
      </x:c>
      <x:c r="D63" s="41" t="n">
        <x:v>0.435578</x:v>
      </x:c>
      <x:c r="E63" s="41" t="n">
        <x:v>0.120454</x:v>
      </x:c>
      <x:c r="F63" s="41" t="n">
        <x:v>0.315124</x:v>
      </x:c>
      <x:c r="G63" s="41" t="n">
        <x:v>13.9653</x:v>
      </x:c>
      <x:c r="H63" s="41" t="n">
        <x:v>6.8025</x:v>
      </x:c>
      <x:c r="I63" s="41" t="n">
        <x:v>7.1628</x:v>
      </x:c>
      <x:c r="J63" s="41" t="n">
        <x:v>-32.0615</x:v>
      </x:c>
      <x:c r="K63" s="41" t="n">
        <x:v>-56.4737</x:v>
      </x:c>
      <x:c r="L63" s="41" t="n">
        <x:v>24.4121</x:v>
      </x:c>
      <x:c r="M63" s="41" t="n">
        <x:v>3483.857</x:v>
      </x:c>
      <x:c r="N63" s="41" t="n">
        <x:v>506.0574</x:v>
      </x:c>
      <x:c r="O63" s="41" t="n">
        <x:v>5527</x:v>
      </x:c>
      <x:c r="P63" s="41" t="str">
        <x:v>1999-01-04</x:v>
      </x:c>
      <x:c r="Q63" s="41" t="str">
        <x:v>2026-05-22</x:v>
      </x:c>
    </x:row>
    <x:row r="64">
      <x:c r="A64" s="41" t="n">
        <x:v>63</x:v>
      </x:c>
      <x:c r="B64" s="41" t="str">
        <x:v>HYP_REFINE_AUTO002_TOPN_6_V1_DDGRID_LONGRUN_STRICT_STRICT_NEXT_CLOSE_R12_C22_E75_CR33_REDD_DD7_SL20</x:v>
      </x:c>
      <x:c r="C64" s="41" t="str">
        <x:v>strict_longrun_ddgrid</x:v>
      </x:c>
      <x:c r="D64" s="41" t="n">
        <x:v>0.434701</x:v>
      </x:c>
      <x:c r="E64" s="41" t="n">
        <x:v>0.120454</x:v>
      </x:c>
      <x:c r="F64" s="41" t="n">
        <x:v>0.314247</x:v>
      </x:c>
      <x:c r="G64" s="41" t="n">
        <x:v>13.568</x:v>
      </x:c>
      <x:c r="H64" s="41" t="n">
        <x:v>6.8025</x:v>
      </x:c>
      <x:c r="I64" s="41" t="n">
        <x:v>6.7655</x:v>
      </x:c>
      <x:c r="J64" s="41" t="n">
        <x:v>-31.2122</x:v>
      </x:c>
      <x:c r="K64" s="41" t="n">
        <x:v>-56.4737</x:v>
      </x:c>
      <x:c r="L64" s="41" t="n">
        <x:v>25.2615</x:v>
      </x:c>
      <x:c r="M64" s="41" t="n">
        <x:v>3157.0453</x:v>
      </x:c>
      <x:c r="N64" s="41" t="n">
        <x:v>506.0574</x:v>
      </x:c>
      <x:c r="O64" s="41" t="n">
        <x:v>6225</x:v>
      </x:c>
      <x:c r="P64" s="41" t="str">
        <x:v>1999-01-04</x:v>
      </x:c>
      <x:c r="Q64" s="41" t="str">
        <x:v>2026-05-22</x:v>
      </x:c>
    </x:row>
    <x:row r="65">
      <x:c r="A65" s="41" t="n">
        <x:v>64</x:v>
      </x:c>
      <x:c r="B65" s="41" t="str">
        <x:v>HYP_DD_FIRST_AUTO002_EXPOSURE_65_V1</x:v>
      </x:c>
      <x:c r="C65" s="41" t="str">
        <x:v>dd_first_drawdown_control</x:v>
      </x:c>
      <x:c r="D65" s="41" t="n">
        <x:v>0.434561</x:v>
      </x:c>
      <x:c r="E65" s="41" t="n">
        <x:v>0.120454</x:v>
      </x:c>
      <x:c r="F65" s="41" t="n">
        <x:v>0.314107</x:v>
      </x:c>
      <x:c r="G65" s="41" t="n">
        <x:v>17.0733</x:v>
      </x:c>
      <x:c r="H65" s="41" t="n">
        <x:v>6.8025</x:v>
      </x:c>
      <x:c r="I65" s="41" t="n">
        <x:v>10.2709</x:v>
      </x:c>
      <x:c r="J65" s="41" t="n">
        <x:v>-39.2887</x:v>
      </x:c>
      <x:c r="K65" s="41" t="n">
        <x:v>-56.4737</x:v>
      </x:c>
      <x:c r="L65" s="41" t="n">
        <x:v>17.185</x:v>
      </x:c>
      <x:c r="M65" s="41" t="n">
        <x:v>7386.4653</x:v>
      </x:c>
      <x:c r="N65" s="41" t="n">
        <x:v>506.0574</x:v>
      </x:c>
      <x:c r="O65" s="41" t="n">
        <x:v>3822</x:v>
      </x:c>
      <x:c r="P65" s="41" t="str">
        <x:v>1999-01-04</x:v>
      </x:c>
      <x:c r="Q65" s="41" t="str">
        <x:v>2026-05-22</x:v>
      </x:c>
    </x:row>
    <x:row r="66">
      <x:c r="A66" s="41" t="n">
        <x:v>65</x:v>
      </x:c>
      <x:c r="B66" s="41" t="str">
        <x:v>HYP_REFINE_AUTO002_TOPN_6_V1_DDGRID_LONGRUN_STRICT_STRICT_NEXT_CLOSE_R12_C22_E80_CR40_REDD_DD8_SL20</x:v>
      </x:c>
      <x:c r="C66" s="41" t="str">
        <x:v>strict_longrun_ddgrid</x:v>
      </x:c>
      <x:c r="D66" s="41" t="n">
        <x:v>0.431399</x:v>
      </x:c>
      <x:c r="E66" s="41" t="n">
        <x:v>0.120454</x:v>
      </x:c>
      <x:c r="F66" s="41" t="n">
        <x:v>0.310945</x:v>
      </x:c>
      <x:c r="G66" s="41" t="n">
        <x:v>14.2632</x:v>
      </x:c>
      <x:c r="H66" s="41" t="n">
        <x:v>6.8025</x:v>
      </x:c>
      <x:c r="I66" s="41" t="n">
        <x:v>7.4607</x:v>
      </x:c>
      <x:c r="J66" s="41" t="n">
        <x:v>-33.0627</x:v>
      </x:c>
      <x:c r="K66" s="41" t="n">
        <x:v>-56.4737</x:v>
      </x:c>
      <x:c r="L66" s="41" t="n">
        <x:v>23.411</x:v>
      </x:c>
      <x:c r="M66" s="41" t="n">
        <x:v>3749.3713</x:v>
      </x:c>
      <x:c r="N66" s="41" t="n">
        <x:v>506.0574</x:v>
      </x:c>
      <x:c r="O66" s="41" t="n">
        <x:v>5538</x:v>
      </x:c>
      <x:c r="P66" s="41" t="str">
        <x:v>1999-01-04</x:v>
      </x:c>
      <x:c r="Q66" s="41" t="str">
        <x:v>2026-05-22</x:v>
      </x:c>
    </x:row>
    <x:row r="67">
      <x:c r="A67" s="41" t="n">
        <x:v>66</x:v>
      </x:c>
      <x:c r="B67" s="41" t="str">
        <x:v>HYP_DD20_CTRL_GUARD_DYNAMIC_14_30_V1</x:v>
      </x:c>
      <x:c r="C67" s="41" t="str">
        <x:v>dd20_adaptive_research</x:v>
      </x:c>
      <x:c r="D67" s="41" t="n">
        <x:v>0.431379</x:v>
      </x:c>
      <x:c r="E67" s="41" t="n">
        <x:v>0.120454</x:v>
      </x:c>
      <x:c r="F67" s="41" t="n">
        <x:v>0.310925</x:v>
      </x:c>
      <x:c r="G67" s="41" t="n">
        <x:v>9.4082</x:v>
      </x:c>
      <x:c r="H67" s="41" t="n">
        <x:v>6.8025</x:v>
      </x:c>
      <x:c r="I67" s="41" t="n">
        <x:v>2.6057</x:v>
      </x:c>
      <x:c r="J67" s="41" t="n">
        <x:v>-21.8095</x:v>
      </x:c>
      <x:c r="K67" s="41" t="n">
        <x:v>-56.4737</x:v>
      </x:c>
      <x:c r="L67" s="41" t="n">
        <x:v>34.6641</x:v>
      </x:c>
      <x:c r="M67" s="41" t="n">
        <x:v>1072.5286</x:v>
      </x:c>
      <x:c r="N67" s="41" t="n">
        <x:v>506.0574</x:v>
      </x:c>
      <x:c r="O67" s="41" t="n">
        <x:v>2384</x:v>
      </x:c>
      <x:c r="P67" s="41" t="str">
        <x:v>1999-01-04</x:v>
      </x:c>
      <x:c r="Q67" s="41" t="str">
        <x:v>2026-05-22</x:v>
      </x:c>
    </x:row>
    <x:row r="68">
      <x:c r="A68" s="41" t="n">
        <x:v>67</x:v>
      </x:c>
      <x:c r="B68" s="41" t="str">
        <x:v>HYP_REFINE_AUTO002_TOPN_6_V1_DDGRID_EXT_R12_C22_E75_CR40_REDD_RECOVERED_DD8_SL20</x:v>
      </x:c>
      <x:c r="C68" s="41" t="str">
        <x:v>dd_guard_grid</x:v>
      </x:c>
      <x:c r="D68" s="41" t="n">
        <x:v>0.430068</x:v>
      </x:c>
      <x:c r="E68" s="41" t="n">
        <x:v>0.120454</x:v>
      </x:c>
      <x:c r="F68" s="41" t="n">
        <x:v>0.309614</x:v>
      </x:c>
      <x:c r="G68" s="41" t="n">
        <x:v>14.0379</x:v>
      </x:c>
      <x:c r="H68" s="41" t="n">
        <x:v>6.8025</x:v>
      </x:c>
      <x:c r="I68" s="41" t="n">
        <x:v>7.2354</x:v>
      </x:c>
      <x:c r="J68" s="41" t="n">
        <x:v>-32.6412</x:v>
      </x:c>
      <x:c r="K68" s="41" t="n">
        <x:v>-56.4737</x:v>
      </x:c>
      <x:c r="L68" s="41" t="n">
        <x:v>23.8325</x:v>
      </x:c>
      <x:c r="M68" s="41" t="n">
        <x:v>3546.8989</x:v>
      </x:c>
      <x:c r="N68" s="41" t="n">
        <x:v>506.0574</x:v>
      </x:c>
      <x:c r="O68" s="41" t="n">
        <x:v>5819</x:v>
      </x:c>
      <x:c r="P68" s="41" t="str">
        <x:v>1999-01-04</x:v>
      </x:c>
      <x:c r="Q68" s="41" t="str">
        <x:v>2026-05-22</x:v>
      </x:c>
    </x:row>
    <x:row r="69">
      <x:c r="A69" s="41" t="n">
        <x:v>68</x:v>
      </x:c>
      <x:c r="B69" s="41" t="str">
        <x:v>HYP_REFINE_AUTO002_TOPN_6_V1_DDGRID_LONG_R12_C22_E75_CR40_REDD_RECOVERED_DD8_SL20</x:v>
      </x:c>
      <x:c r="C69" s="41" t="str">
        <x:v>dd_guard_grid</x:v>
      </x:c>
      <x:c r="D69" s="41" t="n">
        <x:v>0.430068</x:v>
      </x:c>
      <x:c r="E69" s="41" t="n">
        <x:v>0.120454</x:v>
      </x:c>
      <x:c r="F69" s="41" t="n">
        <x:v>0.309614</x:v>
      </x:c>
      <x:c r="G69" s="41" t="n">
        <x:v>14.0379</x:v>
      </x:c>
      <x:c r="H69" s="41" t="n">
        <x:v>6.8025</x:v>
      </x:c>
      <x:c r="I69" s="41" t="n">
        <x:v>7.2354</x:v>
      </x:c>
      <x:c r="J69" s="41" t="n">
        <x:v>-32.6412</x:v>
      </x:c>
      <x:c r="K69" s="41" t="n">
        <x:v>-56.4737</x:v>
      </x:c>
      <x:c r="L69" s="41" t="n">
        <x:v>23.8325</x:v>
      </x:c>
      <x:c r="M69" s="41" t="n">
        <x:v>3546.8989</x:v>
      </x:c>
      <x:c r="N69" s="41" t="n">
        <x:v>506.0574</x:v>
      </x:c>
      <x:c r="O69" s="41" t="n">
        <x:v>5819</x:v>
      </x:c>
      <x:c r="P69" s="41" t="str">
        <x:v>1999-01-04</x:v>
      </x:c>
      <x:c r="Q69" s="41" t="str">
        <x:v>2026-05-22</x:v>
      </x:c>
    </x:row>
    <x:row r="70">
      <x:c r="A70" s="41" t="n">
        <x:v>69</x:v>
      </x:c>
      <x:c r="B70" s="41" t="str">
        <x:v>HYP_AUTOREFINE_AUTO_002_RANK_RET_52W_PCT_V1</x:v>
      </x:c>
      <x:c r="C70" s="41" t="str">
        <x:v>trend_following</x:v>
      </x:c>
      <x:c r="D70" s="41" t="n">
        <x:v>0.429425</x:v>
      </x:c>
      <x:c r="E70" s="41" t="n">
        <x:v>0.120454</x:v>
      </x:c>
      <x:c r="F70" s="41" t="n">
        <x:v>0.308971</x:v>
      </x:c>
      <x:c r="G70" s="41" t="n">
        <x:v>25.2921</x:v>
      </x:c>
      <x:c r="H70" s="41" t="n">
        <x:v>6.8025</x:v>
      </x:c>
      <x:c r="I70" s="41" t="n">
        <x:v>18.4896</x:v>
      </x:c>
      <x:c r="J70" s="41" t="n">
        <x:v>-58.8975</x:v>
      </x:c>
      <x:c r="K70" s="41" t="n">
        <x:v>-56.4737</x:v>
      </x:c>
      <x:c r="L70" s="41" t="n">
        <x:v>-2.4239</x:v>
      </x:c>
      <x:c r="M70" s="41" t="n">
        <x:v>47873.3938</x:v>
      </x:c>
      <x:c r="N70" s="41" t="n">
        <x:v>506.0574</x:v>
      </x:c>
      <x:c r="O70" s="41" t="n">
        <x:v>3280</x:v>
      </x:c>
      <x:c r="P70" s="41" t="str">
        <x:v>1999-01-04</x:v>
      </x:c>
      <x:c r="Q70" s="41" t="str">
        <x:v>2026-05-22</x:v>
      </x:c>
    </x:row>
    <x:row r="71">
      <x:c r="A71" s="41" t="n">
        <x:v>70</x:v>
      </x:c>
      <x:c r="B71" s="41" t="str">
        <x:v>HYP_CROSS_SECTIONAL_MOMENTUM_EXIT_THRESHOLD_15_V1</x:v>
      </x:c>
      <x:c r="C71" s="41" t="str">
        <x:v>cross_sectional_momentum</x:v>
      </x:c>
      <x:c r="D71" s="41" t="n">
        <x:v>0.429425</x:v>
      </x:c>
      <x:c r="E71" s="41" t="n">
        <x:v>0.120454</x:v>
      </x:c>
      <x:c r="F71" s="41" t="n">
        <x:v>0.308971</x:v>
      </x:c>
      <x:c r="G71" s="41" t="n">
        <x:v>25.2921</x:v>
      </x:c>
      <x:c r="H71" s="41" t="n">
        <x:v>6.8025</x:v>
      </x:c>
      <x:c r="I71" s="41" t="n">
        <x:v>18.4896</x:v>
      </x:c>
      <x:c r="J71" s="41" t="n">
        <x:v>-58.8975</x:v>
      </x:c>
      <x:c r="K71" s="41" t="n">
        <x:v>-56.4737</x:v>
      </x:c>
      <x:c r="L71" s="41" t="n">
        <x:v>-2.4239</x:v>
      </x:c>
      <x:c r="M71" s="41" t="n">
        <x:v>47873.3938</x:v>
      </x:c>
      <x:c r="N71" s="41" t="n">
        <x:v>506.0574</x:v>
      </x:c>
      <x:c r="O71" s="41" t="n">
        <x:v>3280</x:v>
      </x:c>
      <x:c r="P71" s="41" t="str">
        <x:v>1999-01-04</x:v>
      </x:c>
      <x:c r="Q71" s="41" t="str">
        <x:v>2026-05-22</x:v>
      </x:c>
    </x:row>
    <x:row r="72">
      <x:c r="A72" s="41" t="n">
        <x:v>71</x:v>
      </x:c>
      <x:c r="B72" s="41" t="str">
        <x:v>HYP_DARVAS_BOX_EXIT_THRESHOLD_10_V1</x:v>
      </x:c>
      <x:c r="C72" s="41" t="str">
        <x:v>cross_sectional_momentum</x:v>
      </x:c>
      <x:c r="D72" s="41" t="n">
        <x:v>0.429425</x:v>
      </x:c>
      <x:c r="E72" s="41" t="n">
        <x:v>0.120454</x:v>
      </x:c>
      <x:c r="F72" s="41" t="n">
        <x:v>0.308971</x:v>
      </x:c>
      <x:c r="G72" s="41" t="n">
        <x:v>25.2921</x:v>
      </x:c>
      <x:c r="H72" s="41" t="n">
        <x:v>6.8025</x:v>
      </x:c>
      <x:c r="I72" s="41" t="n">
        <x:v>18.4896</x:v>
      </x:c>
      <x:c r="J72" s="41" t="n">
        <x:v>-58.8975</x:v>
      </x:c>
      <x:c r="K72" s="41" t="n">
        <x:v>-56.4737</x:v>
      </x:c>
      <x:c r="L72" s="41" t="n">
        <x:v>-2.4239</x:v>
      </x:c>
      <x:c r="M72" s="41" t="n">
        <x:v>47873.3938</x:v>
      </x:c>
      <x:c r="N72" s="41" t="n">
        <x:v>506.0574</x:v>
      </x:c>
      <x:c r="O72" s="41" t="n">
        <x:v>3280</x:v>
      </x:c>
      <x:c r="P72" s="41" t="str">
        <x:v>1999-01-04</x:v>
      </x:c>
      <x:c r="Q72" s="41" t="str">
        <x:v>2026-05-22</x:v>
      </x:c>
    </x:row>
    <x:row r="73">
      <x:c r="A73" s="41" t="n">
        <x:v>72</x:v>
      </x:c>
      <x:c r="B73" s="41" t="str">
        <x:v>HYP_DARVAS_BOX_EXIT_THRESHOLD_10_V2</x:v>
      </x:c>
      <x:c r="C73" s="41" t="str">
        <x:v>cross_sectional_momentum</x:v>
      </x:c>
      <x:c r="D73" s="41" t="n">
        <x:v>0.429425</x:v>
      </x:c>
      <x:c r="E73" s="41" t="n">
        <x:v>0.120454</x:v>
      </x:c>
      <x:c r="F73" s="41" t="n">
        <x:v>0.308971</x:v>
      </x:c>
      <x:c r="G73" s="41" t="n">
        <x:v>25.2921</x:v>
      </x:c>
      <x:c r="H73" s="41" t="n">
        <x:v>6.8025</x:v>
      </x:c>
      <x:c r="I73" s="41" t="n">
        <x:v>18.4896</x:v>
      </x:c>
      <x:c r="J73" s="41" t="n">
        <x:v>-58.8975</x:v>
      </x:c>
      <x:c r="K73" s="41" t="n">
        <x:v>-56.4737</x:v>
      </x:c>
      <x:c r="L73" s="41" t="n">
        <x:v>-2.4239</x:v>
      </x:c>
      <x:c r="M73" s="41" t="n">
        <x:v>47873.3938</x:v>
      </x:c>
      <x:c r="N73" s="41" t="n">
        <x:v>506.0574</x:v>
      </x:c>
      <x:c r="O73" s="41" t="n">
        <x:v>3280</x:v>
      </x:c>
      <x:c r="P73" s="41" t="str">
        <x:v>1999-01-04</x:v>
      </x:c>
      <x:c r="Q73" s="41" t="str">
        <x:v>2026-05-22</x:v>
      </x:c>
    </x:row>
    <x:row r="74">
      <x:c r="A74" s="41" t="n">
        <x:v>73</x:v>
      </x:c>
      <x:c r="B74" s="41" t="str">
        <x:v>HYP_DARVAS_BOX_EXIT_THRESHOLD_40_V1</x:v>
      </x:c>
      <x:c r="C74" s="41" t="str">
        <x:v>cross_sectional_momentum</x:v>
      </x:c>
      <x:c r="D74" s="41" t="n">
        <x:v>0.429425</x:v>
      </x:c>
      <x:c r="E74" s="41" t="n">
        <x:v>0.120454</x:v>
      </x:c>
      <x:c r="F74" s="41" t="n">
        <x:v>0.308971</x:v>
      </x:c>
      <x:c r="G74" s="41" t="n">
        <x:v>25.2921</x:v>
      </x:c>
      <x:c r="H74" s="41" t="n">
        <x:v>6.8025</x:v>
      </x:c>
      <x:c r="I74" s="41" t="n">
        <x:v>18.4896</x:v>
      </x:c>
      <x:c r="J74" s="41" t="n">
        <x:v>-58.8975</x:v>
      </x:c>
      <x:c r="K74" s="41" t="n">
        <x:v>-56.4737</x:v>
      </x:c>
      <x:c r="L74" s="41" t="n">
        <x:v>-2.4239</x:v>
      </x:c>
      <x:c r="M74" s="41" t="n">
        <x:v>47873.3938</x:v>
      </x:c>
      <x:c r="N74" s="41" t="n">
        <x:v>506.0574</x:v>
      </x:c>
      <x:c r="O74" s="41" t="n">
        <x:v>3280</x:v>
      </x:c>
      <x:c r="P74" s="41" t="str">
        <x:v>1999-01-04</x:v>
      </x:c>
      <x:c r="Q74" s="41" t="str">
        <x:v>2026-05-22</x:v>
      </x:c>
    </x:row>
    <x:row r="75">
      <x:c r="A75" s="41" t="n">
        <x:v>74</x:v>
      </x:c>
      <x:c r="B75" s="41" t="str">
        <x:v>HYP_LIT_AUTO_002_PAPER_LOW_VOLATILITY_ANOMALY_AND_MOMEN_VOL_ATR14_RET52_V4</x:v>
      </x:c>
      <x:c r="C75" s="41" t="str">
        <x:v>paper_low_vol_momentum</x:v>
      </x:c>
      <x:c r="D75" s="41" t="n">
        <x:v>0.429425</x:v>
      </x:c>
      <x:c r="E75" s="41" t="n">
        <x:v>0.120454</x:v>
      </x:c>
      <x:c r="F75" s="41" t="n">
        <x:v>0.308971</x:v>
      </x:c>
      <x:c r="G75" s="41" t="n">
        <x:v>25.2921</x:v>
      </x:c>
      <x:c r="H75" s="41" t="n">
        <x:v>6.8025</x:v>
      </x:c>
      <x:c r="I75" s="41" t="n">
        <x:v>18.4896</x:v>
      </x:c>
      <x:c r="J75" s="41" t="n">
        <x:v>-58.8975</x:v>
      </x:c>
      <x:c r="K75" s="41" t="n">
        <x:v>-56.4737</x:v>
      </x:c>
      <x:c r="L75" s="41" t="n">
        <x:v>-2.4239</x:v>
      </x:c>
      <x:c r="M75" s="41" t="n">
        <x:v>47873.3938</x:v>
      </x:c>
      <x:c r="N75" s="41" t="n">
        <x:v>506.0574</x:v>
      </x:c>
      <x:c r="O75" s="41" t="n">
        <x:v>3280</x:v>
      </x:c>
      <x:c r="P75" s="41" t="str">
        <x:v>1999-01-04</x:v>
      </x:c>
      <x:c r="Q75" s="41" t="str">
        <x:v>2026-05-22</x:v>
      </x:c>
    </x:row>
    <x:row r="76">
      <x:c r="A76" s="41" t="n">
        <x:v>75</x:v>
      </x:c>
      <x:c r="B76" s="41" t="str">
        <x:v>HYP_TACTICAL_ASSET_ALLOCATION_MARKET_FILTER_True_V1</x:v>
      </x:c>
      <x:c r="C76" s="41" t="str">
        <x:v>cross_sectional_momentum</x:v>
      </x:c>
      <x:c r="D76" s="41" t="n">
        <x:v>0.429425</x:v>
      </x:c>
      <x:c r="E76" s="41" t="n">
        <x:v>0.120454</x:v>
      </x:c>
      <x:c r="F76" s="41" t="n">
        <x:v>0.308971</x:v>
      </x:c>
      <x:c r="G76" s="41" t="n">
        <x:v>25.2921</x:v>
      </x:c>
      <x:c r="H76" s="41" t="n">
        <x:v>6.8025</x:v>
      </x:c>
      <x:c r="I76" s="41" t="n">
        <x:v>18.4896</x:v>
      </x:c>
      <x:c r="J76" s="41" t="n">
        <x:v>-58.8975</x:v>
      </x:c>
      <x:c r="K76" s="41" t="n">
        <x:v>-56.4737</x:v>
      </x:c>
      <x:c r="L76" s="41" t="n">
        <x:v>-2.4239</x:v>
      </x:c>
      <x:c r="M76" s="41" t="n">
        <x:v>47873.3938</x:v>
      </x:c>
      <x:c r="N76" s="41" t="n">
        <x:v>506.0574</x:v>
      </x:c>
      <x:c r="O76" s="41" t="n">
        <x:v>3280</x:v>
      </x:c>
      <x:c r="P76" s="41" t="str">
        <x:v>1999-01-04</x:v>
      </x:c>
      <x:c r="Q76" s="41" t="str">
        <x:v>2026-05-22</x:v>
      </x:c>
    </x:row>
    <x:row r="77">
      <x:c r="A77" s="41" t="n">
        <x:v>76</x:v>
      </x:c>
      <x:c r="B77" s="41" t="str">
        <x:v>HYP_TACTICAL_ASSET_ALLOCATION_MARKET_FILTER_True_V10</x:v>
      </x:c>
      <x:c r="C77" s="41" t="str">
        <x:v>cross_sectional_momentum</x:v>
      </x:c>
      <x:c r="D77" s="41" t="n">
        <x:v>0.429425</x:v>
      </x:c>
      <x:c r="E77" s="41" t="n">
        <x:v>0.120454</x:v>
      </x:c>
      <x:c r="F77" s="41" t="n">
        <x:v>0.308971</x:v>
      </x:c>
      <x:c r="G77" s="41" t="n">
        <x:v>25.2921</x:v>
      </x:c>
      <x:c r="H77" s="41" t="n">
        <x:v>6.8025</x:v>
      </x:c>
      <x:c r="I77" s="41" t="n">
        <x:v>18.4896</x:v>
      </x:c>
      <x:c r="J77" s="41" t="n">
        <x:v>-58.8975</x:v>
      </x:c>
      <x:c r="K77" s="41" t="n">
        <x:v>-56.4737</x:v>
      </x:c>
      <x:c r="L77" s="41" t="n">
        <x:v>-2.4239</x:v>
      </x:c>
      <x:c r="M77" s="41" t="n">
        <x:v>47873.3938</x:v>
      </x:c>
      <x:c r="N77" s="41" t="n">
        <x:v>506.0574</x:v>
      </x:c>
      <x:c r="O77" s="41" t="n">
        <x:v>3280</x:v>
      </x:c>
      <x:c r="P77" s="41" t="str">
        <x:v>1999-01-04</x:v>
      </x:c>
      <x:c r="Q77" s="41" t="str">
        <x:v>2026-05-22</x:v>
      </x:c>
    </x:row>
    <x:row r="78">
      <x:c r="A78" s="41" t="n">
        <x:v>77</x:v>
      </x:c>
      <x:c r="B78" s="41" t="str">
        <x:v>HYP_TACTICAL_ASSET_ALLOCATION_MARKET_FILTER_True_V2</x:v>
      </x:c>
      <x:c r="C78" s="41" t="str">
        <x:v>cross_sectional_momentum</x:v>
      </x:c>
      <x:c r="D78" s="41" t="n">
        <x:v>0.429425</x:v>
      </x:c>
      <x:c r="E78" s="41" t="n">
        <x:v>0.120454</x:v>
      </x:c>
      <x:c r="F78" s="41" t="n">
        <x:v>0.308971</x:v>
      </x:c>
      <x:c r="G78" s="41" t="n">
        <x:v>25.2921</x:v>
      </x:c>
      <x:c r="H78" s="41" t="n">
        <x:v>6.8025</x:v>
      </x:c>
      <x:c r="I78" s="41" t="n">
        <x:v>18.4896</x:v>
      </x:c>
      <x:c r="J78" s="41" t="n">
        <x:v>-58.8975</x:v>
      </x:c>
      <x:c r="K78" s="41" t="n">
        <x:v>-56.4737</x:v>
      </x:c>
      <x:c r="L78" s="41" t="n">
        <x:v>-2.4239</x:v>
      </x:c>
      <x:c r="M78" s="41" t="n">
        <x:v>47873.3938</x:v>
      </x:c>
      <x:c r="N78" s="41" t="n">
        <x:v>506.0574</x:v>
      </x:c>
      <x:c r="O78" s="41" t="n">
        <x:v>3280</x:v>
      </x:c>
      <x:c r="P78" s="41" t="str">
        <x:v>1999-01-04</x:v>
      </x:c>
      <x:c r="Q78" s="41" t="str">
        <x:v>2026-05-22</x:v>
      </x:c>
    </x:row>
    <x:row r="79">
      <x:c r="A79" s="41" t="n">
        <x:v>78</x:v>
      </x:c>
      <x:c r="B79" s="41" t="str">
        <x:v>HYP_TREND_FOLLOWING_EXIT_THRESHOLD_20_V1</x:v>
      </x:c>
      <x:c r="C79" s="41" t="str">
        <x:v>cross_sectional_momentum</x:v>
      </x:c>
      <x:c r="D79" s="41" t="n">
        <x:v>0.429425</x:v>
      </x:c>
      <x:c r="E79" s="41" t="n">
        <x:v>0.120454</x:v>
      </x:c>
      <x:c r="F79" s="41" t="n">
        <x:v>0.308971</x:v>
      </x:c>
      <x:c r="G79" s="41" t="n">
        <x:v>25.2921</x:v>
      </x:c>
      <x:c r="H79" s="41" t="n">
        <x:v>6.8025</x:v>
      </x:c>
      <x:c r="I79" s="41" t="n">
        <x:v>18.4896</x:v>
      </x:c>
      <x:c r="J79" s="41" t="n">
        <x:v>-58.8975</x:v>
      </x:c>
      <x:c r="K79" s="41" t="n">
        <x:v>-56.4737</x:v>
      </x:c>
      <x:c r="L79" s="41" t="n">
        <x:v>-2.4239</x:v>
      </x:c>
      <x:c r="M79" s="41" t="n">
        <x:v>47873.3938</x:v>
      </x:c>
      <x:c r="N79" s="41" t="n">
        <x:v>506.0574</x:v>
      </x:c>
      <x:c r="O79" s="41" t="n">
        <x:v>3280</x:v>
      </x:c>
      <x:c r="P79" s="41" t="str">
        <x:v>1999-01-04</x:v>
      </x:c>
      <x:c r="Q79" s="41" t="str">
        <x:v>2026-05-22</x:v>
      </x:c>
    </x:row>
    <x:row r="80">
      <x:c r="A80" s="41" t="n">
        <x:v>79</x:v>
      </x:c>
      <x:c r="B80" s="41" t="str">
        <x:v>HYP_TREND_FOLLOWING_EXIT_THRESHOLD_35_V1</x:v>
      </x:c>
      <x:c r="C80" s="41" t="str">
        <x:v>cross_sectional_momentum</x:v>
      </x:c>
      <x:c r="D80" s="41" t="n">
        <x:v>0.429425</x:v>
      </x:c>
      <x:c r="E80" s="41" t="n">
        <x:v>0.120454</x:v>
      </x:c>
      <x:c r="F80" s="41" t="n">
        <x:v>0.308971</x:v>
      </x:c>
      <x:c r="G80" s="41" t="n">
        <x:v>25.2921</x:v>
      </x:c>
      <x:c r="H80" s="41" t="n">
        <x:v>6.8025</x:v>
      </x:c>
      <x:c r="I80" s="41" t="n">
        <x:v>18.4896</x:v>
      </x:c>
      <x:c r="J80" s="41" t="n">
        <x:v>-58.8975</x:v>
      </x:c>
      <x:c r="K80" s="41" t="n">
        <x:v>-56.4737</x:v>
      </x:c>
      <x:c r="L80" s="41" t="n">
        <x:v>-2.4239</x:v>
      </x:c>
      <x:c r="M80" s="41" t="n">
        <x:v>47873.3938</x:v>
      </x:c>
      <x:c r="N80" s="41" t="n">
        <x:v>506.0574</x:v>
      </x:c>
      <x:c r="O80" s="41" t="n">
        <x:v>3280</x:v>
      </x:c>
      <x:c r="P80" s="41" t="str">
        <x:v>1999-01-04</x:v>
      </x:c>
      <x:c r="Q80" s="41" t="str">
        <x:v>2026-05-22</x:v>
      </x:c>
    </x:row>
    <x:row r="81">
      <x:c r="A81" s="41" t="n">
        <x:v>80</x:v>
      </x:c>
      <x:c r="B81" s="41" t="str">
        <x:v>HYP_TREND_FOLLOWING_MARKET_FILTER_True_V1</x:v>
      </x:c>
      <x:c r="C81" s="41" t="str">
        <x:v>cross_sectional_momentum</x:v>
      </x:c>
      <x:c r="D81" s="41" t="n">
        <x:v>0.429425</x:v>
      </x:c>
      <x:c r="E81" s="41" t="n">
        <x:v>0.120454</x:v>
      </x:c>
      <x:c r="F81" s="41" t="n">
        <x:v>0.308971</x:v>
      </x:c>
      <x:c r="G81" s="41" t="n">
        <x:v>25.2921</x:v>
      </x:c>
      <x:c r="H81" s="41" t="n">
        <x:v>6.8025</x:v>
      </x:c>
      <x:c r="I81" s="41" t="n">
        <x:v>18.4896</x:v>
      </x:c>
      <x:c r="J81" s="41" t="n">
        <x:v>-58.8975</x:v>
      </x:c>
      <x:c r="K81" s="41" t="n">
        <x:v>-56.4737</x:v>
      </x:c>
      <x:c r="L81" s="41" t="n">
        <x:v>-2.4239</x:v>
      </x:c>
      <x:c r="M81" s="41" t="n">
        <x:v>47873.3938</x:v>
      </x:c>
      <x:c r="N81" s="41" t="n">
        <x:v>506.0574</x:v>
      </x:c>
      <x:c r="O81" s="41" t="n">
        <x:v>3280</x:v>
      </x:c>
      <x:c r="P81" s="41" t="str">
        <x:v>1999-01-04</x:v>
      </x:c>
      <x:c r="Q81" s="41" t="str">
        <x:v>2026-05-22</x:v>
      </x:c>
    </x:row>
    <x:row r="82">
      <x:c r="A82" s="41" t="n">
        <x:v>81</x:v>
      </x:c>
      <x:c r="B82" s="41" t="str">
        <x:v>HYP_DD_FIRST_AUTO002_EXPOSURE60_SOFT_SPY_TOPN_10_V1</x:v>
      </x:c>
      <x:c r="C82" s="41" t="str">
        <x:v>dd_first_drawdown_control</x:v>
      </x:c>
      <x:c r="D82" s="41" t="n">
        <x:v>0.428962</x:v>
      </x:c>
      <x:c r="E82" s="41" t="n">
        <x:v>0.120454</x:v>
      </x:c>
      <x:c r="F82" s="41" t="n">
        <x:v>0.308508</x:v>
      </x:c>
      <x:c r="G82" s="41" t="n">
        <x:v>15.7814</x:v>
      </x:c>
      <x:c r="H82" s="41" t="n">
        <x:v>6.8025</x:v>
      </x:c>
      <x:c r="I82" s="41" t="n">
        <x:v>8.9789</x:v>
      </x:c>
      <x:c r="J82" s="41" t="n">
        <x:v>-36.7898</x:v>
      </x:c>
      <x:c r="K82" s="41" t="n">
        <x:v>-56.4737</x:v>
      </x:c>
      <x:c r="L82" s="41" t="n">
        <x:v>19.6839</x:v>
      </x:c>
      <x:c r="M82" s="41" t="n">
        <x:v>5425.0517</x:v>
      </x:c>
      <x:c r="N82" s="41" t="n">
        <x:v>506.0574</x:v>
      </x:c>
      <x:c r="O82" s="41" t="n">
        <x:v>3837</x:v>
      </x:c>
      <x:c r="P82" s="41" t="str">
        <x:v>1999-01-04</x:v>
      </x:c>
      <x:c r="Q82" s="41" t="str">
        <x:v>2026-05-22</x:v>
      </x:c>
    </x:row>
    <x:row r="83">
      <x:c r="A83" s="41" t="n">
        <x:v>82</x:v>
      </x:c>
      <x:c r="B83" s="41" t="str">
        <x:v>HYP_DD_FIRST_AUTO002_EXPOSURE60_SOFT_SPY_TOPN_5_V1</x:v>
      </x:c>
      <x:c r="C83" s="41" t="str">
        <x:v>dd_first_drawdown_control</x:v>
      </x:c>
      <x:c r="D83" s="41" t="n">
        <x:v>0.428962</x:v>
      </x:c>
      <x:c r="E83" s="41" t="n">
        <x:v>0.120454</x:v>
      </x:c>
      <x:c r="F83" s="41" t="n">
        <x:v>0.308508</x:v>
      </x:c>
      <x:c r="G83" s="41" t="n">
        <x:v>15.7814</x:v>
      </x:c>
      <x:c r="H83" s="41" t="n">
        <x:v>6.8025</x:v>
      </x:c>
      <x:c r="I83" s="41" t="n">
        <x:v>8.9789</x:v>
      </x:c>
      <x:c r="J83" s="41" t="n">
        <x:v>-36.7898</x:v>
      </x:c>
      <x:c r="K83" s="41" t="n">
        <x:v>-56.4737</x:v>
      </x:c>
      <x:c r="L83" s="41" t="n">
        <x:v>19.6839</x:v>
      </x:c>
      <x:c r="M83" s="41" t="n">
        <x:v>5425.0517</x:v>
      </x:c>
      <x:c r="N83" s="41" t="n">
        <x:v>506.0574</x:v>
      </x:c>
      <x:c r="O83" s="41" t="n">
        <x:v>3837</x:v>
      </x:c>
      <x:c r="P83" s="41" t="str">
        <x:v>1999-01-04</x:v>
      </x:c>
      <x:c r="Q83" s="41" t="str">
        <x:v>2026-05-22</x:v>
      </x:c>
    </x:row>
    <x:row r="84">
      <x:c r="A84" s="41" t="n">
        <x:v>83</x:v>
      </x:c>
      <x:c r="B84" s="41" t="str">
        <x:v>HYP_DD_FIRST_AUTO002_EXPOSURE60_SOFT_SPY_TOPN_8_V1</x:v>
      </x:c>
      <x:c r="C84" s="41" t="str">
        <x:v>dd_first_drawdown_control</x:v>
      </x:c>
      <x:c r="D84" s="41" t="n">
        <x:v>0.428962</x:v>
      </x:c>
      <x:c r="E84" s="41" t="n">
        <x:v>0.120454</x:v>
      </x:c>
      <x:c r="F84" s="41" t="n">
        <x:v>0.308508</x:v>
      </x:c>
      <x:c r="G84" s="41" t="n">
        <x:v>15.7814</x:v>
      </x:c>
      <x:c r="H84" s="41" t="n">
        <x:v>6.8025</x:v>
      </x:c>
      <x:c r="I84" s="41" t="n">
        <x:v>8.9789</x:v>
      </x:c>
      <x:c r="J84" s="41" t="n">
        <x:v>-36.7898</x:v>
      </x:c>
      <x:c r="K84" s="41" t="n">
        <x:v>-56.4737</x:v>
      </x:c>
      <x:c r="L84" s="41" t="n">
        <x:v>19.6839</x:v>
      </x:c>
      <x:c r="M84" s="41" t="n">
        <x:v>5425.0517</x:v>
      </x:c>
      <x:c r="N84" s="41" t="n">
        <x:v>506.0574</x:v>
      </x:c>
      <x:c r="O84" s="41" t="n">
        <x:v>3837</x:v>
      </x:c>
      <x:c r="P84" s="41" t="str">
        <x:v>1999-01-04</x:v>
      </x:c>
      <x:c r="Q84" s="41" t="str">
        <x:v>2026-05-22</x:v>
      </x:c>
    </x:row>
    <x:row r="85">
      <x:c r="A85" s="41" t="n">
        <x:v>84</x:v>
      </x:c>
      <x:c r="B85" s="41" t="str">
        <x:v>HYP_DD_FIRST_AUTO002_EXPOSURE_60_V1</x:v>
      </x:c>
      <x:c r="C85" s="41" t="str">
        <x:v>dd_first_drawdown_control</x:v>
      </x:c>
      <x:c r="D85" s="41" t="n">
        <x:v>0.428962</x:v>
      </x:c>
      <x:c r="E85" s="41" t="n">
        <x:v>0.120454</x:v>
      </x:c>
      <x:c r="F85" s="41" t="n">
        <x:v>0.308508</x:v>
      </x:c>
      <x:c r="G85" s="41" t="n">
        <x:v>15.7814</x:v>
      </x:c>
      <x:c r="H85" s="41" t="n">
        <x:v>6.8025</x:v>
      </x:c>
      <x:c r="I85" s="41" t="n">
        <x:v>8.9789</x:v>
      </x:c>
      <x:c r="J85" s="41" t="n">
        <x:v>-36.7898</x:v>
      </x:c>
      <x:c r="K85" s="41" t="n">
        <x:v>-56.4737</x:v>
      </x:c>
      <x:c r="L85" s="41" t="n">
        <x:v>19.6839</x:v>
      </x:c>
      <x:c r="M85" s="41" t="n">
        <x:v>5425.0517</x:v>
      </x:c>
      <x:c r="N85" s="41" t="n">
        <x:v>506.0574</x:v>
      </x:c>
      <x:c r="O85" s="41" t="n">
        <x:v>3837</x:v>
      </x:c>
      <x:c r="P85" s="41" t="str">
        <x:v>1999-01-04</x:v>
      </x:c>
      <x:c r="Q85" s="41" t="str">
        <x:v>2026-05-22</x:v>
      </x:c>
    </x:row>
    <x:row r="86">
      <x:c r="A86" s="41" t="n">
        <x:v>85</x:v>
      </x:c>
      <x:c r="B86" s="41" t="str">
        <x:v>HYP_REFINE_AUTO002_TOPN_6_V1_DDGRID_LONG_R13_C22_E75_CR40_REDD_RECOVERED_DD7_SL18</x:v>
      </x:c>
      <x:c r="C86" s="41" t="str">
        <x:v>dd_guard_grid</x:v>
      </x:c>
      <x:c r="D86" s="41" t="n">
        <x:v>0.428224</x:v>
      </x:c>
      <x:c r="E86" s="41" t="n">
        <x:v>0.120454</x:v>
      </x:c>
      <x:c r="F86" s="41" t="n">
        <x:v>0.30777</x:v>
      </x:c>
      <x:c r="G86" s="41" t="n">
        <x:v>13.6266</x:v>
      </x:c>
      <x:c r="H86" s="41" t="n">
        <x:v>6.8025</x:v>
      </x:c>
      <x:c r="I86" s="41" t="n">
        <x:v>6.8241</x:v>
      </x:c>
      <x:c r="J86" s="41" t="n">
        <x:v>-31.8211</x:v>
      </x:c>
      <x:c r="K86" s="41" t="n">
        <x:v>-56.4737</x:v>
      </x:c>
      <x:c r="L86" s="41" t="n">
        <x:v>24.6526</x:v>
      </x:c>
      <x:c r="M86" s="41" t="n">
        <x:v>3203.3685</x:v>
      </x:c>
      <x:c r="N86" s="41" t="n">
        <x:v>506.0574</x:v>
      </x:c>
      <x:c r="O86" s="41" t="n">
        <x:v>5655</x:v>
      </x:c>
      <x:c r="P86" s="41" t="str">
        <x:v>1999-01-04</x:v>
      </x:c>
      <x:c r="Q86" s="41" t="str">
        <x:v>2026-05-22</x:v>
      </x:c>
    </x:row>
    <x:row r="87">
      <x:c r="A87" s="41" t="n">
        <x:v>86</x:v>
      </x:c>
      <x:c r="B87" s="41" t="str">
        <x:v>HYP_REFINE_AUTO002_TOPN_6_V1_DDGRID_LONG_R12_C22_E75_CR42_REDD_RECOVERED_DD6_SL20</x:v>
      </x:c>
      <x:c r="C87" s="41" t="str">
        <x:v>dd_guard_grid</x:v>
      </x:c>
      <x:c r="D87" s="41" t="n">
        <x:v>0.426224</x:v>
      </x:c>
      <x:c r="E87" s="41" t="n">
        <x:v>0.120454</x:v>
      </x:c>
      <x:c r="F87" s="41" t="n">
        <x:v>0.30577</x:v>
      </x:c>
      <x:c r="G87" s="41" t="n">
        <x:v>14.1887</x:v>
      </x:c>
      <x:c r="H87" s="41" t="n">
        <x:v>6.8025</x:v>
      </x:c>
      <x:c r="I87" s="41" t="n">
        <x:v>7.3862</x:v>
      </x:c>
      <x:c r="J87" s="41" t="n">
        <x:v>-33.2893</x:v>
      </x:c>
      <x:c r="K87" s="41" t="n">
        <x:v>-56.4737</x:v>
      </x:c>
      <x:c r="L87" s="41" t="n">
        <x:v>23.1844</x:v>
      </x:c>
      <x:c r="M87" s="41" t="n">
        <x:v>3681.2255</x:v>
      </x:c>
      <x:c r="N87" s="41" t="n">
        <x:v>506.0574</x:v>
      </x:c>
      <x:c r="O87" s="41" t="n">
        <x:v>5997</x:v>
      </x:c>
      <x:c r="P87" s="41" t="str">
        <x:v>1999-01-04</x:v>
      </x:c>
      <x:c r="Q87" s="41" t="str">
        <x:v>2026-05-22</x:v>
      </x:c>
    </x:row>
    <x:row r="88">
      <x:c r="A88" s="41" t="n">
        <x:v>87</x:v>
      </x:c>
      <x:c r="B88" s="41" t="str">
        <x:v>HYP_REFINE_AUTO002_TOPN_6_V1_DDGRID_CHEAP_R12_C22_E75_CR40_REDD_RECOVERED_DD7_SL18</x:v>
      </x:c>
      <x:c r="C88" s="41" t="str">
        <x:v>dd_guard_grid</x:v>
      </x:c>
      <x:c r="D88" s="41" t="n">
        <x:v>0.426134</x:v>
      </x:c>
      <x:c r="E88" s="41" t="n">
        <x:v>0.120454</x:v>
      </x:c>
      <x:c r="F88" s="41" t="n">
        <x:v>0.30568</x:v>
      </x:c>
      <x:c r="G88" s="41" t="n">
        <x:v>13.5222</x:v>
      </x:c>
      <x:c r="H88" s="41" t="n">
        <x:v>6.8025</x:v>
      </x:c>
      <x:c r="I88" s="41" t="n">
        <x:v>6.7197</x:v>
      </x:c>
      <x:c r="J88" s="41" t="n">
        <x:v>-31.7323</x:v>
      </x:c>
      <x:c r="K88" s="41" t="n">
        <x:v>-56.4737</x:v>
      </x:c>
      <x:c r="L88" s="41" t="n">
        <x:v>24.7414</x:v>
      </x:c>
      <x:c r="M88" s="41" t="n">
        <x:v>3121.3009</x:v>
      </x:c>
      <x:c r="N88" s="41" t="n">
        <x:v>506.0574</x:v>
      </x:c>
      <x:c r="O88" s="41" t="n">
        <x:v>5847</x:v>
      </x:c>
      <x:c r="P88" s="41" t="str">
        <x:v>1999-01-04</x:v>
      </x:c>
      <x:c r="Q88" s="41" t="str">
        <x:v>2026-05-22</x:v>
      </x:c>
    </x:row>
    <x:row r="89">
      <x:c r="A89" s="41" t="n">
        <x:v>88</x:v>
      </x:c>
      <x:c r="B89" s="41" t="str">
        <x:v>HYP_REFINE_AUTO002_TOPN_6_V1_DDGRID_LONG_R12_C22_E75_CR40_REDD_RECOVERED_DD7_SL18</x:v>
      </x:c>
      <x:c r="C89" s="41" t="str">
        <x:v>dd_guard_grid</x:v>
      </x:c>
      <x:c r="D89" s="41" t="n">
        <x:v>0.426134</x:v>
      </x:c>
      <x:c r="E89" s="41" t="n">
        <x:v>0.120454</x:v>
      </x:c>
      <x:c r="F89" s="41" t="n">
        <x:v>0.30568</x:v>
      </x:c>
      <x:c r="G89" s="41" t="n">
        <x:v>13.5222</x:v>
      </x:c>
      <x:c r="H89" s="41" t="n">
        <x:v>6.8025</x:v>
      </x:c>
      <x:c r="I89" s="41" t="n">
        <x:v>6.7197</x:v>
      </x:c>
      <x:c r="J89" s="41" t="n">
        <x:v>-31.7323</x:v>
      </x:c>
      <x:c r="K89" s="41" t="n">
        <x:v>-56.4737</x:v>
      </x:c>
      <x:c r="L89" s="41" t="n">
        <x:v>24.7414</x:v>
      </x:c>
      <x:c r="M89" s="41" t="n">
        <x:v>3121.3009</x:v>
      </x:c>
      <x:c r="N89" s="41" t="n">
        <x:v>506.0574</x:v>
      </x:c>
      <x:c r="O89" s="41" t="n">
        <x:v>5847</x:v>
      </x:c>
      <x:c r="P89" s="41" t="str">
        <x:v>1999-01-04</x:v>
      </x:c>
      <x:c r="Q89" s="41" t="str">
        <x:v>2026-05-22</x:v>
      </x:c>
    </x:row>
    <x:row r="90">
      <x:c r="A90" s="41" t="n">
        <x:v>89</x:v>
      </x:c>
      <x:c r="B90" s="41" t="str">
        <x:v>HYP_REFINE_AUTO002_TOPN_6_V1_DDGRID_CHEAP_R11_C22_E75_CR40_REDD_RECOVERED_DD7_SL20</x:v>
      </x:c>
      <x:c r="C90" s="41" t="str">
        <x:v>dd_guard_grid</x:v>
      </x:c>
      <x:c r="D90" s="41" t="n">
        <x:v>0.425369</x:v>
      </x:c>
      <x:c r="E90" s="41" t="n">
        <x:v>0.120454</x:v>
      </x:c>
      <x:c r="F90" s="41" t="n">
        <x:v>0.304915</x:v>
      </x:c>
      <x:c r="G90" s="41" t="n">
        <x:v>13.8845</x:v>
      </x:c>
      <x:c r="H90" s="41" t="n">
        <x:v>6.8025</x:v>
      </x:c>
      <x:c r="I90" s="41" t="n">
        <x:v>7.0821</x:v>
      </x:c>
      <x:c r="J90" s="41" t="n">
        <x:v>-32.6412</x:v>
      </x:c>
      <x:c r="K90" s="41" t="n">
        <x:v>-56.4737</x:v>
      </x:c>
      <x:c r="L90" s="41" t="n">
        <x:v>23.8325</x:v>
      </x:c>
      <x:c r="M90" s="41" t="n">
        <x:v>3414.9717</x:v>
      </x:c>
      <x:c r="N90" s="41" t="n">
        <x:v>506.0574</x:v>
      </x:c>
      <x:c r="O90" s="41" t="n">
        <x:v>5803</x:v>
      </x:c>
      <x:c r="P90" s="41" t="str">
        <x:v>1999-01-04</x:v>
      </x:c>
      <x:c r="Q90" s="41" t="str">
        <x:v>2026-05-22</x:v>
      </x:c>
    </x:row>
    <x:row r="91">
      <x:c r="A91" s="41" t="n">
        <x:v>90</x:v>
      </x:c>
      <x:c r="B91" s="41" t="str">
        <x:v>HYP_REFINE_AUTO002_TOPN_6_V1_DDGRID_LONG_R11_C22_E75_CR40_REDD_RECOVERED_DD7_SL20</x:v>
      </x:c>
      <x:c r="C91" s="41" t="str">
        <x:v>dd_guard_grid</x:v>
      </x:c>
      <x:c r="D91" s="41" t="n">
        <x:v>0.425369</x:v>
      </x:c>
      <x:c r="E91" s="41" t="n">
        <x:v>0.120454</x:v>
      </x:c>
      <x:c r="F91" s="41" t="n">
        <x:v>0.304915</x:v>
      </x:c>
      <x:c r="G91" s="41" t="n">
        <x:v>13.8845</x:v>
      </x:c>
      <x:c r="H91" s="41" t="n">
        <x:v>6.8025</x:v>
      </x:c>
      <x:c r="I91" s="41" t="n">
        <x:v>7.0821</x:v>
      </x:c>
      <x:c r="J91" s="41" t="n">
        <x:v>-32.6412</x:v>
      </x:c>
      <x:c r="K91" s="41" t="n">
        <x:v>-56.4737</x:v>
      </x:c>
      <x:c r="L91" s="41" t="n">
        <x:v>23.8325</x:v>
      </x:c>
      <x:c r="M91" s="41" t="n">
        <x:v>3414.9717</x:v>
      </x:c>
      <x:c r="N91" s="41" t="n">
        <x:v>506.0574</x:v>
      </x:c>
      <x:c r="O91" s="41" t="n">
        <x:v>5803</x:v>
      </x:c>
      <x:c r="P91" s="41" t="str">
        <x:v>1999-01-04</x:v>
      </x:c>
      <x:c r="Q91" s="41" t="str">
        <x:v>2026-05-22</x:v>
      </x:c>
    </x:row>
    <x:row r="92">
      <x:c r="A92" s="41" t="n">
        <x:v>91</x:v>
      </x:c>
      <x:c r="B92" s="41" t="str">
        <x:v>HYP_REFINE_AUTO002_TOPN_6_V1_DDGRID_EXT_R10_C25_E66_CR50_REDD_RECOVERED_DD8_SL20</x:v>
      </x:c>
      <x:c r="C92" s="41" t="str">
        <x:v>dd_guard_grid</x:v>
      </x:c>
      <x:c r="D92" s="41" t="n">
        <x:v>0.425072</x:v>
      </x:c>
      <x:c r="E92" s="41" t="n">
        <x:v>0.120454</x:v>
      </x:c>
      <x:c r="F92" s="41" t="n">
        <x:v>0.304618</x:v>
      </x:c>
      <x:c r="G92" s="41" t="n">
        <x:v>14.194</x:v>
      </x:c>
      <x:c r="H92" s="41" t="n">
        <x:v>6.8025</x:v>
      </x:c>
      <x:c r="I92" s="41" t="n">
        <x:v>7.3916</x:v>
      </x:c>
      <x:c r="J92" s="41" t="n">
        <x:v>-33.392</x:v>
      </x:c>
      <x:c r="K92" s="41" t="n">
        <x:v>-56.4737</x:v>
      </x:c>
      <x:c r="L92" s="41" t="n">
        <x:v>23.0816</x:v>
      </x:c>
      <x:c r="M92" s="41" t="n">
        <x:v>3686.0807</x:v>
      </x:c>
      <x:c r="N92" s="41" t="n">
        <x:v>506.0574</x:v>
      </x:c>
      <x:c r="O92" s="41" t="n">
        <x:v>5442</x:v>
      </x:c>
      <x:c r="P92" s="41" t="str">
        <x:v>1999-01-04</x:v>
      </x:c>
      <x:c r="Q92" s="41" t="str">
        <x:v>2026-05-22</x:v>
      </x:c>
    </x:row>
    <x:row r="93">
      <x:c r="A93" s="41" t="n">
        <x:v>92</x:v>
      </x:c>
      <x:c r="B93" s="41" t="str">
        <x:v>HYP_REFINE_AUTO002_TOPN_6_V1_DDGRID_LONGRUN_STRICT_STRICT_NEXT_CLOSE_R12_C22_E78_CR40_REDD_DD8_SL20</x:v>
      </x:c>
      <x:c r="C93" s="41" t="str">
        <x:v>strict_longrun_ddgrid</x:v>
      </x:c>
      <x:c r="D93" s="41" t="n">
        <x:v>0.424591</x:v>
      </x:c>
      <x:c r="E93" s="41" t="n">
        <x:v>0.120454</x:v>
      </x:c>
      <x:c r="F93" s="41" t="n">
        <x:v>0.304137</x:v>
      </x:c>
      <x:c r="G93" s="41" t="n">
        <x:v>14.0678</x:v>
      </x:c>
      <x:c r="H93" s="41" t="n">
        <x:v>6.8025</x:v>
      </x:c>
      <x:c r="I93" s="41" t="n">
        <x:v>7.2653</x:v>
      </x:c>
      <x:c r="J93" s="41" t="n">
        <x:v>-33.1326</x:v>
      </x:c>
      <x:c r="K93" s="41" t="n">
        <x:v>-56.4737</x:v>
      </x:c>
      <x:c r="L93" s="41" t="n">
        <x:v>23.341</x:v>
      </x:c>
      <x:c r="M93" s="41" t="n">
        <x:v>3573.1641</x:v>
      </x:c>
      <x:c r="N93" s="41" t="n">
        <x:v>506.0574</x:v>
      </x:c>
      <x:c r="O93" s="41" t="n">
        <x:v>5532</x:v>
      </x:c>
      <x:c r="P93" s="41" t="str">
        <x:v>1999-01-04</x:v>
      </x:c>
      <x:c r="Q93" s="41" t="str">
        <x:v>2026-05-22</x:v>
      </x:c>
    </x:row>
    <x:row r="94">
      <x:c r="A94" s="41" t="n">
        <x:v>93</x:v>
      </x:c>
      <x:c r="B94" s="41" t="str">
        <x:v>HYP_REFINE_AUTO002_TOPN_6_V1_DDGRID_LONG_R10_C22_E75_CR40_REDD_RECOVERED_DD10_SL20</x:v>
      </x:c>
      <x:c r="C94" s="41" t="str">
        <x:v>dd_guard_grid</x:v>
      </x:c>
      <x:c r="D94" s="41" t="n">
        <x:v>0.424371</x:v>
      </x:c>
      <x:c r="E94" s="41" t="n">
        <x:v>0.120454</x:v>
      </x:c>
      <x:c r="F94" s="41" t="n">
        <x:v>0.303917</x:v>
      </x:c>
      <x:c r="G94" s="41" t="n">
        <x:v>13.852</x:v>
      </x:c>
      <x:c r="H94" s="41" t="n">
        <x:v>6.8025</x:v>
      </x:c>
      <x:c r="I94" s="41" t="n">
        <x:v>7.0495</x:v>
      </x:c>
      <x:c r="J94" s="41" t="n">
        <x:v>-32.6412</x:v>
      </x:c>
      <x:c r="K94" s="41" t="n">
        <x:v>-56.4737</x:v>
      </x:c>
      <x:c r="L94" s="41" t="n">
        <x:v>23.8325</x:v>
      </x:c>
      <x:c r="M94" s="41" t="n">
        <x:v>3387.548</x:v>
      </x:c>
      <x:c r="N94" s="41" t="n">
        <x:v>506.0574</x:v>
      </x:c>
      <x:c r="O94" s="41" t="n">
        <x:v>5315</x:v>
      </x:c>
      <x:c r="P94" s="41" t="str">
        <x:v>1999-01-04</x:v>
      </x:c>
      <x:c r="Q94" s="41" t="str">
        <x:v>2026-05-22</x:v>
      </x:c>
    </x:row>
    <x:row r="95">
      <x:c r="A95" s="41" t="n">
        <x:v>94</x:v>
      </x:c>
      <x:c r="B95" s="41" t="str">
        <x:v>HYP_DD_FIRST_AUTO002_EXPOSURE60_LOWVOL_ATR_14W_PCT_W5_V1</x:v>
      </x:c>
      <x:c r="C95" s="41" t="str">
        <x:v>dd_first_drawdown_control</x:v>
      </x:c>
      <x:c r="D95" s="41" t="n">
        <x:v>0.42424</x:v>
      </x:c>
      <x:c r="E95" s="41" t="n">
        <x:v>0.120454</x:v>
      </x:c>
      <x:c r="F95" s="41" t="n">
        <x:v>0.303786</x:v>
      </x:c>
      <x:c r="G95" s="41" t="n">
        <x:v>15.5919</x:v>
      </x:c>
      <x:c r="H95" s="41" t="n">
        <x:v>6.8025</x:v>
      </x:c>
      <x:c r="I95" s="41" t="n">
        <x:v>8.7894</x:v>
      </x:c>
      <x:c r="J95" s="41" t="n">
        <x:v>-36.7526</x:v>
      </x:c>
      <x:c r="K95" s="41" t="n">
        <x:v>-56.4737</x:v>
      </x:c>
      <x:c r="L95" s="41" t="n">
        <x:v>19.7211</x:v>
      </x:c>
      <x:c r="M95" s="41" t="n">
        <x:v>5182.754</x:v>
      </x:c>
      <x:c r="N95" s="41" t="n">
        <x:v>506.0574</x:v>
      </x:c>
      <x:c r="O95" s="41" t="n">
        <x:v>3837</x:v>
      </x:c>
      <x:c r="P95" s="41" t="str">
        <x:v>1999-01-04</x:v>
      </x:c>
      <x:c r="Q95" s="41" t="str">
        <x:v>2026-05-22</x:v>
      </x:c>
    </x:row>
    <x:row r="96">
      <x:c r="A96" s="41" t="n">
        <x:v>95</x:v>
      </x:c>
      <x:c r="B96" s="41" t="str">
        <x:v>HYP_DD_FIRST_AUTO002_DYN_EXPOSURE_75_60_55_35_V1</x:v>
      </x:c>
      <x:c r="C96" s="41" t="str">
        <x:v>dd_first_drawdown_control</x:v>
      </x:c>
      <x:c r="D96" s="41" t="n">
        <x:v>0.423393</x:v>
      </x:c>
      <x:c r="E96" s="41" t="n">
        <x:v>0.120454</x:v>
      </x:c>
      <x:c r="F96" s="41" t="n">
        <x:v>0.302939</x:v>
      </x:c>
      <x:c r="G96" s="41" t="n">
        <x:v>14.4845</x:v>
      </x:c>
      <x:c r="H96" s="41" t="n">
        <x:v>6.8025</x:v>
      </x:c>
      <x:c r="I96" s="41" t="n">
        <x:v>7.6821</x:v>
      </x:c>
      <x:c r="J96" s="41" t="n">
        <x:v>-34.2107</x:v>
      </x:c>
      <x:c r="K96" s="41" t="n">
        <x:v>-56.4737</x:v>
      </x:c>
      <x:c r="L96" s="41" t="n">
        <x:v>22.263</x:v>
      </x:c>
      <x:c r="M96" s="41" t="n">
        <x:v>3958.8357</x:v>
      </x:c>
      <x:c r="N96" s="41" t="n">
        <x:v>506.0574</x:v>
      </x:c>
      <x:c r="O96" s="41" t="n">
        <x:v>3842</x:v>
      </x:c>
      <x:c r="P96" s="41" t="str">
        <x:v>1999-01-04</x:v>
      </x:c>
      <x:c r="Q96" s="41" t="str">
        <x:v>2026-05-22</x:v>
      </x:c>
    </x:row>
    <x:row r="97">
      <x:c r="A97" s="41" t="n">
        <x:v>96</x:v>
      </x:c>
      <x:c r="B97" s="41" t="str">
        <x:v>HYP_DD_FIRST_AUTO002_EXPOSURE_55_V1</x:v>
      </x:c>
      <x:c r="C97" s="41" t="str">
        <x:v>dd_first_drawdown_control</x:v>
      </x:c>
      <x:c r="D97" s="41" t="n">
        <x:v>0.423393</x:v>
      </x:c>
      <x:c r="E97" s="41" t="n">
        <x:v>0.120454</x:v>
      </x:c>
      <x:c r="F97" s="41" t="n">
        <x:v>0.302939</x:v>
      </x:c>
      <x:c r="G97" s="41" t="n">
        <x:v>14.4845</x:v>
      </x:c>
      <x:c r="H97" s="41" t="n">
        <x:v>6.8025</x:v>
      </x:c>
      <x:c r="I97" s="41" t="n">
        <x:v>7.6821</x:v>
      </x:c>
      <x:c r="J97" s="41" t="n">
        <x:v>-34.2107</x:v>
      </x:c>
      <x:c r="K97" s="41" t="n">
        <x:v>-56.4737</x:v>
      </x:c>
      <x:c r="L97" s="41" t="n">
        <x:v>22.263</x:v>
      </x:c>
      <x:c r="M97" s="41" t="n">
        <x:v>3958.8357</x:v>
      </x:c>
      <x:c r="N97" s="41" t="n">
        <x:v>506.0574</x:v>
      </x:c>
      <x:c r="O97" s="41" t="n">
        <x:v>3842</x:v>
      </x:c>
      <x:c r="P97" s="41" t="str">
        <x:v>1999-01-04</x:v>
      </x:c>
      <x:c r="Q97" s="41" t="str">
        <x:v>2026-05-22</x:v>
      </x:c>
    </x:row>
    <x:row r="98">
      <x:c r="A98" s="41" t="n">
        <x:v>97</x:v>
      </x:c>
      <x:c r="B98" s="41" t="str">
        <x:v>HYP_REFINE_AUTO002_TOPN_6_V1_DDGRID_LONG_R13_C22_E75_CR42_REDD_RECOVERED_DD7_SL18</x:v>
      </x:c>
      <x:c r="C98" s="41" t="str">
        <x:v>dd_guard_grid</x:v>
      </x:c>
      <x:c r="D98" s="41" t="n">
        <x:v>0.42264</x:v>
      </x:c>
      <x:c r="E98" s="41" t="n">
        <x:v>0.120454</x:v>
      </x:c>
      <x:c r="F98" s="41" t="n">
        <x:v>0.302187</x:v>
      </x:c>
      <x:c r="G98" s="41" t="n">
        <x:v>13.6504</x:v>
      </x:c>
      <x:c r="H98" s="41" t="n">
        <x:v>6.8025</x:v>
      </x:c>
      <x:c r="I98" s="41" t="n">
        <x:v>6.8479</x:v>
      </x:c>
      <x:c r="J98" s="41" t="n">
        <x:v>-32.2978</x:v>
      </x:c>
      <x:c r="K98" s="41" t="n">
        <x:v>-56.4737</x:v>
      </x:c>
      <x:c r="L98" s="41" t="n">
        <x:v>24.1759</x:v>
      </x:c>
      <x:c r="M98" s="41" t="n">
        <x:v>3222.3487</x:v>
      </x:c>
      <x:c r="N98" s="41" t="n">
        <x:v>506.0574</x:v>
      </x:c>
      <x:c r="O98" s="41" t="n">
        <x:v>5726</x:v>
      </x:c>
      <x:c r="P98" s="41" t="str">
        <x:v>1999-01-04</x:v>
      </x:c>
      <x:c r="Q98" s="41" t="str">
        <x:v>2026-05-22</x:v>
      </x:c>
    </x:row>
    <x:row r="99">
      <x:c r="A99" s="41" t="n">
        <x:v>98</x:v>
      </x:c>
      <x:c r="B99" s="41" t="str">
        <x:v>HYP_REFINE_AUTO002_TOPN_6_V1_DDGRID_LONG_R10_C22_E75_CR40_REDD_RECOVERED_DD9_SL20</x:v>
      </x:c>
      <x:c r="C99" s="41" t="str">
        <x:v>dd_guard_grid</x:v>
      </x:c>
      <x:c r="D99" s="41" t="n">
        <x:v>0.42248</x:v>
      </x:c>
      <x:c r="E99" s="41" t="n">
        <x:v>0.120454</x:v>
      </x:c>
      <x:c r="F99" s="41" t="n">
        <x:v>0.302026</x:v>
      </x:c>
      <x:c r="G99" s="41" t="n">
        <x:v>13.7902</x:v>
      </x:c>
      <x:c r="H99" s="41" t="n">
        <x:v>6.8025</x:v>
      </x:c>
      <x:c r="I99" s="41" t="n">
        <x:v>6.9878</x:v>
      </x:c>
      <x:c r="J99" s="41" t="n">
        <x:v>-32.6412</x:v>
      </x:c>
      <x:c r="K99" s="41" t="n">
        <x:v>-56.4737</x:v>
      </x:c>
      <x:c r="L99" s="41" t="n">
        <x:v>23.8325</x:v>
      </x:c>
      <x:c r="M99" s="41" t="n">
        <x:v>3336.1436</x:v>
      </x:c>
      <x:c r="N99" s="41" t="n">
        <x:v>506.0574</x:v>
      </x:c>
      <x:c r="O99" s="41" t="n">
        <x:v>5492</x:v>
      </x:c>
      <x:c r="P99" s="41" t="str">
        <x:v>1999-01-04</x:v>
      </x:c>
      <x:c r="Q99" s="41" t="str">
        <x:v>2026-05-22</x:v>
      </x:c>
    </x:row>
    <x:row r="100">
      <x:c r="A100" s="41" t="n">
        <x:v>99</x:v>
      </x:c>
      <x:c r="B100" s="41" t="str">
        <x:v>HYP_REFINE_AUTO002_TOPN_6_V1_DDGRID_LONGRUN_STRICT_STRICT_NEXT_CLOSE_R11_C22_E75_CR40_REDD_DD8_SL20</x:v>
      </x:c>
      <x:c r="C100" s="41" t="str">
        <x:v>strict_longrun_ddgrid</x:v>
      </x:c>
      <x:c r="D100" s="41" t="n">
        <x:v>0.421265</x:v>
      </x:c>
      <x:c r="E100" s="41" t="n">
        <x:v>0.120454</x:v>
      </x:c>
      <x:c r="F100" s="41" t="n">
        <x:v>0.300811</x:v>
      </x:c>
      <x:c r="G100" s="41" t="n">
        <x:v>13.5837</x:v>
      </x:c>
      <x:c r="H100" s="41" t="n">
        <x:v>6.8025</x:v>
      </x:c>
      <x:c r="I100" s="41" t="n">
        <x:v>6.7812</x:v>
      </x:c>
      <x:c r="J100" s="41" t="n">
        <x:v>-32.2451</x:v>
      </x:c>
      <x:c r="K100" s="41" t="n">
        <x:v>-56.4737</x:v>
      </x:c>
      <x:c r="L100" s="41" t="n">
        <x:v>24.2286</x:v>
      </x:c>
      <x:c r="M100" s="41" t="n">
        <x:v>3169.4326</x:v>
      </x:c>
      <x:c r="N100" s="41" t="n">
        <x:v>506.0574</x:v>
      </x:c>
      <x:c r="O100" s="41" t="n">
        <x:v>6006</x:v>
      </x:c>
      <x:c r="P100" s="41" t="str">
        <x:v>1999-01-04</x:v>
      </x:c>
      <x:c r="Q100" s="41" t="str">
        <x:v>2026-05-22</x:v>
      </x:c>
    </x:row>
    <x:row r="101">
      <x:c r="A101" s="41" t="n">
        <x:v>100</x:v>
      </x:c>
      <x:c r="B101" s="41" t="str">
        <x:v>HYP_REFINE_AUTO002_TOPN_6_V1_DDGRID_LONG_R12_C22_E75_CR42_REDD_RECOVERED_DD8_SL20</x:v>
      </x:c>
      <x:c r="C101" s="41" t="str">
        <x:v>dd_guard_grid</x:v>
      </x:c>
      <x:c r="D101" s="41" t="n">
        <x:v>0.421073</x:v>
      </x:c>
      <x:c r="E101" s="41" t="n">
        <x:v>0.120454</x:v>
      </x:c>
      <x:c r="F101" s="41" t="n">
        <x:v>0.300619</x:v>
      </x:c>
      <x:c r="G101" s="41" t="n">
        <x:v>14.0172</x:v>
      </x:c>
      <x:c r="H101" s="41" t="n">
        <x:v>6.8025</x:v>
      </x:c>
      <x:c r="I101" s="41" t="n">
        <x:v>7.2147</x:v>
      </x:c>
      <x:c r="J101" s="41" t="n">
        <x:v>-33.2893</x:v>
      </x:c>
      <x:c r="K101" s="41" t="n">
        <x:v>-56.4737</x:v>
      </x:c>
      <x:c r="L101" s="41" t="n">
        <x:v>23.1844</x:v>
      </x:c>
      <x:c r="M101" s="41" t="n">
        <x:v>3528.8038</x:v>
      </x:c>
      <x:c r="N101" s="41" t="n">
        <x:v>506.0574</x:v>
      </x:c>
      <x:c r="O101" s="41" t="n">
        <x:v>5676</x:v>
      </x:c>
      <x:c r="P101" s="41" t="str">
        <x:v>1999-01-04</x:v>
      </x:c>
      <x:c r="Q101" s="41" t="str">
        <x:v>2026-05-22</x:v>
      </x:c>
    </x:row>
    <x:row r="102">
      <x:c r="A102" s="41" t="n">
        <x:v>101</x:v>
      </x:c>
      <x:c r="B102" s="41" t="str">
        <x:v>HYP_REFINE_AUTO002_TOPN_6_V1_DDGRID_LONG_R12_C22_E75_CR45_REDD_RECOVERED_DD7_SL18</x:v>
      </x:c>
      <x:c r="C102" s="41" t="str">
        <x:v>dd_guard_grid</x:v>
      </x:c>
      <x:c r="D102" s="41" t="n">
        <x:v>0.420642</x:v>
      </x:c>
      <x:c r="E102" s="41" t="n">
        <x:v>0.120454</x:v>
      </x:c>
      <x:c r="F102" s="41" t="n">
        <x:v>0.300188</x:v>
      </x:c>
      <x:c r="G102" s="41" t="n">
        <x:v>13.8308</x:v>
      </x:c>
      <x:c r="H102" s="41" t="n">
        <x:v>6.8025</x:v>
      </x:c>
      <x:c r="I102" s="41" t="n">
        <x:v>7.0283</x:v>
      </x:c>
      <x:c r="J102" s="41" t="n">
        <x:v>-32.8802</x:v>
      </x:c>
      <x:c r="K102" s="41" t="n">
        <x:v>-56.4737</x:v>
      </x:c>
      <x:c r="L102" s="41" t="n">
        <x:v>23.5934</x:v>
      </x:c>
      <x:c r="M102" s="41" t="n">
        <x:v>3369.8481</x:v>
      </x:c>
      <x:c r="N102" s="41" t="n">
        <x:v>506.0574</x:v>
      </x:c>
      <x:c r="O102" s="41" t="n">
        <x:v>5502</x:v>
      </x:c>
      <x:c r="P102" s="41" t="str">
        <x:v>1999-01-04</x:v>
      </x:c>
      <x:c r="Q102" s="41" t="str">
        <x:v>2026-05-22</x:v>
      </x:c>
    </x:row>
    <x:row r="103">
      <x:c r="A103" s="41" t="n">
        <x:v>102</x:v>
      </x:c>
      <x:c r="B103" s="41" t="str">
        <x:v>HYP_REFINE_AUTO002_TOPN_6_V1_DDGRID_LONGRUN_STRICT_STRICT_NEXT_CLOSE_R11_C22_E75_CR40_REDD_DD8_SL18</x:v>
      </x:c>
      <x:c r="C103" s="41" t="str">
        <x:v>strict_longrun_ddgrid</x:v>
      </x:c>
      <x:c r="D103" s="41" t="n">
        <x:v>0.420374</x:v>
      </x:c>
      <x:c r="E103" s="41" t="n">
        <x:v>0.120454</x:v>
      </x:c>
      <x:c r="F103" s="41" t="n">
        <x:v>0.29992</x:v>
      </x:c>
      <x:c r="G103" s="41" t="n">
        <x:v>13.4105</x:v>
      </x:c>
      <x:c r="H103" s="41" t="n">
        <x:v>6.8025</x:v>
      </x:c>
      <x:c r="I103" s="41" t="n">
        <x:v>6.6081</x:v>
      </x:c>
      <x:c r="J103" s="41" t="n">
        <x:v>-31.9015</x:v>
      </x:c>
      <x:c r="K103" s="41" t="n">
        <x:v>-56.4737</x:v>
      </x:c>
      <x:c r="L103" s="41" t="n">
        <x:v>24.5722</x:v>
      </x:c>
      <x:c r="M103" s="41" t="n">
        <x:v>3035.6675</x:v>
      </x:c>
      <x:c r="N103" s="41" t="n">
        <x:v>506.0574</x:v>
      </x:c>
      <x:c r="O103" s="41" t="n">
        <x:v>5816</x:v>
      </x:c>
      <x:c r="P103" s="41" t="str">
        <x:v>1999-01-04</x:v>
      </x:c>
      <x:c r="Q103" s="41" t="str">
        <x:v>2026-05-22</x:v>
      </x:c>
    </x:row>
    <x:row r="104">
      <x:c r="A104" s="41" t="n">
        <x:v>103</x:v>
      </x:c>
      <x:c r="B104" s="41" t="str">
        <x:v>HYP_REFINE_AUTO002_TOPN_6_V1_DDGRID_CHEAP_R12_C22_E75_CR45_REDD_RECOVERED_DD8_SL20</x:v>
      </x:c>
      <x:c r="C104" s="41" t="str">
        <x:v>dd_guard_grid</x:v>
      </x:c>
      <x:c r="D104" s="41" t="n">
        <x:v>0.420362</x:v>
      </x:c>
      <x:c r="E104" s="41" t="n">
        <x:v>0.120454</x:v>
      </x:c>
      <x:c r="F104" s="41" t="n">
        <x:v>0.299908</x:v>
      </x:c>
      <x:c r="G104" s="41" t="n">
        <x:v>14.1893</x:v>
      </x:c>
      <x:c r="H104" s="41" t="n">
        <x:v>6.8025</x:v>
      </x:c>
      <x:c r="I104" s="41" t="n">
        <x:v>7.3868</x:v>
      </x:c>
      <x:c r="J104" s="41" t="n">
        <x:v>-33.7549</x:v>
      </x:c>
      <x:c r="K104" s="41" t="n">
        <x:v>-56.4737</x:v>
      </x:c>
      <x:c r="L104" s="41" t="n">
        <x:v>22.7188</x:v>
      </x:c>
      <x:c r="M104" s="41" t="n">
        <x:v>3681.7641</x:v>
      </x:c>
      <x:c r="N104" s="41" t="n">
        <x:v>506.0574</x:v>
      </x:c>
      <x:c r="O104" s="41" t="n">
        <x:v>5369</x:v>
      </x:c>
      <x:c r="P104" s="41" t="str">
        <x:v>1999-01-04</x:v>
      </x:c>
      <x:c r="Q104" s="41" t="str">
        <x:v>2026-05-22</x:v>
      </x:c>
    </x:row>
    <x:row r="105">
      <x:c r="A105" s="41" t="n">
        <x:v>104</x:v>
      </x:c>
      <x:c r="B105" s="41" t="str">
        <x:v>HYP_REFINE_AUTO002_TOPN_6_V1_DDGRID_LONG_R12_C22_E75_CR45_REDD_RECOVERED_DD8_SL20</x:v>
      </x:c>
      <x:c r="C105" s="41" t="str">
        <x:v>dd_guard_grid</x:v>
      </x:c>
      <x:c r="D105" s="41" t="n">
        <x:v>0.420362</x:v>
      </x:c>
      <x:c r="E105" s="41" t="n">
        <x:v>0.120454</x:v>
      </x:c>
      <x:c r="F105" s="41" t="n">
        <x:v>0.299908</x:v>
      </x:c>
      <x:c r="G105" s="41" t="n">
        <x:v>14.1893</x:v>
      </x:c>
      <x:c r="H105" s="41" t="n">
        <x:v>6.8025</x:v>
      </x:c>
      <x:c r="I105" s="41" t="n">
        <x:v>7.3868</x:v>
      </x:c>
      <x:c r="J105" s="41" t="n">
        <x:v>-33.7549</x:v>
      </x:c>
      <x:c r="K105" s="41" t="n">
        <x:v>-56.4737</x:v>
      </x:c>
      <x:c r="L105" s="41" t="n">
        <x:v>22.7188</x:v>
      </x:c>
      <x:c r="M105" s="41" t="n">
        <x:v>3681.7641</x:v>
      </x:c>
      <x:c r="N105" s="41" t="n">
        <x:v>506.0574</x:v>
      </x:c>
      <x:c r="O105" s="41" t="n">
        <x:v>5369</x:v>
      </x:c>
      <x:c r="P105" s="41" t="str">
        <x:v>1999-01-04</x:v>
      </x:c>
      <x:c r="Q105" s="41" t="str">
        <x:v>2026-05-22</x:v>
      </x:c>
    </x:row>
    <x:row r="106">
      <x:c r="A106" s="41" t="n">
        <x:v>105</x:v>
      </x:c>
      <x:c r="B106" s="41" t="str">
        <x:v>HYP_REFINE_AUTO002_TOPN_6_V1_DDGRID_LONG_R12_C22_E72_CR40_REDD_RECOVERED_DD7_SL20</x:v>
      </x:c>
      <x:c r="C106" s="41" t="str">
        <x:v>dd_guard_grid</x:v>
      </x:c>
      <x:c r="D106" s="41" t="n">
        <x:v>0.418894</x:v>
      </x:c>
      <x:c r="E106" s="41" t="n">
        <x:v>0.120454</x:v>
      </x:c>
      <x:c r="F106" s="41" t="n">
        <x:v>0.29844</x:v>
      </x:c>
      <x:c r="G106" s="41" t="n">
        <x:v>13.5221</x:v>
      </x:c>
      <x:c r="H106" s="41" t="n">
        <x:v>6.8025</x:v>
      </x:c>
      <x:c r="I106" s="41" t="n">
        <x:v>6.7197</x:v>
      </x:c>
      <x:c r="J106" s="41" t="n">
        <x:v>-32.2805</x:v>
      </x:c>
      <x:c r="K106" s="41" t="n">
        <x:v>-56.4737</x:v>
      </x:c>
      <x:c r="L106" s="41" t="n">
        <x:v>24.1931</x:v>
      </x:c>
      <x:c r="M106" s="41" t="n">
        <x:v>3121.2343</x:v>
      </x:c>
      <x:c r="N106" s="41" t="n">
        <x:v>506.0574</x:v>
      </x:c>
      <x:c r="O106" s="41" t="n">
        <x:v>5732</x:v>
      </x:c>
      <x:c r="P106" s="41" t="str">
        <x:v>1999-01-04</x:v>
      </x:c>
      <x:c r="Q106" s="41" t="str">
        <x:v>2026-05-22</x:v>
      </x:c>
    </x:row>
    <x:row r="107">
      <x:c r="A107" s="41" t="n">
        <x:v>106</x:v>
      </x:c>
      <x:c r="B107" s="41" t="str">
        <x:v>HYP_REFINE_AUTO002_TOPN_6_V1_DDGRID_LONG_R12_C22_E75_CR45_REDD_RECOVERED_DD6_SL20</x:v>
      </x:c>
      <x:c r="C107" s="41" t="str">
        <x:v>dd_guard_grid</x:v>
      </x:c>
      <x:c r="D107" s="41" t="n">
        <x:v>0.418423</x:v>
      </x:c>
      <x:c r="E107" s="41" t="n">
        <x:v>0.120454</x:v>
      </x:c>
      <x:c r="F107" s="41" t="n">
        <x:v>0.297969</x:v>
      </x:c>
      <x:c r="G107" s="41" t="n">
        <x:v>14.1238</x:v>
      </x:c>
      <x:c r="H107" s="41" t="n">
        <x:v>6.8025</x:v>
      </x:c>
      <x:c r="I107" s="41" t="n">
        <x:v>7.3213</x:v>
      </x:c>
      <x:c r="J107" s="41" t="n">
        <x:v>-33.7549</x:v>
      </x:c>
      <x:c r="K107" s="41" t="n">
        <x:v>-56.4737</x:v>
      </x:c>
      <x:c r="L107" s="41" t="n">
        <x:v>22.7188</x:v>
      </x:c>
      <x:c r="M107" s="41" t="n">
        <x:v>3622.8494</x:v>
      </x:c>
      <x:c r="N107" s="41" t="n">
        <x:v>506.0574</x:v>
      </x:c>
      <x:c r="O107" s="41" t="n">
        <x:v>5725</x:v>
      </x:c>
      <x:c r="P107" s="41" t="str">
        <x:v>1999-01-04</x:v>
      </x:c>
      <x:c r="Q107" s="41" t="str">
        <x:v>2026-05-22</x:v>
      </x:c>
    </x:row>
    <x:row r="108">
      <x:c r="A108" s="41" t="n">
        <x:v>107</x:v>
      </x:c>
      <x:c r="B108" s="41" t="str">
        <x:v>HYP_REFINE_AUTO002_TOPN_6_V1_DDGRID_LONG_R12_C22_E75_CR42_REDD_RECOVERED_DD7_SL18</x:v>
      </x:c>
      <x:c r="C108" s="41" t="str">
        <x:v>dd_guard_grid</x:v>
      </x:c>
      <x:c r="D108" s="41" t="n">
        <x:v>0.418012</x:v>
      </x:c>
      <x:c r="E108" s="41" t="n">
        <x:v>0.120454</x:v>
      </x:c>
      <x:c r="F108" s="41" t="n">
        <x:v>0.297558</x:v>
      </x:c>
      <x:c r="G108" s="41" t="n">
        <x:v>13.5009</x:v>
      </x:c>
      <x:c r="H108" s="41" t="n">
        <x:v>6.8025</x:v>
      </x:c>
      <x:c r="I108" s="41" t="n">
        <x:v>6.6984</x:v>
      </x:c>
      <x:c r="J108" s="41" t="n">
        <x:v>-32.2978</x:v>
      </x:c>
      <x:c r="K108" s="41" t="n">
        <x:v>-56.4737</x:v>
      </x:c>
      <x:c r="L108" s="41" t="n">
        <x:v>24.1759</x:v>
      </x:c>
      <x:c r="M108" s="41" t="n">
        <x:v>3104.7559</x:v>
      </x:c>
      <x:c r="N108" s="41" t="n">
        <x:v>506.0574</x:v>
      </x:c>
      <x:c r="O108" s="41" t="n">
        <x:v>5818</x:v>
      </x:c>
      <x:c r="P108" s="41" t="str">
        <x:v>1999-01-04</x:v>
      </x:c>
      <x:c r="Q108" s="41" t="str">
        <x:v>2026-05-22</x:v>
      </x:c>
    </x:row>
    <x:row r="109">
      <x:c r="A109" s="41" t="n">
        <x:v>108</x:v>
      </x:c>
      <x:c r="B109" s="41" t="str">
        <x:v>HYP_DD_FIRST_AUTO002_DYN_EXPOSURE_70_60_50_25_V1</x:v>
      </x:c>
      <x:c r="C109" s="41" t="str">
        <x:v>dd_first_drawdown_control</x:v>
      </x:c>
      <x:c r="D109" s="41" t="n">
        <x:v>0.417857</x:v>
      </x:c>
      <x:c r="E109" s="41" t="n">
        <x:v>0.120454</x:v>
      </x:c>
      <x:c r="F109" s="41" t="n">
        <x:v>0.297403</x:v>
      </x:c>
      <x:c r="G109" s="41" t="n">
        <x:v>13.1831</x:v>
      </x:c>
      <x:c r="H109" s="41" t="n">
        <x:v>6.8025</x:v>
      </x:c>
      <x:c r="I109" s="41" t="n">
        <x:v>6.3807</x:v>
      </x:c>
      <x:c r="J109" s="41" t="n">
        <x:v>-31.5494</x:v>
      </x:c>
      <x:c r="K109" s="41" t="n">
        <x:v>-56.4737</x:v>
      </x:c>
      <x:c r="L109" s="41" t="n">
        <x:v>24.9242</x:v>
      </x:c>
      <x:c r="M109" s="41" t="n">
        <x:v>2868.0022</x:v>
      </x:c>
      <x:c r="N109" s="41" t="n">
        <x:v>506.0574</x:v>
      </x:c>
      <x:c r="O109" s="41" t="n">
        <x:v>3847</x:v>
      </x:c>
      <x:c r="P109" s="41" t="str">
        <x:v>1999-01-04</x:v>
      </x:c>
      <x:c r="Q109" s="41" t="str">
        <x:v>2026-05-22</x:v>
      </x:c>
    </x:row>
    <x:row r="110">
      <x:c r="A110" s="41" t="n">
        <x:v>109</x:v>
      </x:c>
      <x:c r="B110" s="41" t="str">
        <x:v>HYP_DD_FIRST_AUTO002_DYN_EXPOSURE_75_60_50_25_V1</x:v>
      </x:c>
      <x:c r="C110" s="41" t="str">
        <x:v>dd_first_drawdown_control</x:v>
      </x:c>
      <x:c r="D110" s="41" t="n">
        <x:v>0.417857</x:v>
      </x:c>
      <x:c r="E110" s="41" t="n">
        <x:v>0.120454</x:v>
      </x:c>
      <x:c r="F110" s="41" t="n">
        <x:v>0.297403</x:v>
      </x:c>
      <x:c r="G110" s="41" t="n">
        <x:v>13.1831</x:v>
      </x:c>
      <x:c r="H110" s="41" t="n">
        <x:v>6.8025</x:v>
      </x:c>
      <x:c r="I110" s="41" t="n">
        <x:v>6.3807</x:v>
      </x:c>
      <x:c r="J110" s="41" t="n">
        <x:v>-31.5494</x:v>
      </x:c>
      <x:c r="K110" s="41" t="n">
        <x:v>-56.4737</x:v>
      </x:c>
      <x:c r="L110" s="41" t="n">
        <x:v>24.9242</x:v>
      </x:c>
      <x:c r="M110" s="41" t="n">
        <x:v>2868.0022</x:v>
      </x:c>
      <x:c r="N110" s="41" t="n">
        <x:v>506.0574</x:v>
      </x:c>
      <x:c r="O110" s="41" t="n">
        <x:v>3847</x:v>
      </x:c>
      <x:c r="P110" s="41" t="str">
        <x:v>1999-01-04</x:v>
      </x:c>
      <x:c r="Q110" s="41" t="str">
        <x:v>2026-05-22</x:v>
      </x:c>
    </x:row>
    <x:row r="111">
      <x:c r="A111" s="41" t="n">
        <x:v>110</x:v>
      </x:c>
      <x:c r="B111" s="41" t="str">
        <x:v>HYP_DD_FIRST_AUTO002_EXPOSURE_50_V1</x:v>
      </x:c>
      <x:c r="C111" s="41" t="str">
        <x:v>dd_first_drawdown_control</x:v>
      </x:c>
      <x:c r="D111" s="41" t="n">
        <x:v>0.417857</x:v>
      </x:c>
      <x:c r="E111" s="41" t="n">
        <x:v>0.120454</x:v>
      </x:c>
      <x:c r="F111" s="41" t="n">
        <x:v>0.297403</x:v>
      </x:c>
      <x:c r="G111" s="41" t="n">
        <x:v>13.1831</x:v>
      </x:c>
      <x:c r="H111" s="41" t="n">
        <x:v>6.8025</x:v>
      </x:c>
      <x:c r="I111" s="41" t="n">
        <x:v>6.3807</x:v>
      </x:c>
      <x:c r="J111" s="41" t="n">
        <x:v>-31.5494</x:v>
      </x:c>
      <x:c r="K111" s="41" t="n">
        <x:v>-56.4737</x:v>
      </x:c>
      <x:c r="L111" s="41" t="n">
        <x:v>24.9242</x:v>
      </x:c>
      <x:c r="M111" s="41" t="n">
        <x:v>2868.0022</x:v>
      </x:c>
      <x:c r="N111" s="41" t="n">
        <x:v>506.0574</x:v>
      </x:c>
      <x:c r="O111" s="41" t="n">
        <x:v>3847</x:v>
      </x:c>
      <x:c r="P111" s="41" t="str">
        <x:v>1999-01-04</x:v>
      </x:c>
      <x:c r="Q111" s="41" t="str">
        <x:v>2026-05-22</x:v>
      </x:c>
    </x:row>
    <x:row r="112">
      <x:c r="A112" s="41" t="n">
        <x:v>111</x:v>
      </x:c>
      <x:c r="B112" s="41" t="str">
        <x:v>HYP_REFINE_AUTO002_TOPN_6_V1_DDGRID_LONG_R11_C25_E75_CR40_REDD_RECOVERED_DD8_SL20</x:v>
      </x:c>
      <x:c r="C112" s="41" t="str">
        <x:v>dd_guard_grid</x:v>
      </x:c>
      <x:c r="D112" s="41" t="n">
        <x:v>0.417785</x:v>
      </x:c>
      <x:c r="E112" s="41" t="n">
        <x:v>0.120454</x:v>
      </x:c>
      <x:c r="F112" s="41" t="n">
        <x:v>0.297331</x:v>
      </x:c>
      <x:c r="G112" s="41" t="n">
        <x:v>14.4423</x:v>
      </x:c>
      <x:c r="H112" s="41" t="n">
        <x:v>6.8025</x:v>
      </x:c>
      <x:c r="I112" s="41" t="n">
        <x:v>7.6398</x:v>
      </x:c>
      <x:c r="J112" s="41" t="n">
        <x:v>-34.5688</x:v>
      </x:c>
      <x:c r="K112" s="41" t="n">
        <x:v>-56.4737</x:v>
      </x:c>
      <x:c r="L112" s="41" t="n">
        <x:v>21.9049</x:v>
      </x:c>
      <x:c r="M112" s="41" t="n">
        <x:v>3918.0449</x:v>
      </x:c>
      <x:c r="N112" s="41" t="n">
        <x:v>506.0574</x:v>
      </x:c>
      <x:c r="O112" s="41" t="n">
        <x:v>5208</x:v>
      </x:c>
      <x:c r="P112" s="41" t="str">
        <x:v>1999-01-04</x:v>
      </x:c>
      <x:c r="Q112" s="41" t="str">
        <x:v>2026-05-22</x:v>
      </x:c>
    </x:row>
    <x:row r="113">
      <x:c r="A113" s="41" t="n">
        <x:v>112</x:v>
      </x:c>
      <x:c r="B113" s="41" t="str">
        <x:v>HYP_REFINE_AUTO002_TOPN_6_V1_DDGRID_LONGRUN_STRICT_STRICT_NEXT_CLOSE_R12_C22_E75_CR40_REDD_DD6_SL20</x:v>
      </x:c>
      <x:c r="C113" s="41" t="str">
        <x:v>strict_longrun_ddgrid</x:v>
      </x:c>
      <x:c r="D113" s="41" t="n">
        <x:v>0.417697</x:v>
      </x:c>
      <x:c r="E113" s="41" t="n">
        <x:v>0.120454</x:v>
      </x:c>
      <x:c r="F113" s="41" t="n">
        <x:v>0.297243</x:v>
      </x:c>
      <x:c r="G113" s="41" t="n">
        <x:v>13.8281</x:v>
      </x:c>
      <x:c r="H113" s="41" t="n">
        <x:v>6.8025</x:v>
      </x:c>
      <x:c r="I113" s="41" t="n">
        <x:v>7.0256</x:v>
      </x:c>
      <x:c r="J113" s="41" t="n">
        <x:v>-33.1056</x:v>
      </x:c>
      <x:c r="K113" s="41" t="n">
        <x:v>-56.4737</x:v>
      </x:c>
      <x:c r="L113" s="41" t="n">
        <x:v>23.3681</x:v>
      </x:c>
      <x:c r="M113" s="41" t="n">
        <x:v>3367.5805</x:v>
      </x:c>
      <x:c r="N113" s="41" t="n">
        <x:v>506.0574</x:v>
      </x:c>
      <x:c r="O113" s="41" t="n">
        <x:v>5962</x:v>
      </x:c>
      <x:c r="P113" s="41" t="str">
        <x:v>1999-01-04</x:v>
      </x:c>
      <x:c r="Q113" s="41" t="str">
        <x:v>2026-05-22</x:v>
      </x:c>
    </x:row>
    <x:row r="114">
      <x:c r="A114" s="41" t="n">
        <x:v>113</x:v>
      </x:c>
      <x:c r="B114" s="41" t="str">
        <x:v>HYP_REFINE_AUTO002_TOPN_6_V1_DDGRID_LONG_R12_C22_E78_CR42_REDD_RECOVERED_DD8_SL20</x:v>
      </x:c>
      <x:c r="C114" s="41" t="str">
        <x:v>dd_guard_grid</x:v>
      </x:c>
      <x:c r="D114" s="41" t="n">
        <x:v>0.41767</x:v>
      </x:c>
      <x:c r="E114" s="41" t="n">
        <x:v>0.120454</x:v>
      </x:c>
      <x:c r="F114" s="41" t="n">
        <x:v>0.297216</x:v>
      </x:c>
      <x:c r="G114" s="41" t="n">
        <x:v>13.945</x:v>
      </x:c>
      <x:c r="H114" s="41" t="n">
        <x:v>6.8025</x:v>
      </x:c>
      <x:c r="I114" s="41" t="n">
        <x:v>7.1425</x:v>
      </x:c>
      <x:c r="J114" s="41" t="n">
        <x:v>-33.3876</x:v>
      </x:c>
      <x:c r="K114" s="41" t="n">
        <x:v>-56.4737</x:v>
      </x:c>
      <x:c r="L114" s="41" t="n">
        <x:v>23.0861</x:v>
      </x:c>
      <x:c r="M114" s="41" t="n">
        <x:v>3466.4139</x:v>
      </x:c>
      <x:c r="N114" s="41" t="n">
        <x:v>506.0574</x:v>
      </x:c>
      <x:c r="O114" s="41" t="n">
        <x:v>5888</x:v>
      </x:c>
      <x:c r="P114" s="41" t="str">
        <x:v>1999-01-04</x:v>
      </x:c>
      <x:c r="Q114" s="41" t="str">
        <x:v>2026-05-22</x:v>
      </x:c>
    </x:row>
    <x:row r="115">
      <x:c r="A115" s="41" t="n">
        <x:v>114</x:v>
      </x:c>
      <x:c r="B115" s="41" t="str">
        <x:v>HYP_DD_FIRST_AUTO002_EXPOSURE60_LOWVOL_WEEKLY_RANGE_PCT_W5_V1</x:v>
      </x:c>
      <x:c r="C115" s="41" t="str">
        <x:v>dd_first_drawdown_control</x:v>
      </x:c>
      <x:c r="D115" s="41" t="n">
        <x:v>0.417275</x:v>
      </x:c>
      <x:c r="E115" s="41" t="n">
        <x:v>0.120454</x:v>
      </x:c>
      <x:c r="F115" s="41" t="n">
        <x:v>0.296821</x:v>
      </x:c>
      <x:c r="G115" s="41" t="n">
        <x:v>15.3198</x:v>
      </x:c>
      <x:c r="H115" s="41" t="n">
        <x:v>6.8025</x:v>
      </x:c>
      <x:c r="I115" s="41" t="n">
        <x:v>8.5173</x:v>
      </x:c>
      <x:c r="J115" s="41" t="n">
        <x:v>-36.7139</x:v>
      </x:c>
      <x:c r="K115" s="41" t="n">
        <x:v>-56.4737</x:v>
      </x:c>
      <x:c r="L115" s="41" t="n">
        <x:v>19.7597</x:v>
      </x:c>
      <x:c r="M115" s="41" t="n">
        <x:v>4852.6256</x:v>
      </x:c>
      <x:c r="N115" s="41" t="n">
        <x:v>506.0574</x:v>
      </x:c>
      <x:c r="O115" s="41" t="n">
        <x:v>3835</x:v>
      </x:c>
      <x:c r="P115" s="41" t="str">
        <x:v>1999-01-04</x:v>
      </x:c>
      <x:c r="Q115" s="41" t="str">
        <x:v>2026-05-22</x:v>
      </x:c>
    </x:row>
    <x:row r="116">
      <x:c r="A116" s="41" t="n">
        <x:v>115</x:v>
      </x:c>
      <x:c r="B116" s="41" t="str">
        <x:v>HYP_REFINE_AUTO002_TOPN_6_V1_DDGRID_LONG_R12_C22_E70_CR40_REDD_RECOVERED_DD7_SL20</x:v>
      </x:c>
      <x:c r="C116" s="41" t="str">
        <x:v>dd_guard_grid</x:v>
      </x:c>
      <x:c r="D116" s="41" t="n">
        <x:v>0.41719</x:v>
      </x:c>
      <x:c r="E116" s="41" t="n">
        <x:v>0.120454</x:v>
      </x:c>
      <x:c r="F116" s="41" t="n">
        <x:v>0.296736</x:v>
      </x:c>
      <x:c r="G116" s="41" t="n">
        <x:v>13.6838</x:v>
      </x:c>
      <x:c r="H116" s="41" t="n">
        <x:v>6.8025</x:v>
      </x:c>
      <x:c r="I116" s="41" t="n">
        <x:v>6.8813</x:v>
      </x:c>
      <x:c r="J116" s="41" t="n">
        <x:v>-32.7999</x:v>
      </x:c>
      <x:c r="K116" s="41" t="n">
        <x:v>-56.4737</x:v>
      </x:c>
      <x:c r="L116" s="41" t="n">
        <x:v>23.6738</x:v>
      </x:c>
      <x:c r="M116" s="41" t="n">
        <x:v>3249.2071</x:v>
      </x:c>
      <x:c r="N116" s="41" t="n">
        <x:v>506.0574</x:v>
      </x:c>
      <x:c r="O116" s="41" t="n">
        <x:v>5789</x:v>
      </x:c>
      <x:c r="P116" s="41" t="str">
        <x:v>1999-01-04</x:v>
      </x:c>
      <x:c r="Q116" s="41" t="str">
        <x:v>2026-05-22</x:v>
      </x:c>
    </x:row>
    <x:row r="117">
      <x:c r="A117" s="41" t="n">
        <x:v>116</x:v>
      </x:c>
      <x:c r="B117" s="41" t="str">
        <x:v>HYP_REFINE_AUTO002_TOPN_6_V1_DDGRID_LONG_R12_C24_E75_CR45_REDD_RECOVERED_DD8_SL20</x:v>
      </x:c>
      <x:c r="C117" s="41" t="str">
        <x:v>dd_guard_grid</x:v>
      </x:c>
      <x:c r="D117" s="41" t="n">
        <x:v>0.417145</x:v>
      </x:c>
      <x:c r="E117" s="41" t="n">
        <x:v>0.120454</x:v>
      </x:c>
      <x:c r="F117" s="41" t="n">
        <x:v>0.296691</x:v>
      </x:c>
      <x:c r="G117" s="41" t="n">
        <x:v>14.583</x:v>
      </x:c>
      <x:c r="H117" s="41" t="n">
        <x:v>6.8025</x:v>
      </x:c>
      <x:c r="I117" s="41" t="n">
        <x:v>7.7805</x:v>
      </x:c>
      <x:c r="J117" s="41" t="n">
        <x:v>-34.959</x:v>
      </x:c>
      <x:c r="K117" s="41" t="n">
        <x:v>-56.4737</x:v>
      </x:c>
      <x:c r="L117" s="41" t="n">
        <x:v>21.5147</x:v>
      </x:c>
      <x:c r="M117" s="41" t="n">
        <x:v>4055.4484</x:v>
      </x:c>
      <x:c r="N117" s="41" t="n">
        <x:v>506.0574</x:v>
      </x:c>
      <x:c r="O117" s="41" t="n">
        <x:v>5140</x:v>
      </x:c>
      <x:c r="P117" s="41" t="str">
        <x:v>1999-01-04</x:v>
      </x:c>
      <x:c r="Q117" s="41" t="str">
        <x:v>2026-05-22</x:v>
      </x:c>
    </x:row>
    <x:row r="118">
      <x:c r="A118" s="41" t="n">
        <x:v>117</x:v>
      </x:c>
      <x:c r="B118" s="41" t="str">
        <x:v>HYP_REFINE_AUTO002_TOPN_6_V1_DDGRID_LONG_R12_C22_E72_CR40_REDD_RECOVERED_DD8_SL18</x:v>
      </x:c>
      <x:c r="C118" s="41" t="str">
        <x:v>dd_guard_grid</x:v>
      </x:c>
      <x:c r="D118" s="41" t="n">
        <x:v>0.417061</x:v>
      </x:c>
      <x:c r="E118" s="41" t="n">
        <x:v>0.120454</x:v>
      </x:c>
      <x:c r="F118" s="41" t="n">
        <x:v>0.296607</x:v>
      </x:c>
      <x:c r="G118" s="41" t="n">
        <x:v>13.2133</x:v>
      </x:c>
      <x:c r="H118" s="41" t="n">
        <x:v>6.8025</x:v>
      </x:c>
      <x:c r="I118" s="41" t="n">
        <x:v>6.4109</x:v>
      </x:c>
      <x:c r="J118" s="41" t="n">
        <x:v>-31.682</x:v>
      </x:c>
      <x:c r="K118" s="41" t="n">
        <x:v>-56.4737</x:v>
      </x:c>
      <x:c r="L118" s="41" t="n">
        <x:v>24.7917</x:v>
      </x:c>
      <x:c r="M118" s="41" t="n">
        <x:v>2889.7562</x:v>
      </x:c>
      <x:c r="N118" s="41" t="n">
        <x:v>506.0574</x:v>
      </x:c>
      <x:c r="O118" s="41" t="n">
        <x:v>5669</x:v>
      </x:c>
      <x:c r="P118" s="41" t="str">
        <x:v>1999-01-04</x:v>
      </x:c>
      <x:c r="Q118" s="41" t="str">
        <x:v>2026-05-22</x:v>
      </x:c>
    </x:row>
    <x:row r="119">
      <x:c r="A119" s="41" t="n">
        <x:v>118</x:v>
      </x:c>
      <x:c r="B119" s="41" t="str">
        <x:v>HYP_REFINE_AUTO002_TOPN_6_V1_DDGRID_LONG_R12_C22_E70_CR40_REDD_RECOVERED_DD6_SL20</x:v>
      </x:c>
      <x:c r="C119" s="41" t="str">
        <x:v>dd_guard_grid</x:v>
      </x:c>
      <x:c r="D119" s="41" t="n">
        <x:v>0.417025</x:v>
      </x:c>
      <x:c r="E119" s="41" t="n">
        <x:v>0.120454</x:v>
      </x:c>
      <x:c r="F119" s="41" t="n">
        <x:v>0.296571</x:v>
      </x:c>
      <x:c r="G119" s="41" t="n">
        <x:v>13.6784</x:v>
      </x:c>
      <x:c r="H119" s="41" t="n">
        <x:v>6.8025</x:v>
      </x:c>
      <x:c r="I119" s="41" t="n">
        <x:v>6.8759</x:v>
      </x:c>
      <x:c r="J119" s="41" t="n">
        <x:v>-32.7999</x:v>
      </x:c>
      <x:c r="K119" s="41" t="n">
        <x:v>-56.4737</x:v>
      </x:c>
      <x:c r="L119" s="41" t="n">
        <x:v>23.6738</x:v>
      </x:c>
      <x:c r="M119" s="41" t="n">
        <x:v>3244.8398</x:v>
      </x:c>
      <x:c r="N119" s="41" t="n">
        <x:v>506.0574</x:v>
      </x:c>
      <x:c r="O119" s="41" t="n">
        <x:v>5970</x:v>
      </x:c>
      <x:c r="P119" s="41" t="str">
        <x:v>1999-01-04</x:v>
      </x:c>
      <x:c r="Q119" s="41" t="str">
        <x:v>2026-05-22</x:v>
      </x:c>
    </x:row>
    <x:row r="120">
      <x:c r="A120" s="41" t="n">
        <x:v>119</x:v>
      </x:c>
      <x:c r="B120" s="41" t="str">
        <x:v>HYP_REFINE_AUTO002_TOPN_6_V1_DDGRID_LONG_R12_C22_E78_CR45_REDD_RECOVERED_DD7_SL20</x:v>
      </x:c>
      <x:c r="C120" s="41" t="str">
        <x:v>dd_guard_grid</x:v>
      </x:c>
      <x:c r="D120" s="41" t="n">
        <x:v>0.415832</x:v>
      </x:c>
      <x:c r="E120" s="41" t="n">
        <x:v>0.120454</x:v>
      </x:c>
      <x:c r="F120" s="41" t="n">
        <x:v>0.295378</x:v>
      </x:c>
      <x:c r="G120" s="41" t="n">
        <x:v>14.2124</x:v>
      </x:c>
      <x:c r="H120" s="41" t="n">
        <x:v>6.8025</x:v>
      </x:c>
      <x:c r="I120" s="41" t="n">
        <x:v>7.4099</x:v>
      </x:c>
      <x:c r="J120" s="41" t="n">
        <x:v>-34.1782</x:v>
      </x:c>
      <x:c r="K120" s="41" t="n">
        <x:v>-56.4737</x:v>
      </x:c>
      <x:c r="L120" s="41" t="n">
        <x:v>22.2955</x:v>
      </x:c>
      <x:c r="M120" s="41" t="n">
        <x:v>3702.7867</x:v>
      </x:c>
      <x:c r="N120" s="41" t="n">
        <x:v>506.0574</x:v>
      </x:c>
      <x:c r="O120" s="41" t="n">
        <x:v>5669</x:v>
      </x:c>
      <x:c r="P120" s="41" t="str">
        <x:v>1999-01-04</x:v>
      </x:c>
      <x:c r="Q120" s="41" t="str">
        <x:v>2026-05-22</x:v>
      </x:c>
    </x:row>
    <x:row r="121">
      <x:c r="A121" s="41" t="n">
        <x:v>120</x:v>
      </x:c>
      <x:c r="B121" s="41" t="str">
        <x:v>HYP_REFINE_AUTO002_TOPN_6_V1_DDGRID_LONG_R11_C22_E75_CR45_REDD_RECOVERED_DD7_SL20</x:v>
      </x:c>
      <x:c r="C121" s="41" t="str">
        <x:v>dd_guard_grid</x:v>
      </x:c>
      <x:c r="D121" s="41" t="n">
        <x:v>0.415485</x:v>
      </x:c>
      <x:c r="E121" s="41" t="n">
        <x:v>0.120454</x:v>
      </x:c>
      <x:c r="F121" s="41" t="n">
        <x:v>0.295031</x:v>
      </x:c>
      <x:c r="G121" s="41" t="n">
        <x:v>14.0246</x:v>
      </x:c>
      <x:c r="H121" s="41" t="n">
        <x:v>6.8025</x:v>
      </x:c>
      <x:c r="I121" s="41" t="n">
        <x:v>7.2222</x:v>
      </x:c>
      <x:c r="J121" s="41" t="n">
        <x:v>-33.7549</x:v>
      </x:c>
      <x:c r="K121" s="41" t="n">
        <x:v>-56.4737</x:v>
      </x:c>
      <x:c r="L121" s="41" t="n">
        <x:v>22.7188</x:v>
      </x:c>
      <x:c r="M121" s="41" t="n">
        <x:v>3535.303</x:v>
      </x:c>
      <x:c r="N121" s="41" t="n">
        <x:v>506.0574</x:v>
      </x:c>
      <x:c r="O121" s="41" t="n">
        <x:v>5557</x:v>
      </x:c>
      <x:c r="P121" s="41" t="str">
        <x:v>1999-01-04</x:v>
      </x:c>
      <x:c r="Q121" s="41" t="str">
        <x:v>2026-05-22</x:v>
      </x:c>
    </x:row>
    <x:row r="122">
      <x:c r="A122" s="41" t="n">
        <x:v>121</x:v>
      </x:c>
      <x:c r="B122" s="41" t="str">
        <x:v>HYP_REFINE_AUTO002_TOPN_6_V1_DDGRID_CHEAP_R12_C22_E70_CR40_REDD_RECOVERED_DD8_SL20</x:v>
      </x:c>
      <x:c r="C122" s="41" t="str">
        <x:v>dd_guard_grid</x:v>
      </x:c>
      <x:c r="D122" s="41" t="n">
        <x:v>0.415462</x:v>
      </x:c>
      <x:c r="E122" s="41" t="n">
        <x:v>0.120454</x:v>
      </x:c>
      <x:c r="F122" s="41" t="n">
        <x:v>0.295008</x:v>
      </x:c>
      <x:c r="G122" s="41" t="n">
        <x:v>13.6271</x:v>
      </x:c>
      <x:c r="H122" s="41" t="n">
        <x:v>6.8025</x:v>
      </x:c>
      <x:c r="I122" s="41" t="n">
        <x:v>6.8246</x:v>
      </x:c>
      <x:c r="J122" s="41" t="n">
        <x:v>-32.7999</x:v>
      </x:c>
      <x:c r="K122" s="41" t="n">
        <x:v>-56.4737</x:v>
      </x:c>
      <x:c r="L122" s="41" t="n">
        <x:v>23.6738</x:v>
      </x:c>
      <x:c r="M122" s="41" t="n">
        <x:v>3203.7862</x:v>
      </x:c>
      <x:c r="N122" s="41" t="n">
        <x:v>506.0574</x:v>
      </x:c>
      <x:c r="O122" s="41" t="n">
        <x:v>5550</x:v>
      </x:c>
      <x:c r="P122" s="41" t="str">
        <x:v>1999-01-04</x:v>
      </x:c>
      <x:c r="Q122" s="41" t="str">
        <x:v>2026-05-22</x:v>
      </x:c>
    </x:row>
    <x:row r="123">
      <x:c r="A123" s="41" t="n">
        <x:v>122</x:v>
      </x:c>
      <x:c r="B123" s="41" t="str">
        <x:v>HYP_REFINE_AUTO002_TOPN_6_V1_DDGRID_LONG_R12_C22_E70_CR40_REDD_RECOVERED_DD8_SL20</x:v>
      </x:c>
      <x:c r="C123" s="41" t="str">
        <x:v>dd_guard_grid</x:v>
      </x:c>
      <x:c r="D123" s="41" t="n">
        <x:v>0.415462</x:v>
      </x:c>
      <x:c r="E123" s="41" t="n">
        <x:v>0.120454</x:v>
      </x:c>
      <x:c r="F123" s="41" t="n">
        <x:v>0.295008</x:v>
      </x:c>
      <x:c r="G123" s="41" t="n">
        <x:v>13.6271</x:v>
      </x:c>
      <x:c r="H123" s="41" t="n">
        <x:v>6.8025</x:v>
      </x:c>
      <x:c r="I123" s="41" t="n">
        <x:v>6.8246</x:v>
      </x:c>
      <x:c r="J123" s="41" t="n">
        <x:v>-32.7999</x:v>
      </x:c>
      <x:c r="K123" s="41" t="n">
        <x:v>-56.4737</x:v>
      </x:c>
      <x:c r="L123" s="41" t="n">
        <x:v>23.6738</x:v>
      </x:c>
      <x:c r="M123" s="41" t="n">
        <x:v>3203.7862</x:v>
      </x:c>
      <x:c r="N123" s="41" t="n">
        <x:v>506.0574</x:v>
      </x:c>
      <x:c r="O123" s="41" t="n">
        <x:v>5550</x:v>
      </x:c>
      <x:c r="P123" s="41" t="str">
        <x:v>1999-01-04</x:v>
      </x:c>
      <x:c r="Q123" s="41" t="str">
        <x:v>2026-05-22</x:v>
      </x:c>
    </x:row>
    <x:row r="124">
      <x:c r="A124" s="41" t="n">
        <x:v>123</x:v>
      </x:c>
      <x:c r="B124" s="41" t="str">
        <x:v>HYP_REFINE_AUTO002_TOPN_6_V1_DDGRID_LONG_R12_C23_E72_CR45_REDD_RECOVERED_DD8_SL20</x:v>
      </x:c>
      <x:c r="C124" s="41" t="str">
        <x:v>dd_guard_grid</x:v>
      </x:c>
      <x:c r="D124" s="41" t="n">
        <x:v>0.415435</x:v>
      </x:c>
      <x:c r="E124" s="41" t="n">
        <x:v>0.120454</x:v>
      </x:c>
      <x:c r="F124" s="41" t="n">
        <x:v>0.294981</x:v>
      </x:c>
      <x:c r="G124" s="41" t="n">
        <x:v>14.2572</x:v>
      </x:c>
      <x:c r="H124" s="41" t="n">
        <x:v>6.8025</x:v>
      </x:c>
      <x:c r="I124" s="41" t="n">
        <x:v>7.4547</x:v>
      </x:c>
      <x:c r="J124" s="41" t="n">
        <x:v>-34.3187</x:v>
      </x:c>
      <x:c r="K124" s="41" t="n">
        <x:v>-56.4737</x:v>
      </x:c>
      <x:c r="L124" s="41" t="n">
        <x:v>22.155</x:v>
      </x:c>
      <x:c r="M124" s="41" t="n">
        <x:v>3743.8309</x:v>
      </x:c>
      <x:c r="N124" s="41" t="n">
        <x:v>506.0574</x:v>
      </x:c>
      <x:c r="O124" s="41" t="n">
        <x:v>5374</x:v>
      </x:c>
      <x:c r="P124" s="41" t="str">
        <x:v>1999-01-04</x:v>
      </x:c>
      <x:c r="Q124" s="41" t="str">
        <x:v>2026-05-22</x:v>
      </x:c>
    </x:row>
    <x:row r="125">
      <x:c r="A125" s="41" t="n">
        <x:v>124</x:v>
      </x:c>
      <x:c r="B125" s="41" t="str">
        <x:v>HYP_REFINE_AUTO002_TOPN_6_V1_DDGRID_LONG_R12_C22_E70_CR42_REDD_RECOVERED_DD8_SL20</x:v>
      </x:c>
      <x:c r="C125" s="41" t="str">
        <x:v>dd_guard_grid</x:v>
      </x:c>
      <x:c r="D125" s="41" t="n">
        <x:v>0.415156</x:v>
      </x:c>
      <x:c r="E125" s="41" t="n">
        <x:v>0.120454</x:v>
      </x:c>
      <x:c r="F125" s="41" t="n">
        <x:v>0.294702</x:v>
      </x:c>
      <x:c r="G125" s="41" t="n">
        <x:v>13.7101</x:v>
      </x:c>
      <x:c r="H125" s="41" t="n">
        <x:v>6.8025</x:v>
      </x:c>
      <x:c r="I125" s="41" t="n">
        <x:v>6.9076</x:v>
      </x:c>
      <x:c r="J125" s="41" t="n">
        <x:v>-33.024</x:v>
      </x:c>
      <x:c r="K125" s="41" t="n">
        <x:v>-56.4737</x:v>
      </x:c>
      <x:c r="L125" s="41" t="n">
        <x:v>23.4497</x:v>
      </x:c>
      <x:c r="M125" s="41" t="n">
        <x:v>3270.5005</x:v>
      </x:c>
      <x:c r="N125" s="41" t="n">
        <x:v>506.0574</x:v>
      </x:c>
      <x:c r="O125" s="41" t="n">
        <x:v>5466</x:v>
      </x:c>
      <x:c r="P125" s="41" t="str">
        <x:v>1999-01-04</x:v>
      </x:c>
      <x:c r="Q125" s="41" t="str">
        <x:v>2026-05-22</x:v>
      </x:c>
    </x:row>
    <x:row r="126">
      <x:c r="A126" s="41" t="n">
        <x:v>125</x:v>
      </x:c>
      <x:c r="B126" s="41" t="str">
        <x:v>HYP_REFINE_AUTO002_TOPN_6_V1_DDGRID_LONGRUN_STRICT_STRICT_NEXT_CLOSE_R12_C22_E75_CR45_REDD_DD8_SL20</x:v>
      </x:c>
      <x:c r="C126" s="41" t="str">
        <x:v>strict_longrun_ddgrid</x:v>
      </x:c>
      <x:c r="D126" s="41" t="n">
        <x:v>0.415116</x:v>
      </x:c>
      <x:c r="E126" s="41" t="n">
        <x:v>0.120454</x:v>
      </x:c>
      <x:c r="F126" s="41" t="n">
        <x:v>0.294662</x:v>
      </x:c>
      <x:c r="G126" s="41" t="n">
        <x:v>14.2553</x:v>
      </x:c>
      <x:c r="H126" s="41" t="n">
        <x:v>6.8025</x:v>
      </x:c>
      <x:c r="I126" s="41" t="n">
        <x:v>7.4528</x:v>
      </x:c>
      <x:c r="J126" s="41" t="n">
        <x:v>-34.3406</x:v>
      </x:c>
      <x:c r="K126" s="41" t="n">
        <x:v>-56.4737</x:v>
      </x:c>
      <x:c r="L126" s="41" t="n">
        <x:v>22.1331</x:v>
      </x:c>
      <x:c r="M126" s="41" t="n">
        <x:v>3742.1187</x:v>
      </x:c>
      <x:c r="N126" s="41" t="n">
        <x:v>506.0574</x:v>
      </x:c>
      <x:c r="O126" s="41" t="n">
        <x:v>5555</x:v>
      </x:c>
      <x:c r="P126" s="41" t="str">
        <x:v>1999-01-04</x:v>
      </x:c>
      <x:c r="Q126" s="41" t="str">
        <x:v>2026-05-22</x:v>
      </x:c>
    </x:row>
    <x:row r="127">
      <x:c r="A127" s="41" t="n">
        <x:v>126</x:v>
      </x:c>
      <x:c r="B127" s="41" t="str">
        <x:v>HYP_REFINE_AUTO002_TOPN_6_V1_DDGRID_LONG_R12_C22_E78_CR45_REDD_RECOVERED_DD8_SL20</x:v>
      </x:c>
      <x:c r="C127" s="41" t="str">
        <x:v>dd_guard_grid</x:v>
      </x:c>
      <x:c r="D127" s="41" t="n">
        <x:v>0.414595</x:v>
      </x:c>
      <x:c r="E127" s="41" t="n">
        <x:v>0.120454</x:v>
      </x:c>
      <x:c r="F127" s="41" t="n">
        <x:v>0.294141</x:v>
      </x:c>
      <x:c r="G127" s="41" t="n">
        <x:v>14.1701</x:v>
      </x:c>
      <x:c r="H127" s="41" t="n">
        <x:v>6.8025</x:v>
      </x:c>
      <x:c r="I127" s="41" t="n">
        <x:v>7.3677</x:v>
      </x:c>
      <x:c r="J127" s="41" t="n">
        <x:v>-34.1782</x:v>
      </x:c>
      <x:c r="K127" s="41" t="n">
        <x:v>-56.4737</x:v>
      </x:c>
      <x:c r="L127" s="41" t="n">
        <x:v>22.2955</x:v>
      </x:c>
      <x:c r="M127" s="41" t="n">
        <x:v>3664.4484</x:v>
      </x:c>
      <x:c r="N127" s="41" t="n">
        <x:v>506.0574</x:v>
      </x:c>
      <x:c r="O127" s="41" t="n">
        <x:v>5516</x:v>
      </x:c>
      <x:c r="P127" s="41" t="str">
        <x:v>1999-01-04</x:v>
      </x:c>
      <x:c r="Q127" s="41" t="str">
        <x:v>2026-05-22</x:v>
      </x:c>
    </x:row>
    <x:row r="128">
      <x:c r="A128" s="41" t="n">
        <x:v>127</x:v>
      </x:c>
      <x:c r="B128" s="41" t="str">
        <x:v>HYP_REFINE_AUTO002_TOPN_6_V1_DDGRID_EXT_R12_C26_E75_CR40_REDD_RECOVERED_DD6_SL20</x:v>
      </x:c>
      <x:c r="C128" s="41" t="str">
        <x:v>dd_guard_grid</x:v>
      </x:c>
      <x:c r="D128" s="41" t="n">
        <x:v>0.414585</x:v>
      </x:c>
      <x:c r="E128" s="41" t="n">
        <x:v>0.120454</x:v>
      </x:c>
      <x:c r="F128" s="41" t="n">
        <x:v>0.294131</x:v>
      </x:c>
      <x:c r="G128" s="41" t="n">
        <x:v>14.7196</x:v>
      </x:c>
      <x:c r="H128" s="41" t="n">
        <x:v>6.8025</x:v>
      </x:c>
      <x:c r="I128" s="41" t="n">
        <x:v>7.9172</x:v>
      </x:c>
      <x:c r="J128" s="41" t="n">
        <x:v>-35.5046</x:v>
      </x:c>
      <x:c r="K128" s="41" t="n">
        <x:v>-56.4737</x:v>
      </x:c>
      <x:c r="L128" s="41" t="n">
        <x:v>20.9691</x:v>
      </x:c>
      <x:c r="M128" s="41" t="n">
        <x:v>4193.3268</x:v>
      </x:c>
      <x:c r="N128" s="41" t="n">
        <x:v>506.0574</x:v>
      </x:c>
      <x:c r="O128" s="41" t="n">
        <x:v>5553</x:v>
      </x:c>
      <x:c r="P128" s="41" t="str">
        <x:v>1999-01-04</x:v>
      </x:c>
      <x:c r="Q128" s="41" t="str">
        <x:v>2026-05-22</x:v>
      </x:c>
    </x:row>
    <x:row r="129">
      <x:c r="A129" s="41" t="n">
        <x:v>128</x:v>
      </x:c>
      <x:c r="B129" s="41" t="str">
        <x:v>HYP_REFINE_AUTO002_TOPN_6_V1_DDGRID_LONG_R12_C22_E72_CR40_REDD_RECOVERED_DD7_SL18</x:v>
      </x:c>
      <x:c r="C129" s="41" t="str">
        <x:v>dd_guard_grid</x:v>
      </x:c>
      <x:c r="D129" s="41" t="n">
        <x:v>0.414572</x:v>
      </x:c>
      <x:c r="E129" s="41" t="n">
        <x:v>0.120454</x:v>
      </x:c>
      <x:c r="F129" s="41" t="n">
        <x:v>0.294119</x:v>
      </x:c>
      <x:c r="G129" s="41" t="n">
        <x:v>13.134</x:v>
      </x:c>
      <x:c r="H129" s="41" t="n">
        <x:v>6.8025</x:v>
      </x:c>
      <x:c r="I129" s="41" t="n">
        <x:v>6.3315</x:v>
      </x:c>
      <x:c r="J129" s="41" t="n">
        <x:v>-31.6808</x:v>
      </x:c>
      <x:c r="K129" s="41" t="n">
        <x:v>-56.4737</x:v>
      </x:c>
      <x:c r="L129" s="41" t="n">
        <x:v>24.7928</x:v>
      </x:c>
      <x:c r="M129" s="41" t="n">
        <x:v>2832.9252</x:v>
      </x:c>
      <x:c r="N129" s="41" t="n">
        <x:v>506.0574</x:v>
      </x:c>
      <x:c r="O129" s="41" t="n">
        <x:v>5847</x:v>
      </x:c>
      <x:c r="P129" s="41" t="str">
        <x:v>1999-01-04</x:v>
      </x:c>
      <x:c r="Q129" s="41" t="str">
        <x:v>2026-05-22</x:v>
      </x:c>
    </x:row>
    <x:row r="130">
      <x:c r="A130" s="41" t="n">
        <x:v>129</x:v>
      </x:c>
      <x:c r="B130" s="41" t="str">
        <x:v>HYP_REFINE_AUTO002_TOPN_6_V1_DDGRID_LONGRUN_STRICT_STRICT_NEXT_CLOSE_R10_C22_E75_CR40_REDD_DD7_SL18</x:v>
      </x:c>
      <x:c r="C130" s="41" t="str">
        <x:v>strict_longrun_ddgrid</x:v>
      </x:c>
      <x:c r="D130" s="41" t="n">
        <x:v>0.414527</x:v>
      </x:c>
      <x:c r="E130" s="41" t="n">
        <x:v>0.120454</x:v>
      </x:c>
      <x:c r="F130" s="41" t="n">
        <x:v>0.294073</x:v>
      </x:c>
      <x:c r="G130" s="41" t="n">
        <x:v>13.1859</x:v>
      </x:c>
      <x:c r="H130" s="41" t="n">
        <x:v>6.8025</x:v>
      </x:c>
      <x:c r="I130" s="41" t="n">
        <x:v>6.3834</x:v>
      </x:c>
      <x:c r="J130" s="41" t="n">
        <x:v>-31.8094</x:v>
      </x:c>
      <x:c r="K130" s="41" t="n">
        <x:v>-56.4737</x:v>
      </x:c>
      <x:c r="L130" s="41" t="n">
        <x:v>24.6643</x:v>
      </x:c>
      <x:c r="M130" s="41" t="n">
        <x:v>2869.9467</x:v>
      </x:c>
      <x:c r="N130" s="41" t="n">
        <x:v>506.0574</x:v>
      </x:c>
      <x:c r="O130" s="41" t="n">
        <x:v>5939</x:v>
      </x:c>
      <x:c r="P130" s="41" t="str">
        <x:v>1999-01-04</x:v>
      </x:c>
      <x:c r="Q130" s="41" t="str">
        <x:v>2026-05-22</x:v>
      </x:c>
    </x:row>
    <x:row r="131">
      <x:c r="A131" s="41" t="n">
        <x:v>130</x:v>
      </x:c>
      <x:c r="B131" s="41" t="str">
        <x:v>HYP_REFINE_AUTO002_TOPN_6_V1_DDGRID_CHEAP_R12_C23_E75_CR40_REDD_RECOVERED_DD8_SL22</x:v>
      </x:c>
      <x:c r="C131" s="41" t="str">
        <x:v>dd_guard_grid</x:v>
      </x:c>
      <x:c r="D131" s="41" t="n">
        <x:v>0.414107</x:v>
      </x:c>
      <x:c r="E131" s="41" t="n">
        <x:v>0.120454</x:v>
      </x:c>
      <x:c r="F131" s="41" t="n">
        <x:v>0.293653</x:v>
      </x:c>
      <x:c r="G131" s="41" t="n">
        <x:v>14.2153</x:v>
      </x:c>
      <x:c r="H131" s="41" t="n">
        <x:v>6.8025</x:v>
      </x:c>
      <x:c r="I131" s="41" t="n">
        <x:v>7.4128</x:v>
      </x:c>
      <x:c r="J131" s="41" t="n">
        <x:v>-34.3276</x:v>
      </x:c>
      <x:c r="K131" s="41" t="n">
        <x:v>-56.4737</x:v>
      </x:c>
      <x:c r="L131" s="41" t="n">
        <x:v>22.1461</x:v>
      </x:c>
      <x:c r="M131" s="41" t="n">
        <x:v>3705.4172</x:v>
      </x:c>
      <x:c r="N131" s="41" t="n">
        <x:v>506.0574</x:v>
      </x:c>
      <x:c r="O131" s="41" t="n">
        <x:v>5493</x:v>
      </x:c>
      <x:c r="P131" s="41" t="str">
        <x:v>1999-01-04</x:v>
      </x:c>
      <x:c r="Q131" s="41" t="str">
        <x:v>2026-05-22</x:v>
      </x:c>
    </x:row>
    <x:row r="132">
      <x:c r="A132" s="41" t="n">
        <x:v>131</x:v>
      </x:c>
      <x:c r="B132" s="41" t="str">
        <x:v>HYP_REFINE_AUTO002_TOPN_6_V1_DDGRID_LONG_R12_C23_E75_CR40_REDD_RECOVERED_DD8_SL22</x:v>
      </x:c>
      <x:c r="C132" s="41" t="str">
        <x:v>dd_guard_grid</x:v>
      </x:c>
      <x:c r="D132" s="41" t="n">
        <x:v>0.414107</x:v>
      </x:c>
      <x:c r="E132" s="41" t="n">
        <x:v>0.120454</x:v>
      </x:c>
      <x:c r="F132" s="41" t="n">
        <x:v>0.293653</x:v>
      </x:c>
      <x:c r="G132" s="41" t="n">
        <x:v>14.2153</x:v>
      </x:c>
      <x:c r="H132" s="41" t="n">
        <x:v>6.8025</x:v>
      </x:c>
      <x:c r="I132" s="41" t="n">
        <x:v>7.4128</x:v>
      </x:c>
      <x:c r="J132" s="41" t="n">
        <x:v>-34.3276</x:v>
      </x:c>
      <x:c r="K132" s="41" t="n">
        <x:v>-56.4737</x:v>
      </x:c>
      <x:c r="L132" s="41" t="n">
        <x:v>22.1461</x:v>
      </x:c>
      <x:c r="M132" s="41" t="n">
        <x:v>3705.4172</x:v>
      </x:c>
      <x:c r="N132" s="41" t="n">
        <x:v>506.0574</x:v>
      </x:c>
      <x:c r="O132" s="41" t="n">
        <x:v>5493</x:v>
      </x:c>
      <x:c r="P132" s="41" t="str">
        <x:v>1999-01-04</x:v>
      </x:c>
      <x:c r="Q132" s="41" t="str">
        <x:v>2026-05-22</x:v>
      </x:c>
    </x:row>
    <x:row r="133">
      <x:c r="A133" s="41" t="n">
        <x:v>132</x:v>
      </x:c>
      <x:c r="B133" s="41" t="str">
        <x:v>HYP_REFINE_AUTO002_TOPN_6_V1_DDGRID_LONG_R11_C22_E75_CR42_REDD_RECOVERED_DD8_SL20</x:v>
      </x:c>
      <x:c r="C133" s="41" t="str">
        <x:v>dd_guard_grid</x:v>
      </x:c>
      <x:c r="D133" s="41" t="n">
        <x:v>0.414042</x:v>
      </x:c>
      <x:c r="E133" s="41" t="n">
        <x:v>0.120454</x:v>
      </x:c>
      <x:c r="F133" s="41" t="n">
        <x:v>0.293588</x:v>
      </x:c>
      <x:c r="G133" s="41" t="n">
        <x:v>13.7832</x:v>
      </x:c>
      <x:c r="H133" s="41" t="n">
        <x:v>6.8025</x:v>
      </x:c>
      <x:c r="I133" s="41" t="n">
        <x:v>6.9807</x:v>
      </x:c>
      <x:c r="J133" s="41" t="n">
        <x:v>-33.2893</x:v>
      </x:c>
      <x:c r="K133" s="41" t="n">
        <x:v>-56.4737</x:v>
      </x:c>
      <x:c r="L133" s="41" t="n">
        <x:v>23.1844</x:v>
      </x:c>
      <x:c r="M133" s="41" t="n">
        <x:v>3330.2979</x:v>
      </x:c>
      <x:c r="N133" s="41" t="n">
        <x:v>506.0574</x:v>
      </x:c>
      <x:c r="O133" s="41" t="n">
        <x:v>5594</x:v>
      </x:c>
      <x:c r="P133" s="41" t="str">
        <x:v>1999-01-04</x:v>
      </x:c>
      <x:c r="Q133" s="41" t="str">
        <x:v>2026-05-22</x:v>
      </x:c>
    </x:row>
    <x:row r="134">
      <x:c r="A134" s="41" t="n">
        <x:v>133</x:v>
      </x:c>
      <x:c r="B134" s="41" t="str">
        <x:v>HYP_QUALITY_MOMENTUM_CONCENTRATION_18_V1</x:v>
      </x:c>
      <x:c r="C134" s="41" t="str">
        <x:v>cross_sectional_momentum</x:v>
      </x:c>
      <x:c r="D134" s="41" t="n">
        <x:v>0.413903</x:v>
      </x:c>
      <x:c r="E134" s="41" t="n">
        <x:v>0.120454</x:v>
      </x:c>
      <x:c r="F134" s="41" t="n">
        <x:v>0.293449</x:v>
      </x:c>
      <x:c r="G134" s="41" t="n">
        <x:v>23.8354</x:v>
      </x:c>
      <x:c r="H134" s="41" t="n">
        <x:v>6.8025</x:v>
      </x:c>
      <x:c r="I134" s="41" t="n">
        <x:v>17.033</x:v>
      </x:c>
      <x:c r="J134" s="41" t="n">
        <x:v>-57.587</x:v>
      </x:c>
      <x:c r="K134" s="41" t="n">
        <x:v>-56.4737</x:v>
      </x:c>
      <x:c r="L134" s="41" t="n">
        <x:v>-1.1133</x:v>
      </x:c>
      <x:c r="M134" s="41" t="n">
        <x:v>34730.1379</x:v>
      </x:c>
      <x:c r="N134" s="41" t="n">
        <x:v>506.0574</x:v>
      </x:c>
      <x:c r="O134" s="41" t="n">
        <x:v>3913</x:v>
      </x:c>
      <x:c r="P134" s="41" t="str">
        <x:v>1999-01-04</x:v>
      </x:c>
      <x:c r="Q134" s="41" t="str">
        <x:v>2026-05-22</x:v>
      </x:c>
    </x:row>
    <x:row r="135">
      <x:c r="A135" s="41" t="n">
        <x:v>134</x:v>
      </x:c>
      <x:c r="B135" s="41" t="str">
        <x:v>HYP_REFINE_AUTO002_TOPN_6_V1_DDGRID_LONG_R12_C23_E75_CR42_REDD_RECOVERED_DD8_SL22</x:v>
      </x:c>
      <x:c r="C135" s="41" t="str">
        <x:v>dd_guard_grid</x:v>
      </x:c>
      <x:c r="D135" s="41" t="n">
        <x:v>0.413781</x:v>
      </x:c>
      <x:c r="E135" s="41" t="n">
        <x:v>0.120454</x:v>
      </x:c>
      <x:c r="F135" s="41" t="n">
        <x:v>0.293327</x:v>
      </x:c>
      <x:c r="G135" s="41" t="n">
        <x:v>14.3121</x:v>
      </x:c>
      <x:c r="H135" s="41" t="n">
        <x:v>6.8025</x:v>
      </x:c>
      <x:c r="I135" s="41" t="n">
        <x:v>7.5097</x:v>
      </x:c>
      <x:c r="J135" s="41" t="n">
        <x:v>-34.5887</x:v>
      </x:c>
      <x:c r="K135" s="41" t="n">
        <x:v>-56.4737</x:v>
      </x:c>
      <x:c r="L135" s="41" t="n">
        <x:v>21.885</x:v>
      </x:c>
      <x:c r="M135" s="41" t="n">
        <x:v>3794.7769</x:v>
      </x:c>
      <x:c r="N135" s="41" t="n">
        <x:v>506.0574</x:v>
      </x:c>
      <x:c r="O135" s="41" t="n">
        <x:v>5455</x:v>
      </x:c>
      <x:c r="P135" s="41" t="str">
        <x:v>1999-01-04</x:v>
      </x:c>
      <x:c r="Q135" s="41" t="str">
        <x:v>2026-05-22</x:v>
      </x:c>
    </x:row>
    <x:row r="136">
      <x:c r="A136" s="41" t="n">
        <x:v>135</x:v>
      </x:c>
      <x:c r="B136" s="41" t="str">
        <x:v>HYP_REFINE_AUTO002_TOPN_6_V1_DDGRID_LONG_R10_C24_E75_CR40_REDD_RECOVERED_DD8_SL20</x:v>
      </x:c>
      <x:c r="C136" s="41" t="str">
        <x:v>dd_guard_grid</x:v>
      </x:c>
      <x:c r="D136" s="41" t="n">
        <x:v>0.41326</x:v>
      </x:c>
      <x:c r="E136" s="41" t="n">
        <x:v>0.120454</x:v>
      </x:c>
      <x:c r="F136" s="41" t="n">
        <x:v>0.292806</x:v>
      </x:c>
      <x:c r="G136" s="41" t="n">
        <x:v>14.0249</x:v>
      </x:c>
      <x:c r="H136" s="41" t="n">
        <x:v>6.8025</x:v>
      </x:c>
      <x:c r="I136" s="41" t="n">
        <x:v>7.2224</x:v>
      </x:c>
      <x:c r="J136" s="41" t="n">
        <x:v>-33.9373</x:v>
      </x:c>
      <x:c r="K136" s="41" t="n">
        <x:v>-56.4737</x:v>
      </x:c>
      <x:c r="L136" s="41" t="n">
        <x:v>22.5364</x:v>
      </x:c>
      <x:c r="M136" s="41" t="n">
        <x:v>3535.5346</x:v>
      </x:c>
      <x:c r="N136" s="41" t="n">
        <x:v>506.0574</x:v>
      </x:c>
      <x:c r="O136" s="41" t="n">
        <x:v>5442</x:v>
      </x:c>
      <x:c r="P136" s="41" t="str">
        <x:v>1999-01-04</x:v>
      </x:c>
      <x:c r="Q136" s="41" t="str">
        <x:v>2026-05-22</x:v>
      </x:c>
    </x:row>
    <x:row r="137">
      <x:c r="A137" s="41" t="n">
        <x:v>136</x:v>
      </x:c>
      <x:c r="B137" s="41" t="str">
        <x:v>HYP_REFINE_AUTO002_TOPN_6_V1_DDGRID_LONG_R12_C22_E68_CR40_REDD_RECOVERED_DD8_SL20</x:v>
      </x:c>
      <x:c r="C137" s="41" t="str">
        <x:v>dd_guard_grid</x:v>
      </x:c>
      <x:c r="D137" s="41" t="n">
        <x:v>0.41321</x:v>
      </x:c>
      <x:c r="E137" s="41" t="n">
        <x:v>0.120454</x:v>
      </x:c>
      <x:c r="F137" s="41" t="n">
        <x:v>0.292756</x:v>
      </x:c>
      <x:c r="G137" s="41" t="n">
        <x:v>13.4016</x:v>
      </x:c>
      <x:c r="H137" s="41" t="n">
        <x:v>6.8025</x:v>
      </x:c>
      <x:c r="I137" s="41" t="n">
        <x:v>6.5991</x:v>
      </x:c>
      <x:c r="J137" s="41" t="n">
        <x:v>-32.4329</x:v>
      </x:c>
      <x:c r="K137" s="41" t="n">
        <x:v>-56.4737</x:v>
      </x:c>
      <x:c r="L137" s="41" t="n">
        <x:v>24.0408</x:v>
      </x:c>
      <x:c r="M137" s="41" t="n">
        <x:v>3028.8852</x:v>
      </x:c>
      <x:c r="N137" s="41" t="n">
        <x:v>506.0574</x:v>
      </x:c>
      <x:c r="O137" s="41" t="n">
        <x:v>5496</x:v>
      </x:c>
      <x:c r="P137" s="41" t="str">
        <x:v>1999-01-04</x:v>
      </x:c>
      <x:c r="Q137" s="41" t="str">
        <x:v>2026-05-22</x:v>
      </x:c>
    </x:row>
    <x:row r="138">
      <x:c r="A138" s="41" t="n">
        <x:v>137</x:v>
      </x:c>
      <x:c r="B138" s="41" t="str">
        <x:v>HYP_REFINE_AUTO002_TOPN_6_V1_DDGRID_LONG_R11_C22_E75_CR45_REDD_RECOVERED_DD9_SL20</x:v>
      </x:c>
      <x:c r="C138" s="41" t="str">
        <x:v>dd_guard_grid</x:v>
      </x:c>
      <x:c r="D138" s="41" t="n">
        <x:v>0.413168</x:v>
      </x:c>
      <x:c r="E138" s="41" t="n">
        <x:v>0.120454</x:v>
      </x:c>
      <x:c r="F138" s="41" t="n">
        <x:v>0.292714</x:v>
      </x:c>
      <x:c r="G138" s="41" t="n">
        <x:v>13.9464</x:v>
      </x:c>
      <x:c r="H138" s="41" t="n">
        <x:v>6.8025</x:v>
      </x:c>
      <x:c r="I138" s="41" t="n">
        <x:v>7.144</x:v>
      </x:c>
      <x:c r="J138" s="41" t="n">
        <x:v>-33.7549</x:v>
      </x:c>
      <x:c r="K138" s="41" t="n">
        <x:v>-56.4737</x:v>
      </x:c>
      <x:c r="L138" s="41" t="n">
        <x:v>22.7188</x:v>
      </x:c>
      <x:c r="M138" s="41" t="n">
        <x:v>3467.6399</x:v>
      </x:c>
      <x:c r="N138" s="41" t="n">
        <x:v>506.0574</x:v>
      </x:c>
      <x:c r="O138" s="41" t="n">
        <x:v>5285</x:v>
      </x:c>
      <x:c r="P138" s="41" t="str">
        <x:v>1999-01-04</x:v>
      </x:c>
      <x:c r="Q138" s="41" t="str">
        <x:v>2026-05-22</x:v>
      </x:c>
    </x:row>
    <x:row r="139">
      <x:c r="A139" s="41" t="n">
        <x:v>138</x:v>
      </x:c>
      <x:c r="B139" s="41" t="str">
        <x:v>HYP_REFINE_AUTO002_TOPN_6_V1_DDGRID_LONG_R11_C22_E75_CR45_REDD_RECOVERED_DD8_SL20</x:v>
      </x:c>
      <x:c r="C139" s="41" t="str">
        <x:v>dd_guard_grid</x:v>
      </x:c>
      <x:c r="D139" s="41" t="n">
        <x:v>0.413091</x:v>
      </x:c>
      <x:c r="E139" s="41" t="n">
        <x:v>0.120454</x:v>
      </x:c>
      <x:c r="F139" s="41" t="n">
        <x:v>0.292637</x:v>
      </x:c>
      <x:c r="G139" s="41" t="n">
        <x:v>13.9438</x:v>
      </x:c>
      <x:c r="H139" s="41" t="n">
        <x:v>6.8025</x:v>
      </x:c>
      <x:c r="I139" s="41" t="n">
        <x:v>7.1413</x:v>
      </x:c>
      <x:c r="J139" s="41" t="n">
        <x:v>-33.7549</x:v>
      </x:c>
      <x:c r="K139" s="41" t="n">
        <x:v>-56.4737</x:v>
      </x:c>
      <x:c r="L139" s="41" t="n">
        <x:v>22.7188</x:v>
      </x:c>
      <x:c r="M139" s="41" t="n">
        <x:v>3465.4064</x:v>
      </x:c>
      <x:c r="N139" s="41" t="n">
        <x:v>506.0574</x:v>
      </x:c>
      <x:c r="O139" s="41" t="n">
        <x:v>5452</x:v>
      </x:c>
      <x:c r="P139" s="41" t="str">
        <x:v>1999-01-04</x:v>
      </x:c>
      <x:c r="Q139" s="41" t="str">
        <x:v>2026-05-22</x:v>
      </x:c>
    </x:row>
    <x:row r="140">
      <x:c r="A140" s="41" t="n">
        <x:v>139</x:v>
      </x:c>
      <x:c r="B140" s="41" t="str">
        <x:v>HYP_REFINE_AUTO002_TOPN_6_V1_DDGRID_EXT_R12_C24_E75_CR50_REDD_RECOVERED_DD6_SL20</x:v>
      </x:c>
      <x:c r="C140" s="41" t="str">
        <x:v>dd_guard_grid</x:v>
      </x:c>
      <x:c r="D140" s="41" t="n">
        <x:v>0.412971</x:v>
      </x:c>
      <x:c r="E140" s="41" t="n">
        <x:v>0.120454</x:v>
      </x:c>
      <x:c r="F140" s="41" t="n">
        <x:v>0.292517</x:v>
      </x:c>
      <x:c r="G140" s="41" t="n">
        <x:v>14.8837</x:v>
      </x:c>
      <x:c r="H140" s="41" t="n">
        <x:v>6.8025</x:v>
      </x:c>
      <x:c r="I140" s="41" t="n">
        <x:v>8.0813</x:v>
      </x:c>
      <x:c r="J140" s="41" t="n">
        <x:v>-36.0406</x:v>
      </x:c>
      <x:c r="K140" s="41" t="n">
        <x:v>-56.4737</x:v>
      </x:c>
      <x:c r="L140" s="41" t="n">
        <x:v>20.433</x:v>
      </x:c>
      <x:c r="M140" s="41" t="n">
        <x:v>4364.6722</x:v>
      </x:c>
      <x:c r="N140" s="41" t="n">
        <x:v>506.0574</x:v>
      </x:c>
      <x:c r="O140" s="41" t="n">
        <x:v>5492</x:v>
      </x:c>
      <x:c r="P140" s="41" t="str">
        <x:v>1999-01-04</x:v>
      </x:c>
      <x:c r="Q140" s="41" t="str">
        <x:v>2026-05-22</x:v>
      </x:c>
    </x:row>
    <x:row r="141">
      <x:c r="A141" s="41" t="n">
        <x:v>140</x:v>
      </x:c>
      <x:c r="B141" s="41" t="str">
        <x:v>HYP_REFINE_AUTO002_TOPN_6_V1_DDGRID_LONG_R12_C24_E75_CR42_REDD_RECOVERED_DD8_SL22</x:v>
      </x:c>
      <x:c r="C141" s="41" t="str">
        <x:v>dd_guard_grid</x:v>
      </x:c>
      <x:c r="D141" s="41" t="n">
        <x:v>0.412873</x:v>
      </x:c>
      <x:c r="E141" s="41" t="n">
        <x:v>0.120454</x:v>
      </x:c>
      <x:c r="F141" s="41" t="n">
        <x:v>0.292419</x:v>
      </x:c>
      <x:c r="G141" s="41" t="n">
        <x:v>14.348</x:v>
      </x:c>
      <x:c r="H141" s="41" t="n">
        <x:v>6.8025</x:v>
      </x:c>
      <x:c r="I141" s="41" t="n">
        <x:v>7.5455</x:v>
      </x:c>
      <x:c r="J141" s="41" t="n">
        <x:v>-34.7516</x:v>
      </x:c>
      <x:c r="K141" s="41" t="n">
        <x:v>-56.4737</x:v>
      </x:c>
      <x:c r="L141" s="41" t="n">
        <x:v>21.7221</x:v>
      </x:c>
      <x:c r="M141" s="41" t="n">
        <x:v>3828.3469</x:v>
      </x:c>
      <x:c r="N141" s="41" t="n">
        <x:v>506.0574</x:v>
      </x:c>
      <x:c r="O141" s="41" t="n">
        <x:v>5186</x:v>
      </x:c>
      <x:c r="P141" s="41" t="str">
        <x:v>1999-01-04</x:v>
      </x:c>
      <x:c r="Q141" s="41" t="str">
        <x:v>2026-05-22</x:v>
      </x:c>
    </x:row>
    <x:row r="142">
      <x:c r="A142" s="41" t="n">
        <x:v>141</x:v>
      </x:c>
      <x:c r="B142" s="41" t="str">
        <x:v>HYP_REFINE_AUTO002_TOPN_6_V1_DDGRID_EXT_R12_C24_E66_CR33_REDD_RECOVERED_DD8_SL20</x:v>
      </x:c>
      <x:c r="C142" s="41" t="str">
        <x:v>dd_guard_grid</x:v>
      </x:c>
      <x:c r="D142" s="41" t="n">
        <x:v>0.412794</x:v>
      </x:c>
      <x:c r="E142" s="41" t="n">
        <x:v>0.120454</x:v>
      </x:c>
      <x:c r="F142" s="41" t="n">
        <x:v>0.29234</x:v>
      </x:c>
      <x:c r="G142" s="41" t="n">
        <x:v>13.2185</x:v>
      </x:c>
      <x:c r="H142" s="41" t="n">
        <x:v>6.8025</x:v>
      </x:c>
      <x:c r="I142" s="41" t="n">
        <x:v>6.416</x:v>
      </x:c>
      <x:c r="J142" s="41" t="n">
        <x:v>-32.0219</x:v>
      </x:c>
      <x:c r="K142" s="41" t="n">
        <x:v>-56.4737</x:v>
      </x:c>
      <x:c r="L142" s="41" t="n">
        <x:v>24.4517</x:v>
      </x:c>
      <x:c r="M142" s="41" t="n">
        <x:v>2893.4574</x:v>
      </x:c>
      <x:c r="N142" s="41" t="n">
        <x:v>506.0574</x:v>
      </x:c>
      <x:c r="O142" s="41" t="n">
        <x:v>5521</x:v>
      </x:c>
      <x:c r="P142" s="41" t="str">
        <x:v>1999-01-04</x:v>
      </x:c>
      <x:c r="Q142" s="41" t="str">
        <x:v>2026-05-22</x:v>
      </x:c>
    </x:row>
    <x:row r="143">
      <x:c r="A143" s="41" t="n">
        <x:v>142</x:v>
      </x:c>
      <x:c r="B143" s="41" t="str">
        <x:v>HYP_REFINE_AUTO002_TOPN_6_V1_DDGRID_LONG_R12_C21_E70_CR40_REDD_RECOVERED_DD8_SL20</x:v>
      </x:c>
      <x:c r="C143" s="41" t="str">
        <x:v>dd_guard_grid</x:v>
      </x:c>
      <x:c r="D143" s="41" t="n">
        <x:v>0.412678</x:v>
      </x:c>
      <x:c r="E143" s="41" t="n">
        <x:v>0.120454</x:v>
      </x:c>
      <x:c r="F143" s="41" t="n">
        <x:v>0.292224</x:v>
      </x:c>
      <x:c r="G143" s="41" t="n">
        <x:v>13.2874</x:v>
      </x:c>
      <x:c r="H143" s="41" t="n">
        <x:v>6.8025</x:v>
      </x:c>
      <x:c r="I143" s="41" t="n">
        <x:v>6.485</x:v>
      </x:c>
      <x:c r="J143" s="41" t="n">
        <x:v>-32.1981</x:v>
      </x:c>
      <x:c r="K143" s="41" t="n">
        <x:v>-56.4737</x:v>
      </x:c>
      <x:c r="L143" s="41" t="n">
        <x:v>24.2756</x:v>
      </x:c>
      <x:c r="M143" s="41" t="n">
        <x:v>2943.7898</x:v>
      </x:c>
      <x:c r="N143" s="41" t="n">
        <x:v>506.0574</x:v>
      </x:c>
      <x:c r="O143" s="41" t="n">
        <x:v>5674</x:v>
      </x:c>
      <x:c r="P143" s="41" t="str">
        <x:v>1999-01-04</x:v>
      </x:c>
      <x:c r="Q143" s="41" t="str">
        <x:v>2026-05-22</x:v>
      </x:c>
    </x:row>
    <x:row r="144">
      <x:c r="A144" s="41" t="n">
        <x:v>143</x:v>
      </x:c>
      <x:c r="B144" s="41" t="str">
        <x:v>HYP_REFINE_AUTO002_TOPN_6_V1_DDGRID_LONG_R12_C23_E72_CR40_REDD_RECOVERED_DD8_SL20</x:v>
      </x:c>
      <x:c r="C144" s="41" t="str">
        <x:v>dd_guard_grid</x:v>
      </x:c>
      <x:c r="D144" s="41" t="n">
        <x:v>0.41263</x:v>
      </x:c>
      <x:c r="E144" s="41" t="n">
        <x:v>0.120454</x:v>
      </x:c>
      <x:c r="F144" s="41" t="n">
        <x:v>0.292176</x:v>
      </x:c>
      <x:c r="G144" s="41" t="n">
        <x:v>13.707</x:v>
      </x:c>
      <x:c r="H144" s="41" t="n">
        <x:v>6.8025</x:v>
      </x:c>
      <x:c r="I144" s="41" t="n">
        <x:v>6.9045</x:v>
      </x:c>
      <x:c r="J144" s="41" t="n">
        <x:v>-33.2185</x:v>
      </x:c>
      <x:c r="K144" s="41" t="n">
        <x:v>-56.4737</x:v>
      </x:c>
      <x:c r="L144" s="41" t="n">
        <x:v>23.2552</x:v>
      </x:c>
      <x:c r="M144" s="41" t="n">
        <x:v>3267.9496</x:v>
      </x:c>
      <x:c r="N144" s="41" t="n">
        <x:v>506.0574</x:v>
      </x:c>
      <x:c r="O144" s="41" t="n">
        <x:v>5671</x:v>
      </x:c>
      <x:c r="P144" s="41" t="str">
        <x:v>1999-01-04</x:v>
      </x:c>
      <x:c r="Q144" s="41" t="str">
        <x:v>2026-05-22</x:v>
      </x:c>
    </x:row>
    <x:row r="145">
      <x:c r="A145" s="41" t="n">
        <x:v>144</x:v>
      </x:c>
      <x:c r="B145" s="41" t="str">
        <x:v>HYP_REFINE_AUTO002_TOPN_6_V1_DDGRID_LONG_R12_C22_E75_CR50_REDD_RECOVERED_DD7_SL18</x:v>
      </x:c>
      <x:c r="C145" s="41" t="str">
        <x:v>dd_guard_grid</x:v>
      </x:c>
      <x:c r="D145" s="41" t="n">
        <x:v>0.412621</x:v>
      </x:c>
      <x:c r="E145" s="41" t="n">
        <x:v>0.120454</x:v>
      </x:c>
      <x:c r="F145" s="41" t="n">
        <x:v>0.292167</x:v>
      </x:c>
      <x:c r="G145" s="41" t="n">
        <x:v>14.0072</x:v>
      </x:c>
      <x:c r="H145" s="41" t="n">
        <x:v>6.8025</x:v>
      </x:c>
      <x:c r="I145" s="41" t="n">
        <x:v>7.2047</x:v>
      </x:c>
      <x:c r="J145" s="41" t="n">
        <x:v>-33.9468</x:v>
      </x:c>
      <x:c r="K145" s="41" t="n">
        <x:v>-56.4737</x:v>
      </x:c>
      <x:c r="L145" s="41" t="n">
        <x:v>22.5268</x:v>
      </x:c>
      <x:c r="M145" s="41" t="n">
        <x:v>3520.0836</x:v>
      </x:c>
      <x:c r="N145" s="41" t="n">
        <x:v>506.0574</x:v>
      </x:c>
      <x:c r="O145" s="41" t="n">
        <x:v>5383</x:v>
      </x:c>
      <x:c r="P145" s="41" t="str">
        <x:v>1999-01-04</x:v>
      </x:c>
      <x:c r="Q145" s="41" t="str">
        <x:v>2026-05-22</x:v>
      </x:c>
    </x:row>
    <x:row r="146">
      <x:c r="A146" s="41" t="n">
        <x:v>145</x:v>
      </x:c>
      <x:c r="B146" s="41" t="str">
        <x:v>HYP_REFINE_AUTO002_TOPN_6_V1_DDGRID_CHEAP_R12_C22_E75_CR40_REDD_RECOVERED_DD8_SL18</x:v>
      </x:c>
      <x:c r="C146" s="41" t="str">
        <x:v>dd_guard_grid</x:v>
      </x:c>
      <x:c r="D146" s="41" t="n">
        <x:v>0.412488</x:v>
      </x:c>
      <x:c r="E146" s="41" t="n">
        <x:v>0.120454</x:v>
      </x:c>
      <x:c r="F146" s="41" t="n">
        <x:v>0.292035</x:v>
      </x:c>
      <x:c r="G146" s="41" t="n">
        <x:v>13.0895</x:v>
      </x:c>
      <x:c r="H146" s="41" t="n">
        <x:v>6.8025</x:v>
      </x:c>
      <x:c r="I146" s="41" t="n">
        <x:v>6.287</x:v>
      </x:c>
      <x:c r="J146" s="41" t="n">
        <x:v>-31.733</x:v>
      </x:c>
      <x:c r="K146" s="41" t="n">
        <x:v>-56.4737</x:v>
      </x:c>
      <x:c r="L146" s="41" t="n">
        <x:v>24.7407</x:v>
      </x:c>
      <x:c r="M146" s="41" t="n">
        <x:v>2801.49</x:v>
      </x:c>
      <x:c r="N146" s="41" t="n">
        <x:v>506.0574</x:v>
      </x:c>
      <x:c r="O146" s="41" t="n">
        <x:v>5768</x:v>
      </x:c>
      <x:c r="P146" s="41" t="str">
        <x:v>1999-01-04</x:v>
      </x:c>
      <x:c r="Q146" s="41" t="str">
        <x:v>2026-05-22</x:v>
      </x:c>
    </x:row>
    <x:row r="147">
      <x:c r="A147" s="41" t="n">
        <x:v>146</x:v>
      </x:c>
      <x:c r="B147" s="41" t="str">
        <x:v>HYP_REFINE_AUTO002_TOPN_6_V1_DDGRID_LONG_R12_C22_E75_CR40_REDD_RECOVERED_DD8_SL18</x:v>
      </x:c>
      <x:c r="C147" s="41" t="str">
        <x:v>dd_guard_grid</x:v>
      </x:c>
      <x:c r="D147" s="41" t="n">
        <x:v>0.412488</x:v>
      </x:c>
      <x:c r="E147" s="41" t="n">
        <x:v>0.120454</x:v>
      </x:c>
      <x:c r="F147" s="41" t="n">
        <x:v>0.292035</x:v>
      </x:c>
      <x:c r="G147" s="41" t="n">
        <x:v>13.0895</x:v>
      </x:c>
      <x:c r="H147" s="41" t="n">
        <x:v>6.8025</x:v>
      </x:c>
      <x:c r="I147" s="41" t="n">
        <x:v>6.287</x:v>
      </x:c>
      <x:c r="J147" s="41" t="n">
        <x:v>-31.733</x:v>
      </x:c>
      <x:c r="K147" s="41" t="n">
        <x:v>-56.4737</x:v>
      </x:c>
      <x:c r="L147" s="41" t="n">
        <x:v>24.7407</x:v>
      </x:c>
      <x:c r="M147" s="41" t="n">
        <x:v>2801.49</x:v>
      </x:c>
      <x:c r="N147" s="41" t="n">
        <x:v>506.0574</x:v>
      </x:c>
      <x:c r="O147" s="41" t="n">
        <x:v>5768</x:v>
      </x:c>
      <x:c r="P147" s="41" t="str">
        <x:v>1999-01-04</x:v>
      </x:c>
      <x:c r="Q147" s="41" t="str">
        <x:v>2026-05-22</x:v>
      </x:c>
    </x:row>
    <x:row r="148">
      <x:c r="A148" s="41" t="n">
        <x:v>147</x:v>
      </x:c>
      <x:c r="B148" s="41" t="str">
        <x:v>HYP_REFINE_AUTO002_TOPN_6_V1_DDGRID_LONG_R12_C20_E72_CR40_REDD_RECOVERED_DD8_SL20</x:v>
      </x:c>
      <x:c r="C148" s="41" t="str">
        <x:v>dd_guard_grid</x:v>
      </x:c>
      <x:c r="D148" s="41" t="n">
        <x:v>0.412444</x:v>
      </x:c>
      <x:c r="E148" s="41" t="n">
        <x:v>0.120454</x:v>
      </x:c>
      <x:c r="F148" s="41" t="n">
        <x:v>0.29199</x:v>
      </x:c>
      <x:c r="G148" s="41" t="n">
        <x:v>12.9384</x:v>
      </x:c>
      <x:c r="H148" s="41" t="n">
        <x:v>6.8025</x:v>
      </x:c>
      <x:c r="I148" s="41" t="n">
        <x:v>6.136</x:v>
      </x:c>
      <x:c r="J148" s="41" t="n">
        <x:v>-31.3702</x:v>
      </x:c>
      <x:c r="K148" s="41" t="n">
        <x:v>-56.4737</x:v>
      </x:c>
      <x:c r="L148" s="41" t="n">
        <x:v>25.1035</x:v>
      </x:c>
      <x:c r="M148" s="41" t="n">
        <x:v>2697.2316</x:v>
      </x:c>
      <x:c r="N148" s="41" t="n">
        <x:v>506.0574</x:v>
      </x:c>
      <x:c r="O148" s="41" t="n">
        <x:v>5582</x:v>
      </x:c>
      <x:c r="P148" s="41" t="str">
        <x:v>1999-01-04</x:v>
      </x:c>
      <x:c r="Q148" s="41" t="str">
        <x:v>2026-05-22</x:v>
      </x:c>
    </x:row>
    <x:row r="149">
      <x:c r="A149" s="41" t="n">
        <x:v>148</x:v>
      </x:c>
      <x:c r="B149" s="41" t="str">
        <x:v>HYP_DD_FIRST_AUTO002_DYN_EXPOSURE_65_55_45_25_V1</x:v>
      </x:c>
      <x:c r="C149" s="41" t="str">
        <x:v>dd_first_drawdown_control</x:v>
      </x:c>
      <x:c r="D149" s="41" t="n">
        <x:v>0.412354</x:v>
      </x:c>
      <x:c r="E149" s="41" t="n">
        <x:v>0.120454</x:v>
      </x:c>
      <x:c r="F149" s="41" t="n">
        <x:v>0.2919</x:v>
      </x:c>
      <x:c r="G149" s="41" t="n">
        <x:v>11.8776</x:v>
      </x:c>
      <x:c r="H149" s="41" t="n">
        <x:v>6.8025</x:v>
      </x:c>
      <x:c r="I149" s="41" t="n">
        <x:v>5.0751</x:v>
      </x:c>
      <x:c r="J149" s="41" t="n">
        <x:v>-28.8044</x:v>
      </x:c>
      <x:c r="K149" s="41" t="n">
        <x:v>-56.4737</x:v>
      </x:c>
      <x:c r="L149" s="41" t="n">
        <x:v>27.6693</x:v>
      </x:c>
      <x:c r="M149" s="41" t="n">
        <x:v>2060.2916</x:v>
      </x:c>
      <x:c r="N149" s="41" t="n">
        <x:v>506.0574</x:v>
      </x:c>
      <x:c r="O149" s="41" t="n">
        <x:v>3852</x:v>
      </x:c>
      <x:c r="P149" s="41" t="str">
        <x:v>1999-01-04</x:v>
      </x:c>
      <x:c r="Q149" s="41" t="str">
        <x:v>2026-05-22</x:v>
      </x:c>
    </x:row>
    <x:row r="150">
      <x:c r="A150" s="41" t="n">
        <x:v>149</x:v>
      </x:c>
      <x:c r="B150" s="41" t="str">
        <x:v>HYP_DD_FIRST_AUTO002_DYN_EXPOSURE_70_55_45_25_V1</x:v>
      </x:c>
      <x:c r="C150" s="41" t="str">
        <x:v>dd_first_drawdown_control</x:v>
      </x:c>
      <x:c r="D150" s="41" t="n">
        <x:v>0.412354</x:v>
      </x:c>
      <x:c r="E150" s="41" t="n">
        <x:v>0.120454</x:v>
      </x:c>
      <x:c r="F150" s="41" t="n">
        <x:v>0.2919</x:v>
      </x:c>
      <x:c r="G150" s="41" t="n">
        <x:v>11.8776</x:v>
      </x:c>
      <x:c r="H150" s="41" t="n">
        <x:v>6.8025</x:v>
      </x:c>
      <x:c r="I150" s="41" t="n">
        <x:v>5.0751</x:v>
      </x:c>
      <x:c r="J150" s="41" t="n">
        <x:v>-28.8044</x:v>
      </x:c>
      <x:c r="K150" s="41" t="n">
        <x:v>-56.4737</x:v>
      </x:c>
      <x:c r="L150" s="41" t="n">
        <x:v>27.6693</x:v>
      </x:c>
      <x:c r="M150" s="41" t="n">
        <x:v>2060.2916</x:v>
      </x:c>
      <x:c r="N150" s="41" t="n">
        <x:v>506.0574</x:v>
      </x:c>
      <x:c r="O150" s="41" t="n">
        <x:v>3852</x:v>
      </x:c>
      <x:c r="P150" s="41" t="str">
        <x:v>1999-01-04</x:v>
      </x:c>
      <x:c r="Q150" s="41" t="str">
        <x:v>2026-05-22</x:v>
      </x:c>
    </x:row>
    <x:row r="151">
      <x:c r="A151" s="41" t="n">
        <x:v>150</x:v>
      </x:c>
      <x:c r="B151" s="41" t="str">
        <x:v>HYP_REFINE_AUTO002_TOPN_6_V1_DDGRID_LONG_R12_C22_E75_CR45_REDD_RECOVERED_DD9_SL20</x:v>
      </x:c>
      <x:c r="C151" s="41" t="str">
        <x:v>dd_guard_grid</x:v>
      </x:c>
      <x:c r="D151" s="41" t="n">
        <x:v>0.41233</x:v>
      </x:c>
      <x:c r="E151" s="41" t="n">
        <x:v>0.120454</x:v>
      </x:c>
      <x:c r="F151" s="41" t="n">
        <x:v>0.291876</x:v>
      </x:c>
      <x:c r="G151" s="41" t="n">
        <x:v>13.9181</x:v>
      </x:c>
      <x:c r="H151" s="41" t="n">
        <x:v>6.8025</x:v>
      </x:c>
      <x:c r="I151" s="41" t="n">
        <x:v>7.1157</x:v>
      </x:c>
      <x:c r="J151" s="41" t="n">
        <x:v>-33.7549</x:v>
      </x:c>
      <x:c r="K151" s="41" t="n">
        <x:v>-56.4737</x:v>
      </x:c>
      <x:c r="L151" s="41" t="n">
        <x:v>22.7188</x:v>
      </x:c>
      <x:c r="M151" s="41" t="n">
        <x:v>3443.4596</x:v>
      </x:c>
      <x:c r="N151" s="41" t="n">
        <x:v>506.0574</x:v>
      </x:c>
      <x:c r="O151" s="41" t="n">
        <x:v>5221</x:v>
      </x:c>
      <x:c r="P151" s="41" t="str">
        <x:v>1999-01-04</x:v>
      </x:c>
      <x:c r="Q151" s="41" t="str">
        <x:v>2026-05-22</x:v>
      </x:c>
    </x:row>
  </x:sheetData>
  <x:conditionalFormatting sqref="F2:F151">
    <x:cfRule type="dataBar" priority="1">
      <x:dataBar>
        <x:cfvo type="min"/>
        <x:cfvo type="max"/>
        <x:color rgb="FF63A375"/>
      </x:dataBar>
      <x:extLst>
        <x:ext xmlns:x14="http://schemas.microsoft.com/office/spreadsheetml/2009/9/main" uri="{B025F937-C7B1-47D3-B67F-A62EFF666E3E}">
          <x14:id>{FBCA0F41-F177-D5E7-991E-AEFBD5F24AD6}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5f7b41282804d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CA0F41-F177-D5E7-991E-AEFBD5F24AD6}">
            <x14:dataBar gradient="1">
              <x14:cfvo type="min"/>
              <x14:cfvo type="max"/>
              <x14:fillColor rgb="FF63A375"/>
            </x14:dataBar>
          </x14:cfRule>
          <xm:sqref>F2:F151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40" t="str">
        <x:v>Family</x:v>
      </x:c>
      <x:c r="B1" s="40" t="str">
        <x:v>Count</x:v>
      </x:c>
      <x:c r="C1" s="40" t="str">
        <x:v>Winner Weekly</x:v>
      </x:c>
      <x:c r="D1" s="40" t="str">
        <x:v>Winner No weekly</x:v>
      </x:c>
      <x:c r="E1" s="40" t="str">
        <x:v>Winner SPY</x:v>
      </x:c>
      <x:c r="F1" s="40" t="str">
        <x:v>Weekly beats SPY score</x:v>
      </x:c>
      <x:c r="G1" s="40" t="str">
        <x:v>No weekly beats SPY score</x:v>
      </x:c>
      <x:c r="H1" s="40" t="str">
        <x:v>Avg Weekly Score Edge</x:v>
      </x:c>
      <x:c r="I1" s="40" t="str">
        <x:v>Avg No weekly Score Edge</x:v>
      </x:c>
      <x:c r="J1" s="40" t="str">
        <x:v>Avg Weekly Excess CAGR %</x:v>
      </x:c>
      <x:c r="K1" s="40" t="str">
        <x:v>Avg No weekly Excess CAGR %</x:v>
      </x:c>
      <x:c r="L1" s="40" t="str">
        <x:v>Avg Weekly Score</x:v>
      </x:c>
      <x:c r="M1" s="40" t="str">
        <x:v>Avg Original Score</x:v>
      </x:c>
      <x:c r="N1" s="40" t="str">
        <x:v>Avg SPY Score</x:v>
      </x:c>
    </x:row>
    <x:row r="2">
      <x:c r="A2" s="41" t="str">
        <x:v>dd_guard_grid</x:v>
      </x:c>
      <x:c r="B2" s="41" t="n">
        <x:v>790</x:v>
      </x:c>
      <x:c r="C2" s="41" t="n">
        <x:v>760</x:v>
      </x:c>
      <x:c r="D2" s="41" t="n">
        <x:v>26</x:v>
      </x:c>
      <x:c r="E2" s="41" t="n">
        <x:v>4</x:v>
      </x:c>
      <x:c r="F2" s="41" t="n">
        <x:v>786</x:v>
      </x:c>
      <x:c r="G2" s="41" t="n">
        <x:v>786</x:v>
      </x:c>
      <x:c r="H2" s="41" t="n">
        <x:v>0.3204</x:v>
      </x:c>
      <x:c r="I2" s="41" t="n">
        <x:v>0.2538</x:v>
      </x:c>
      <x:c r="J2" s="41" t="n">
        <x:v>6.3</x:v>
      </x:c>
      <x:c r="K2" s="41" t="n">
        <x:v>5.83</x:v>
      </x:c>
      <x:c r="L2" s="41" t="n">
        <x:v>0.4409</x:v>
      </x:c>
      <x:c r="M2" s="41" t="n">
        <x:v>0.3742</x:v>
      </x:c>
      <x:c r="N2" s="41" t="n">
        <x:v>0.1205</x:v>
      </x:c>
    </x:row>
    <x:row r="3">
      <x:c r="A3" s="41" t="str">
        <x:v>strict_longrun_ddgrid</x:v>
      </x:c>
      <x:c r="B3" s="41" t="n">
        <x:v>103</x:v>
      </x:c>
      <x:c r="C3" s="41" t="n">
        <x:v>70</x:v>
      </x:c>
      <x:c r="D3" s="41" t="n">
        <x:v>33</x:v>
      </x:c>
      <x:c r="E3" s="41" t="n">
        <x:v>0</x:v>
      </x:c>
      <x:c r="F3" s="41" t="n">
        <x:v>103</x:v>
      </x:c>
      <x:c r="G3" s="41" t="n">
        <x:v>103</x:v>
      </x:c>
      <x:c r="H3" s="41" t="n">
        <x:v>0.2715</x:v>
      </x:c>
      <x:c r="I3" s="41" t="n">
        <x:v>0.2529</x:v>
      </x:c>
      <x:c r="J3" s="41" t="n">
        <x:v>5</x:v>
      </x:c>
      <x:c r="K3" s="41" t="n">
        <x:v>5.43</x:v>
      </x:c>
      <x:c r="L3" s="41" t="n">
        <x:v>0.3919</x:v>
      </x:c>
      <x:c r="M3" s="41" t="n">
        <x:v>0.3733</x:v>
      </x:c>
      <x:c r="N3" s="41" t="n">
        <x:v>0.1205</x:v>
      </x:c>
    </x:row>
    <x:row r="4">
      <x:c r="A4" s="41" t="str">
        <x:v>dd20_adaptive_research</x:v>
      </x:c>
      <x:c r="B4" s="41" t="n">
        <x:v>43</x:v>
      </x:c>
      <x:c r="C4" s="41" t="n">
        <x:v>1</x:v>
      </x:c>
      <x:c r="D4" s="41" t="n">
        <x:v>40</x:v>
      </x:c>
      <x:c r="E4" s="41" t="n">
        <x:v>2</x:v>
      </x:c>
      <x:c r="F4" s="41" t="n">
        <x:v>29</x:v>
      </x:c>
      <x:c r="G4" s="41" t="n">
        <x:v>41</x:v>
      </x:c>
      <x:c r="H4" s="41" t="n">
        <x:v>0.1386</x:v>
      </x:c>
      <x:c r="I4" s="41" t="n">
        <x:v>0.3674</x:v>
      </x:c>
      <x:c r="J4" s="41" t="n">
        <x:v>-1.13</x:v>
      </x:c>
      <x:c r="K4" s="41" t="n">
        <x:v>2.76</x:v>
      </x:c>
      <x:c r="L4" s="41" t="n">
        <x:v>0.259</x:v>
      </x:c>
      <x:c r="M4" s="41" t="n">
        <x:v>0.4879</x:v>
      </x:c>
      <x:c r="N4" s="41" t="n">
        <x:v>0.1205</x:v>
      </x:c>
    </x:row>
    <x:row r="5">
      <x:c r="A5" s="41" t="str">
        <x:v>dd_first_drawdown_control</x:v>
      </x:c>
      <x:c r="B5" s="41" t="n">
        <x:v>40</x:v>
      </x:c>
      <x:c r="C5" s="41" t="n">
        <x:v>1</x:v>
      </x:c>
      <x:c r="D5" s="41" t="n">
        <x:v>39</x:v>
      </x:c>
      <x:c r="E5" s="41" t="n">
        <x:v>0</x:v>
      </x:c>
      <x:c r="F5" s="41" t="n">
        <x:v>40</x:v>
      </x:c>
      <x:c r="G5" s="41" t="n">
        <x:v>40</x:v>
      </x:c>
      <x:c r="H5" s="41" t="n">
        <x:v>0.1861</x:v>
      </x:c>
      <x:c r="I5" s="41" t="n">
        <x:v>0.2919</x:v>
      </x:c>
      <x:c r="J5" s="41" t="n">
        <x:v>4.03</x:v>
      </x:c>
      <x:c r="K5" s="41" t="n">
        <x:v>11.28</x:v>
      </x:c>
      <x:c r="L5" s="41" t="n">
        <x:v>0.3066</x:v>
      </x:c>
      <x:c r="M5" s="41" t="n">
        <x:v>0.4123</x:v>
      </x:c>
      <x:c r="N5" s="41" t="n">
        <x:v>0.1205</x:v>
      </x:c>
    </x:row>
    <x:row r="6">
      <x:c r="A6" s="41" t="str">
        <x:v>cross_sectional_momentum</x:v>
      </x:c>
      <x:c r="B6" s="41" t="n">
        <x:v>20</x:v>
      </x:c>
      <x:c r="C6" s="41" t="n">
        <x:v>0</x:v>
      </x:c>
      <x:c r="D6" s="41" t="n">
        <x:v>20</x:v>
      </x:c>
      <x:c r="E6" s="41" t="n">
        <x:v>0</x:v>
      </x:c>
      <x:c r="F6" s="41" t="n">
        <x:v>20</x:v>
      </x:c>
      <x:c r="G6" s="41" t="n">
        <x:v>20</x:v>
      </x:c>
      <x:c r="H6" s="41" t="n">
        <x:v>0.1836</x:v>
      </x:c>
      <x:c r="I6" s="41" t="n">
        <x:v>0.3248</x:v>
      </x:c>
      <x:c r="J6" s="41" t="n">
        <x:v>5.25</x:v>
      </x:c>
      <x:c r="K6" s="41" t="n">
        <x:v>19.73</x:v>
      </x:c>
      <x:c r="L6" s="41" t="n">
        <x:v>0.304</x:v>
      </x:c>
      <x:c r="M6" s="41" t="n">
        <x:v>0.4453</x:v>
      </x:c>
      <x:c r="N6" s="41" t="n">
        <x:v>0.1205</x:v>
      </x:c>
    </x:row>
    <x:row r="7">
      <x:c r="A7" s="41" t="str">
        <x:v>dd20_spy_consistency_repair</x:v>
      </x:c>
      <x:c r="B7" s="41" t="n">
        <x:v>10</x:v>
      </x:c>
      <x:c r="C7" s="41" t="n">
        <x:v>8</x:v>
      </x:c>
      <x:c r="D7" s="41" t="n">
        <x:v>1</x:v>
      </x:c>
      <x:c r="E7" s="41" t="n">
        <x:v>1</x:v>
      </x:c>
      <x:c r="F7" s="41" t="n">
        <x:v>8</x:v>
      </x:c>
      <x:c r="G7" s="41" t="n">
        <x:v>9</x:v>
      </x:c>
      <x:c r="H7" s="41" t="n">
        <x:v>0.2296</x:v>
      </x:c>
      <x:c r="I7" s="41" t="n">
        <x:v>0.2288</x:v>
      </x:c>
      <x:c r="J7" s="41" t="n">
        <x:v>0.31</x:v>
      </x:c>
      <x:c r="K7" s="41" t="n">
        <x:v>-0.59</x:v>
      </x:c>
      <x:c r="L7" s="41" t="n">
        <x:v>0.3501</x:v>
      </x:c>
      <x:c r="M7" s="41" t="n">
        <x:v>0.3492</x:v>
      </x:c>
      <x:c r="N7" s="41" t="n">
        <x:v>0.1205</x:v>
      </x:c>
    </x:row>
    <x:row r="8">
      <x:c r="A8" s="41" t="str">
        <x:v>dd20_spy_beater</x:v>
      </x:c>
      <x:c r="B8" s="41" t="n">
        <x:v>10</x:v>
      </x:c>
      <x:c r="C8" s="41" t="n">
        <x:v>3</x:v>
      </x:c>
      <x:c r="D8" s="41" t="n">
        <x:v>6</x:v>
      </x:c>
      <x:c r="E8" s="41" t="n">
        <x:v>1</x:v>
      </x:c>
      <x:c r="F8" s="41" t="n">
        <x:v>8</x:v>
      </x:c>
      <x:c r="G8" s="41" t="n">
        <x:v>9</x:v>
      </x:c>
      <x:c r="H8" s="41" t="n">
        <x:v>0.2037</x:v>
      </x:c>
      <x:c r="I8" s="41" t="n">
        <x:v>0.2102</x:v>
      </x:c>
      <x:c r="J8" s="41" t="n">
        <x:v>-0.35</x:v>
      </x:c>
      <x:c r="K8" s="41" t="n">
        <x:v>0.92</x:v>
      </x:c>
      <x:c r="L8" s="41" t="n">
        <x:v>0.3241</x:v>
      </x:c>
      <x:c r="M8" s="41" t="n">
        <x:v>0.3306</x:v>
      </x:c>
      <x:c r="N8" s="41" t="n">
        <x:v>0.1205</x:v>
      </x:c>
    </x:row>
    <x:row r="9">
      <x:c r="A9" s="41" t="str">
        <x:v>dd20_stop_trailing_repair</x:v>
      </x:c>
      <x:c r="B9" s="41" t="n">
        <x:v>10</x:v>
      </x:c>
      <x:c r="C9" s="41" t="n">
        <x:v>0</x:v>
      </x:c>
      <x:c r="D9" s="41" t="n">
        <x:v>5</x:v>
      </x:c>
      <x:c r="E9" s="41" t="n">
        <x:v>5</x:v>
      </x:c>
      <x:c r="F9" s="41" t="n">
        <x:v>1</x:v>
      </x:c>
      <x:c r="G9" s="41" t="n">
        <x:v>5</x:v>
      </x:c>
      <x:c r="H9" s="41" t="n">
        <x:v>-0.0814</x:v>
      </x:c>
      <x:c r="I9" s="41" t="n">
        <x:v>0.0861</x:v>
      </x:c>
      <x:c r="J9" s="41" t="n">
        <x:v>-5.86</x:v>
      </x:c>
      <x:c r="K9" s="41" t="n">
        <x:v>-2.64</x:v>
      </x:c>
      <x:c r="L9" s="41" t="n">
        <x:v>0.0391</x:v>
      </x:c>
      <x:c r="M9" s="41" t="n">
        <x:v>0.2066</x:v>
      </x:c>
      <x:c r="N9" s="41" t="n">
        <x:v>0.1205</x:v>
      </x:c>
    </x:row>
    <x:row r="10">
      <x:c r="A10" s="41" t="str">
        <x:v>feature_space_composite_exit</x:v>
      </x:c>
      <x:c r="B10" s="41" t="n">
        <x:v>4</x:v>
      </x:c>
      <x:c r="C10" s="41" t="n">
        <x:v>0</x:v>
      </x:c>
      <x:c r="D10" s="41" t="n">
        <x:v>4</x:v>
      </x:c>
      <x:c r="E10" s="41" t="n">
        <x:v>0</x:v>
      </x:c>
      <x:c r="F10" s="41" t="n">
        <x:v>4</x:v>
      </x:c>
      <x:c r="G10" s="41" t="n">
        <x:v>4</x:v>
      </x:c>
      <x:c r="H10" s="41" t="n">
        <x:v>0.1786</x:v>
      </x:c>
      <x:c r="I10" s="41" t="n">
        <x:v>0.3169</x:v>
      </x:c>
      <x:c r="J10" s="41" t="n">
        <x:v>5.34</x:v>
      </x:c>
      <x:c r="K10" s="41" t="n">
        <x:v>23.41</x:v>
      </x:c>
      <x:c r="L10" s="41" t="n">
        <x:v>0.299</x:v>
      </x:c>
      <x:c r="M10" s="41" t="n">
        <x:v>0.4374</x:v>
      </x:c>
      <x:c r="N10" s="41" t="n">
        <x:v>0.1205</x:v>
      </x:c>
    </x:row>
    <x:row r="11">
      <x:c r="A11" s="41" t="str">
        <x:v>trend_following</x:v>
      </x:c>
      <x:c r="B11" s="41" t="n">
        <x:v>2</x:v>
      </x:c>
      <x:c r="C11" s="41" t="n">
        <x:v>1</x:v>
      </x:c>
      <x:c r="D11" s="41" t="n">
        <x:v>1</x:v>
      </x:c>
      <x:c r="E11" s="41" t="n">
        <x:v>0</x:v>
      </x:c>
      <x:c r="F11" s="41" t="n">
        <x:v>2</x:v>
      </x:c>
      <x:c r="G11" s="41" t="n">
        <x:v>2</x:v>
      </x:c>
      <x:c r="H11" s="41" t="n">
        <x:v>0.3033</x:v>
      </x:c>
      <x:c r="I11" s="41" t="n">
        <x:v>0.2815</x:v>
      </x:c>
      <x:c r="J11" s="41" t="n">
        <x:v>9.26</x:v>
      </x:c>
      <x:c r="K11" s="41" t="n">
        <x:v>15.41</x:v>
      </x:c>
      <x:c r="L11" s="41" t="n">
        <x:v>0.4238</x:v>
      </x:c>
      <x:c r="M11" s="41" t="n">
        <x:v>0.402</x:v>
      </x:c>
      <x:c r="N11" s="41" t="n">
        <x:v>0.1205</x:v>
      </x:c>
    </x:row>
    <x:row r="12">
      <x:c r="A12" s="41" t="str">
        <x:v>paper_low_vol_momentum</x:v>
      </x:c>
      <x:c r="B12" s="41" t="n">
        <x:v>1</x:v>
      </x:c>
      <x:c r="C12" s="41" t="n">
        <x:v>0</x:v>
      </x:c>
      <x:c r="D12" s="41" t="n">
        <x:v>1</x:v>
      </x:c>
      <x:c r="E12" s="41" t="n">
        <x:v>0</x:v>
      </x:c>
      <x:c r="F12" s="41" t="n">
        <x:v>1</x:v>
      </x:c>
      <x:c r="G12" s="41" t="n">
        <x:v>1</x:v>
      </x:c>
      <x:c r="H12" s="41" t="n">
        <x:v>0.2027</x:v>
      </x:c>
      <x:c r="I12" s="41" t="n">
        <x:v>0.309</x:v>
      </x:c>
      <x:c r="J12" s="41" t="n">
        <x:v>5.68</x:v>
      </x:c>
      <x:c r="K12" s="41" t="n">
        <x:v>18.49</x:v>
      </x:c>
      <x:c r="L12" s="41" t="n">
        <x:v>0.3231</x:v>
      </x:c>
      <x:c r="M12" s="41" t="n">
        <x:v>0.4294</x:v>
      </x:c>
      <x:c r="N12" s="41" t="n">
        <x:v>0.1205</x:v>
      </x:c>
    </x:row>
    <x:row r="13">
      <x:c r="A13" s="41" t="str">
        <x:v>feature_space_composite_confirmation</x:v>
      </x:c>
      <x:c r="B13" s="41" t="n">
        <x:v>1</x:v>
      </x:c>
      <x:c r="C13" s="41" t="n">
        <x:v>0</x:v>
      </x:c>
      <x:c r="D13" s="41" t="n">
        <x:v>1</x:v>
      </x:c>
      <x:c r="E13" s="41" t="n">
        <x:v>0</x:v>
      </x:c>
      <x:c r="F13" s="41" t="n">
        <x:v>1</x:v>
      </x:c>
      <x:c r="G13" s="41" t="n">
        <x:v>1</x:v>
      </x:c>
      <x:c r="H13" s="41" t="n">
        <x:v>0.1224</x:v>
      </x:c>
      <x:c r="I13" s="41" t="n">
        <x:v>0.2433</x:v>
      </x:c>
      <x:c r="J13" s="41" t="n">
        <x:v>1.75</x:v>
      </x:c>
      <x:c r="K13" s="41" t="n">
        <x:v>13.5</x:v>
      </x:c>
      <x:c r="L13" s="41" t="n">
        <x:v>0.2428</x:v>
      </x:c>
      <x:c r="M13" s="41" t="n">
        <x:v>0.3637</x:v>
      </x:c>
      <x:c r="N13" s="41" t="n">
        <x:v>0.1205</x:v>
      </x:c>
    </x:row>
  </x:sheetData>
  <x:conditionalFormatting sqref="H2:I1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879c78448e45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40" t="str">
        <x:v>Strategy ID</x:v>
      </x:c>
      <x:c r="B1" s="40" t="str">
        <x:v>Family</x:v>
      </x:c>
      <x:c r="C1" s="40" t="str">
        <x:v>Start</x:v>
      </x:c>
      <x:c r="D1" s="40" t="str">
        <x:v>End</x:v>
      </x:c>
      <x:c r="E1" s="40" t="str">
        <x:v>Original CAGR %</x:v>
      </x:c>
      <x:c r="F1" s="40" t="str">
        <x:v>Original Max DD %</x:v>
      </x:c>
      <x:c r="G1" s="40" t="str">
        <x:v>Original Total Return %</x:v>
      </x:c>
      <x:c r="H1" s="40" t="str">
        <x:v>Original Score</x:v>
      </x:c>
      <x:c r="I1" s="40" t="str">
        <x:v>Weekly CAGR %</x:v>
      </x:c>
      <x:c r="J1" s="40" t="str">
        <x:v>Weekly Max DD %</x:v>
      </x:c>
      <x:c r="K1" s="40" t="str">
        <x:v>Weekly Total Return %</x:v>
      </x:c>
      <x:c r="L1" s="40" t="str">
        <x:v>Weekly Score</x:v>
      </x:c>
      <x:c r="M1" s="40" t="str">
        <x:v>SPY CAGR %</x:v>
      </x:c>
      <x:c r="N1" s="40" t="str">
        <x:v>SPY Max DD %</x:v>
      </x:c>
      <x:c r="O1" s="40" t="str">
        <x:v>SPY Total Return %</x:v>
      </x:c>
      <x:c r="P1" s="40" t="str">
        <x:v>SPY Score</x:v>
      </x:c>
      <x:c r="Q1" s="40" t="str">
        <x:v>Winner 3-way</x:v>
      </x:c>
      <x:c r="R1" s="40" t="str">
        <x:v>Weekly Score Edge vs SPY</x:v>
      </x:c>
      <x:c r="S1" s="40" t="str">
        <x:v>Original Score Edge vs SPY</x:v>
      </x:c>
      <x:c r="T1" s="40" t="str">
        <x:v>Weekly Excess CAGR vs SPY %</x:v>
      </x:c>
      <x:c r="U1" s="40" t="str">
        <x:v>Original Excess CAGR vs SPY %</x:v>
      </x:c>
      <x:c r="V1" s="40" t="str">
        <x:v>Weekly CAGR+DD &gt; SPY</x:v>
      </x:c>
      <x:c r="W1" s="40" t="str">
        <x:v>Original CAGR+DD &gt; SPY</x:v>
      </x:c>
      <x:c r="X1" s="40" t="str">
        <x:v>Winner Weekly vs Original</x:v>
      </x:c>
      <x:c r="Y1" s="40" t="str">
        <x:v>Delta CAGR W-O %</x:v>
      </x:c>
      <x:c r="Z1" s="40" t="str">
        <x:v>Delta DD W-O %</x:v>
      </x:c>
      <x:c r="AA1" s="40" t="str">
        <x:v>Weekly Trades</x:v>
      </x:c>
      <x:c r="AB1" s="40" t="str">
        <x:v>Original Trades</x:v>
      </x:c>
    </x:row>
    <x:row r="2">
      <x:c r="A2" s="41" t="str">
        <x:v>HYP_AUTOREFINE_AUTO_002_RANK_RET_52W_PCT_V1</x:v>
      </x:c>
      <x:c r="B2" s="41" t="str">
        <x:v>trend_following</x:v>
      </x:c>
      <x:c r="C2" s="41" t="str">
        <x:v>1999-01-04</x:v>
      </x:c>
      <x:c r="D2" s="41" t="str">
        <x:v>2026-05-22</x:v>
      </x:c>
      <x:c r="E2" s="41" t="n">
        <x:v>25.292058</x:v>
      </x:c>
      <x:c r="F2" s="41" t="n">
        <x:v>-58.89752</x:v>
      </x:c>
      <x:c r="G2" s="41" t="n">
        <x:v>47873.393792</x:v>
      </x:c>
      <x:c r="H2" s="41" t="n">
        <x:f>IFERROR(E2/ABS(F2),"")</x:f>
        <x:v>0.42942483826144123</x:v>
      </x:c>
      <x:c r="I2" s="41" t="n">
        <x:v>12.484666</x:v>
      </x:c>
      <x:c r="J2" s="41" t="n">
        <x:v>-38.639771</x:v>
      </x:c>
      <x:c r="K2" s="41" t="n">
        <x:v>2405.295494</x:v>
      </x:c>
      <x:c r="L2" s="41" t="n">
        <x:f>IFERROR(I2/ABS(J2),"")</x:f>
        <x:v>0.32310403702961904</x:v>
      </x:c>
      <x:c r="M2" s="41" t="n">
        <x:v>6.802475</x:v>
      </x:c>
      <x:c r="N2" s="41" t="n">
        <x:v>-56.473669</x:v>
      </x:c>
      <x:c r="O2" s="41" t="n">
        <x:v>506.057416</x:v>
      </x:c>
      <x:c r="P2" s="41" t="n">
        <x:f>IFERROR(M2/ABS(N2),"")</x:f>
        <x:v>0.12045392340278087</x:v>
      </x:c>
      <x:c r="Q2" s="41" t="str">
        <x:f>IF(L2&gt;=MAX(H2,P2),"Weekly",IF(H2&gt;=MAX(L2,P2),"No weekly","SPY"))</x:f>
        <x:v>No weekly</x:v>
      </x:c>
      <x:c r="R2" s="41" t="n">
        <x:f>IFERROR(L2-P2,"")</x:f>
        <x:v>0.20265011362683816</x:v>
      </x:c>
      <x:c r="S2" s="41" t="n">
        <x:f>IFERROR(H2-P2,"")</x:f>
        <x:v>0.30897091485866035</x:v>
      </x:c>
      <x:c r="T2" s="41" t="n">
        <x:f>IFERROR(I2-M2,"")</x:f>
        <x:v>5.682191</x:v>
      </x:c>
      <x:c r="U2" s="41" t="n">
        <x:f>IFERROR(E2-M2,"")</x:f>
        <x:v>18.489583</x:v>
      </x:c>
      <x:c r="V2" s="41" t="str">
        <x:f>IF(AND(I2&gt;M2,J2&gt;N2),"Sí","No")</x:f>
        <x:v>Sí</x:v>
      </x:c>
      <x:c r="W2" s="41" t="str">
        <x:f>IF(AND(E2&gt;M2,F2&gt;N2),"Sí","No")</x:f>
        <x:v>No</x:v>
      </x:c>
      <x:c r="X2" s="41" t="str">
        <x:f>IF(L2&gt;=H2,"Weekly","No weekly")</x:f>
        <x:v>No weekly</x:v>
      </x:c>
      <x:c r="Y2" s="41" t="n">
        <x:f>IFERROR(I2-E2,"")</x:f>
        <x:v>-12.807392</x:v>
      </x:c>
      <x:c r="Z2" s="41" t="n">
        <x:f>IFERROR(J2-F2,"")</x:f>
        <x:v>20.257748999999997</x:v>
      </x:c>
      <x:c r="AA2" s="41" t="n">
        <x:v>8193</x:v>
      </x:c>
      <x:c r="AB2" s="41" t="n">
        <x:v>3280</x:v>
      </x:c>
    </x:row>
    <x:row r="3">
      <x:c r="A3" s="41" t="str">
        <x:v>HYP_CAN_SLIM_CONCENTRATION_20_V1</x:v>
      </x:c>
      <x:c r="B3" s="41" t="str">
        <x:v>cross_sectional_momentum</x:v>
      </x:c>
      <x:c r="C3" s="41" t="str">
        <x:v>1999-01-04</x:v>
      </x:c>
      <x:c r="D3" s="41" t="str">
        <x:v>2026-05-22</x:v>
      </x:c>
      <x:c r="E3" s="41" t="n">
        <x:v>23.188881</x:v>
      </x:c>
      <x:c r="F3" s="41" t="n">
        <x:v>-56.601468</x:v>
      </x:c>
      <x:c r="G3" s="41" t="n">
        <x:v>30079.551105</x:v>
      </x:c>
      <x:c r="H3" s="41" t="n">
        <x:f>IFERROR(E3/ABS(F3),"")</x:f>
        <x:v>0.40968691836755894</x:v>
      </x:c>
      <x:c r="I3" s="41" t="n">
        <x:v>10.10561</x:v>
      </x:c>
      <x:c r="J3" s="41" t="n">
        <x:v>-37.276062</x:v>
      </x:c>
      <x:c r="K3" s="41" t="n">
        <x:v>1295.340773</x:v>
      </x:c>
      <x:c r="L3" s="41" t="n">
        <x:f>IFERROR(I3/ABS(J3),"")</x:f>
        <x:v>0.2711018669300421</x:v>
      </x:c>
      <x:c r="M3" s="41" t="n">
        <x:v>6.802475</x:v>
      </x:c>
      <x:c r="N3" s="41" t="n">
        <x:v>-56.473669</x:v>
      </x:c>
      <x:c r="O3" s="41" t="n">
        <x:v>506.057416</x:v>
      </x:c>
      <x:c r="P3" s="41" t="n">
        <x:f>IFERROR(M3/ABS(N3),"")</x:f>
        <x:v>0.12045392340278087</x:v>
      </x:c>
      <x:c r="Q3" s="41" t="str">
        <x:f>IF(L3&gt;=MAX(H3,P3),"Weekly",IF(H3&gt;=MAX(L3,P3),"No weekly","SPY"))</x:f>
        <x:v>No weekly</x:v>
      </x:c>
      <x:c r="R3" s="41" t="n">
        <x:f>IFERROR(L3-P3,"")</x:f>
        <x:v>0.15064794352726124</x:v>
      </x:c>
      <x:c r="S3" s="41" t="n">
        <x:f>IFERROR(H3-P3,"")</x:f>
        <x:v>0.28923299496477806</x:v>
      </x:c>
      <x:c r="T3" s="41" t="n">
        <x:f>IFERROR(I3-M3,"")</x:f>
        <x:v>3.303135</x:v>
      </x:c>
      <x:c r="U3" s="41" t="n">
        <x:f>IFERROR(E3-M3,"")</x:f>
        <x:v>16.386405999999997</x:v>
      </x:c>
      <x:c r="V3" s="41" t="str">
        <x:f>IF(AND(I3&gt;M3,J3&gt;N3),"Sí","No")</x:f>
        <x:v>Sí</x:v>
      </x:c>
      <x:c r="W3" s="41" t="str">
        <x:f>IF(AND(E3&gt;M3,F3&gt;N3),"Sí","No")</x:f>
        <x:v>No</x:v>
      </x:c>
      <x:c r="X3" s="41" t="str">
        <x:f>IF(L3&gt;=H3,"Weekly","No weekly")</x:f>
        <x:v>No weekly</x:v>
      </x:c>
      <x:c r="Y3" s="41" t="n">
        <x:f>IFERROR(I3-E3,"")</x:f>
        <x:v>-13.083270999999998</x:v>
      </x:c>
      <x:c r="Z3" s="41" t="n">
        <x:f>IFERROR(J3-F3,"")</x:f>
        <x:v>19.325405999999994</x:v>
      </x:c>
      <x:c r="AA3" s="41" t="n">
        <x:v>11540</x:v>
      </x:c>
      <x:c r="AB3" s="41" t="n">
        <x:v>4350</x:v>
      </x:c>
    </x:row>
    <x:row r="4">
      <x:c r="A4" s="41" t="str">
        <x:v>HYP_CAN_SLIM_CONCENTRATION_20_V2</x:v>
      </x:c>
      <x:c r="B4" s="41" t="str">
        <x:v>cross_sectional_momentum</x:v>
      </x:c>
      <x:c r="C4" s="41" t="str">
        <x:v>1999-01-04</x:v>
      </x:c>
      <x:c r="D4" s="41" t="str">
        <x:v>2026-05-22</x:v>
      </x:c>
      <x:c r="E4" s="41" t="n">
        <x:v>23.188881</x:v>
      </x:c>
      <x:c r="F4" s="41" t="n">
        <x:v>-56.601468</x:v>
      </x:c>
      <x:c r="G4" s="41" t="n">
        <x:v>30079.551105</x:v>
      </x:c>
      <x:c r="H4" s="41" t="n">
        <x:f>IFERROR(E4/ABS(F4),"")</x:f>
        <x:v>0.40968691836755894</x:v>
      </x:c>
      <x:c r="I4" s="41" t="n">
        <x:v>10.10561</x:v>
      </x:c>
      <x:c r="J4" s="41" t="n">
        <x:v>-37.276062</x:v>
      </x:c>
      <x:c r="K4" s="41" t="n">
        <x:v>1295.340773</x:v>
      </x:c>
      <x:c r="L4" s="41" t="n">
        <x:f>IFERROR(I4/ABS(J4),"")</x:f>
        <x:v>0.2711018669300421</x:v>
      </x:c>
      <x:c r="M4" s="41" t="n">
        <x:v>6.802475</x:v>
      </x:c>
      <x:c r="N4" s="41" t="n">
        <x:v>-56.473669</x:v>
      </x:c>
      <x:c r="O4" s="41" t="n">
        <x:v>506.057416</x:v>
      </x:c>
      <x:c r="P4" s="41" t="n">
        <x:f>IFERROR(M4/ABS(N4),"")</x:f>
        <x:v>0.12045392340278087</x:v>
      </x:c>
      <x:c r="Q4" s="41" t="str">
        <x:f>IF(L4&gt;=MAX(H4,P4),"Weekly",IF(H4&gt;=MAX(L4,P4),"No weekly","SPY"))</x:f>
        <x:v>No weekly</x:v>
      </x:c>
      <x:c r="R4" s="41" t="n">
        <x:f>IFERROR(L4-P4,"")</x:f>
        <x:v>0.15064794352726124</x:v>
      </x:c>
      <x:c r="S4" s="41" t="n">
        <x:f>IFERROR(H4-P4,"")</x:f>
        <x:v>0.28923299496477806</x:v>
      </x:c>
      <x:c r="T4" s="41" t="n">
        <x:f>IFERROR(I4-M4,"")</x:f>
        <x:v>3.303135</x:v>
      </x:c>
      <x:c r="U4" s="41" t="n">
        <x:f>IFERROR(E4-M4,"")</x:f>
        <x:v>16.386405999999997</x:v>
      </x:c>
      <x:c r="V4" s="41" t="str">
        <x:f>IF(AND(I4&gt;M4,J4&gt;N4),"Sí","No")</x:f>
        <x:v>Sí</x:v>
      </x:c>
      <x:c r="W4" s="41" t="str">
        <x:f>IF(AND(E4&gt;M4,F4&gt;N4),"Sí","No")</x:f>
        <x:v>No</x:v>
      </x:c>
      <x:c r="X4" s="41" t="str">
        <x:f>IF(L4&gt;=H4,"Weekly","No weekly")</x:f>
        <x:v>No weekly</x:v>
      </x:c>
      <x:c r="Y4" s="41" t="n">
        <x:f>IFERROR(I4-E4,"")</x:f>
        <x:v>-13.083270999999998</x:v>
      </x:c>
      <x:c r="Z4" s="41" t="n">
        <x:f>IFERROR(J4-F4,"")</x:f>
        <x:v>19.325405999999994</x:v>
      </x:c>
      <x:c r="AA4" s="41" t="n">
        <x:v>11540</x:v>
      </x:c>
      <x:c r="AB4" s="41" t="n">
        <x:v>4350</x:v>
      </x:c>
    </x:row>
    <x:row r="5">
      <x:c r="A5" s="41" t="str">
        <x:v>HYP_CAN_SLIM_CONCENTRATION_20_V3</x:v>
      </x:c>
      <x:c r="B5" s="41" t="str">
        <x:v>cross_sectional_momentum</x:v>
      </x:c>
      <x:c r="C5" s="41" t="str">
        <x:v>1999-01-04</x:v>
      </x:c>
      <x:c r="D5" s="41" t="str">
        <x:v>2026-05-22</x:v>
      </x:c>
      <x:c r="E5" s="41" t="n">
        <x:v>23.188881</x:v>
      </x:c>
      <x:c r="F5" s="41" t="n">
        <x:v>-56.601468</x:v>
      </x:c>
      <x:c r="G5" s="41" t="n">
        <x:v>30079.551105</x:v>
      </x:c>
      <x:c r="H5" s="41" t="n">
        <x:f>IFERROR(E5/ABS(F5),"")</x:f>
        <x:v>0.40968691836755894</x:v>
      </x:c>
      <x:c r="I5" s="41" t="n">
        <x:v>10.10561</x:v>
      </x:c>
      <x:c r="J5" s="41" t="n">
        <x:v>-37.276062</x:v>
      </x:c>
      <x:c r="K5" s="41" t="n">
        <x:v>1295.340773</x:v>
      </x:c>
      <x:c r="L5" s="41" t="n">
        <x:f>IFERROR(I5/ABS(J5),"")</x:f>
        <x:v>0.2711018669300421</x:v>
      </x:c>
      <x:c r="M5" s="41" t="n">
        <x:v>6.802475</x:v>
      </x:c>
      <x:c r="N5" s="41" t="n">
        <x:v>-56.473669</x:v>
      </x:c>
      <x:c r="O5" s="41" t="n">
        <x:v>506.057416</x:v>
      </x:c>
      <x:c r="P5" s="41" t="n">
        <x:f>IFERROR(M5/ABS(N5),"")</x:f>
        <x:v>0.12045392340278087</x:v>
      </x:c>
      <x:c r="Q5" s="41" t="str">
        <x:f>IF(L5&gt;=MAX(H5,P5),"Weekly",IF(H5&gt;=MAX(L5,P5),"No weekly","SPY"))</x:f>
        <x:v>No weekly</x:v>
      </x:c>
      <x:c r="R5" s="41" t="n">
        <x:f>IFERROR(L5-P5,"")</x:f>
        <x:v>0.15064794352726124</x:v>
      </x:c>
      <x:c r="S5" s="41" t="n">
        <x:f>IFERROR(H5-P5,"")</x:f>
        <x:v>0.28923299496477806</x:v>
      </x:c>
      <x:c r="T5" s="41" t="n">
        <x:f>IFERROR(I5-M5,"")</x:f>
        <x:v>3.303135</x:v>
      </x:c>
      <x:c r="U5" s="41" t="n">
        <x:f>IFERROR(E5-M5,"")</x:f>
        <x:v>16.386405999999997</x:v>
      </x:c>
      <x:c r="V5" s="41" t="str">
        <x:f>IF(AND(I5&gt;M5,J5&gt;N5),"Sí","No")</x:f>
        <x:v>Sí</x:v>
      </x:c>
      <x:c r="W5" s="41" t="str">
        <x:f>IF(AND(E5&gt;M5,F5&gt;N5),"Sí","No")</x:f>
        <x:v>No</x:v>
      </x:c>
      <x:c r="X5" s="41" t="str">
        <x:f>IF(L5&gt;=H5,"Weekly","No weekly")</x:f>
        <x:v>No weekly</x:v>
      </x:c>
      <x:c r="Y5" s="41" t="n">
        <x:f>IFERROR(I5-E5,"")</x:f>
        <x:v>-13.083270999999998</x:v>
      </x:c>
      <x:c r="Z5" s="41" t="n">
        <x:f>IFERROR(J5-F5,"")</x:f>
        <x:v>19.325405999999994</x:v>
      </x:c>
      <x:c r="AA5" s="41" t="n">
        <x:v>11540</x:v>
      </x:c>
      <x:c r="AB5" s="41" t="n">
        <x:v>4350</x:v>
      </x:c>
    </x:row>
    <x:row r="6">
      <x:c r="A6" s="41" t="str">
        <x:v>HYP_CAN_SLIM_CONCENTRATION_5_V1</x:v>
      </x:c>
      <x:c r="B6" s="41" t="str">
        <x:v>cross_sectional_momentum</x:v>
      </x:c>
      <x:c r="C6" s="41" t="str">
        <x:v>1999-01-04</x:v>
      </x:c>
      <x:c r="D6" s="41" t="str">
        <x:v>2026-05-22</x:v>
      </x:c>
      <x:c r="E6" s="41" t="n">
        <x:v>33.912439</x:v>
      </x:c>
      <x:c r="F6" s="41" t="n">
        <x:v>-66.165741</x:v>
      </x:c>
      <x:c r="G6" s="41" t="n">
        <x:v>296497.572726</x:v>
      </x:c>
      <x:c r="H6" s="41" t="n">
        <x:f>IFERROR(E6/ABS(F6),"")</x:f>
        <x:v>0.5125377345959142</x:v>
      </x:c>
      <x:c r="I6" s="41" t="n">
        <x:v>14.945828</x:v>
      </x:c>
      <x:c r="J6" s="41" t="n">
        <x:v>-43.415699</x:v>
      </x:c>
      <x:c r="K6" s="41" t="n">
        <x:v>4431.206814</x:v>
      </x:c>
      <x:c r="L6" s="41" t="n">
        <x:f>IFERROR(I6/ABS(J6),"")</x:f>
        <x:v>0.34424939236841495</x:v>
      </x:c>
      <x:c r="M6" s="41" t="n">
        <x:v>6.802475</x:v>
      </x:c>
      <x:c r="N6" s="41" t="n">
        <x:v>-56.473669</x:v>
      </x:c>
      <x:c r="O6" s="41" t="n">
        <x:v>506.057416</x:v>
      </x:c>
      <x:c r="P6" s="41" t="n">
        <x:f>IFERROR(M6/ABS(N6),"")</x:f>
        <x:v>0.12045392340278087</x:v>
      </x:c>
      <x:c r="Q6" s="41" t="str">
        <x:f>IF(L6&gt;=MAX(H6,P6),"Weekly",IF(H6&gt;=MAX(L6,P6),"No weekly","SPY"))</x:f>
        <x:v>No weekly</x:v>
      </x:c>
      <x:c r="R6" s="41" t="n">
        <x:f>IFERROR(L6-P6,"")</x:f>
        <x:v>0.22379546896563407</x:v>
      </x:c>
      <x:c r="S6" s="41" t="n">
        <x:f>IFERROR(H6-P6,"")</x:f>
        <x:v>0.39208381119313335</x:v>
      </x:c>
      <x:c r="T6" s="41" t="n">
        <x:f>IFERROR(I6-M6,"")</x:f>
        <x:v>8.143353000000001</x:v>
      </x:c>
      <x:c r="U6" s="41" t="n">
        <x:f>IFERROR(E6-M6,"")</x:f>
        <x:v>27.109963999999998</x:v>
      </x:c>
      <x:c r="V6" s="41" t="str">
        <x:f>IF(AND(I6&gt;M6,J6&gt;N6),"Sí","No")</x:f>
        <x:v>Sí</x:v>
      </x:c>
      <x:c r="W6" s="41" t="str">
        <x:f>IF(AND(E6&gt;M6,F6&gt;N6),"Sí","No")</x:f>
        <x:v>No</x:v>
      </x:c>
      <x:c r="X6" s="41" t="str">
        <x:f>IF(L6&gt;=H6,"Weekly","No weekly")</x:f>
        <x:v>No weekly</x:v>
      </x:c>
      <x:c r="Y6" s="41" t="n">
        <x:f>IFERROR(I6-E6,"")</x:f>
        <x:v>-18.966611</x:v>
      </x:c>
      <x:c r="Z6" s="41" t="n">
        <x:f>IFERROR(J6-F6,"")</x:f>
        <x:v>22.750042</x:v>
      </x:c>
      <x:c r="AA6" s="41" t="n">
        <x:v>4320</x:v>
      </x:c>
      <x:c r="AB6" s="41" t="n">
        <x:v>1112</x:v>
      </x:c>
    </x:row>
    <x:row r="7">
      <x:c r="A7" s="41" t="str">
        <x:v>HYP_CAN_SLIM_CONCENTRATION_5_V2</x:v>
      </x:c>
      <x:c r="B7" s="41" t="str">
        <x:v>cross_sectional_momentum</x:v>
      </x:c>
      <x:c r="C7" s="41" t="str">
        <x:v>1999-01-04</x:v>
      </x:c>
      <x:c r="D7" s="41" t="str">
        <x:v>2026-05-22</x:v>
      </x:c>
      <x:c r="E7" s="41" t="n">
        <x:v>33.912439</x:v>
      </x:c>
      <x:c r="F7" s="41" t="n">
        <x:v>-66.165741</x:v>
      </x:c>
      <x:c r="G7" s="41" t="n">
        <x:v>296497.572726</x:v>
      </x:c>
      <x:c r="H7" s="41" t="n">
        <x:f>IFERROR(E7/ABS(F7),"")</x:f>
        <x:v>0.5125377345959142</x:v>
      </x:c>
      <x:c r="I7" s="41" t="n">
        <x:v>14.945828</x:v>
      </x:c>
      <x:c r="J7" s="41" t="n">
        <x:v>-43.415699</x:v>
      </x:c>
      <x:c r="K7" s="41" t="n">
        <x:v>4431.206814</x:v>
      </x:c>
      <x:c r="L7" s="41" t="n">
        <x:f>IFERROR(I7/ABS(J7),"")</x:f>
        <x:v>0.34424939236841495</x:v>
      </x:c>
      <x:c r="M7" s="41" t="n">
        <x:v>6.802475</x:v>
      </x:c>
      <x:c r="N7" s="41" t="n">
        <x:v>-56.473669</x:v>
      </x:c>
      <x:c r="O7" s="41" t="n">
        <x:v>506.057416</x:v>
      </x:c>
      <x:c r="P7" s="41" t="n">
        <x:f>IFERROR(M7/ABS(N7),"")</x:f>
        <x:v>0.12045392340278087</x:v>
      </x:c>
      <x:c r="Q7" s="41" t="str">
        <x:f>IF(L7&gt;=MAX(H7,P7),"Weekly",IF(H7&gt;=MAX(L7,P7),"No weekly","SPY"))</x:f>
        <x:v>No weekly</x:v>
      </x:c>
      <x:c r="R7" s="41" t="n">
        <x:f>IFERROR(L7-P7,"")</x:f>
        <x:v>0.22379546896563407</x:v>
      </x:c>
      <x:c r="S7" s="41" t="n">
        <x:f>IFERROR(H7-P7,"")</x:f>
        <x:v>0.39208381119313335</x:v>
      </x:c>
      <x:c r="T7" s="41" t="n">
        <x:f>IFERROR(I7-M7,"")</x:f>
        <x:v>8.143353000000001</x:v>
      </x:c>
      <x:c r="U7" s="41" t="n">
        <x:f>IFERROR(E7-M7,"")</x:f>
        <x:v>27.109963999999998</x:v>
      </x:c>
      <x:c r="V7" s="41" t="str">
        <x:f>IF(AND(I7&gt;M7,J7&gt;N7),"Sí","No")</x:f>
        <x:v>Sí</x:v>
      </x:c>
      <x:c r="W7" s="41" t="str">
        <x:f>IF(AND(E7&gt;M7,F7&gt;N7),"Sí","No")</x:f>
        <x:v>No</x:v>
      </x:c>
      <x:c r="X7" s="41" t="str">
        <x:f>IF(L7&gt;=H7,"Weekly","No weekly")</x:f>
        <x:v>No weekly</x:v>
      </x:c>
      <x:c r="Y7" s="41" t="n">
        <x:f>IFERROR(I7-E7,"")</x:f>
        <x:v>-18.966611</x:v>
      </x:c>
      <x:c r="Z7" s="41" t="n">
        <x:f>IFERROR(J7-F7,"")</x:f>
        <x:v>22.750042</x:v>
      </x:c>
      <x:c r="AA7" s="41" t="n">
        <x:v>4320</x:v>
      </x:c>
      <x:c r="AB7" s="41" t="n">
        <x:v>1112</x:v>
      </x:c>
    </x:row>
    <x:row r="8">
      <x:c r="A8" s="41" t="str">
        <x:v>HYP_CROSS_SECTIONAL_MOMENTUM_CONCENTRATION_12_V1</x:v>
      </x:c>
      <x:c r="B8" s="41" t="str">
        <x:v>cross_sectional_momentum</x:v>
      </x:c>
      <x:c r="C8" s="41" t="str">
        <x:v>1999-01-04</x:v>
      </x:c>
      <x:c r="D8" s="41" t="str">
        <x:v>2026-05-22</x:v>
      </x:c>
      <x:c r="E8" s="41" t="n">
        <x:v>27.087479</x:v>
      </x:c>
      <x:c r="F8" s="41" t="n">
        <x:v>-60.111146</x:v>
      </x:c>
      <x:c r="G8" s="41" t="n">
        <x:v>70723.663175</x:v>
      </x:c>
      <x:c r="H8" s="41" t="n">
        <x:f>IFERROR(E8/ABS(F8),"")</x:f>
        <x:v>0.4506232338342044</x:v>
      </x:c>
      <x:c r="I8" s="41" t="n">
        <x:v>12.910275</x:v>
      </x:c>
      <x:c r="J8" s="41" t="n">
        <x:v>-40.630866</x:v>
      </x:c>
      <x:c r="K8" s="41" t="n">
        <x:v>2678.200618</x:v>
      </x:c>
      <x:c r="L8" s="41" t="n">
        <x:f>IFERROR(I8/ABS(J8),"")</x:f>
        <x:v>0.3177455041199467</x:v>
      </x:c>
      <x:c r="M8" s="41" t="n">
        <x:v>6.802475</x:v>
      </x:c>
      <x:c r="N8" s="41" t="n">
        <x:v>-56.473669</x:v>
      </x:c>
      <x:c r="O8" s="41" t="n">
        <x:v>506.057416</x:v>
      </x:c>
      <x:c r="P8" s="41" t="n">
        <x:f>IFERROR(M8/ABS(N8),"")</x:f>
        <x:v>0.12045392340278087</x:v>
      </x:c>
      <x:c r="Q8" s="41" t="str">
        <x:f>IF(L8&gt;=MAX(H8,P8),"Weekly",IF(H8&gt;=MAX(L8,P8),"No weekly","SPY"))</x:f>
        <x:v>No weekly</x:v>
      </x:c>
      <x:c r="R8" s="41" t="n">
        <x:f>IFERROR(L8-P8,"")</x:f>
        <x:v>0.1972915807171658</x:v>
      </x:c>
      <x:c r="S8" s="41" t="n">
        <x:f>IFERROR(H8-P8,"")</x:f>
        <x:v>0.3301693104314235</x:v>
      </x:c>
      <x:c r="T8" s="41" t="n">
        <x:f>IFERROR(I8-M8,"")</x:f>
        <x:v>6.1078</x:v>
      </x:c>
      <x:c r="U8" s="41" t="n">
        <x:f>IFERROR(E8-M8,"")</x:f>
        <x:v>20.285003999999997</x:v>
      </x:c>
      <x:c r="V8" s="41" t="str">
        <x:f>IF(AND(I8&gt;M8,J8&gt;N8),"Sí","No")</x:f>
        <x:v>Sí</x:v>
      </x:c>
      <x:c r="W8" s="41" t="str">
        <x:f>IF(AND(E8&gt;M8,F8&gt;N8),"Sí","No")</x:f>
        <x:v>No</x:v>
      </x:c>
      <x:c r="X8" s="41" t="str">
        <x:f>IF(L8&gt;=H8,"Weekly","No weekly")</x:f>
        <x:v>No weekly</x:v>
      </x:c>
      <x:c r="Y8" s="41" t="n">
        <x:f>IFERROR(I8-E8,"")</x:f>
        <x:v>-14.177203999999998</x:v>
      </x:c>
      <x:c r="Z8" s="41" t="n">
        <x:f>IFERROR(J8-F8,"")</x:f>
        <x:v>19.48028</x:v>
      </x:c>
      <x:c r="AA8" s="41" t="n">
        <x:v>8122</x:v>
      </x:c>
      <x:c r="AB8" s="41" t="n">
        <x:v>2641</x:v>
      </x:c>
    </x:row>
    <x:row r="9">
      <x:c r="A9" s="41" t="str">
        <x:v>HYP_CROSS_SECTIONAL_MOMENTUM_CONCENTRATION_12_V10</x:v>
      </x:c>
      <x:c r="B9" s="41" t="str">
        <x:v>cross_sectional_momentum</x:v>
      </x:c>
      <x:c r="C9" s="41" t="str">
        <x:v>1999-01-04</x:v>
      </x:c>
      <x:c r="D9" s="41" t="str">
        <x:v>2026-05-22</x:v>
      </x:c>
      <x:c r="E9" s="41" t="n">
        <x:v>27.087479</x:v>
      </x:c>
      <x:c r="F9" s="41" t="n">
        <x:v>-60.111146</x:v>
      </x:c>
      <x:c r="G9" s="41" t="n">
        <x:v>70723.663175</x:v>
      </x:c>
      <x:c r="H9" s="41" t="n">
        <x:f>IFERROR(E9/ABS(F9),"")</x:f>
        <x:v>0.4506232338342044</x:v>
      </x:c>
      <x:c r="I9" s="41" t="n">
        <x:v>12.910275</x:v>
      </x:c>
      <x:c r="J9" s="41" t="n">
        <x:v>-40.630866</x:v>
      </x:c>
      <x:c r="K9" s="41" t="n">
        <x:v>2678.200618</x:v>
      </x:c>
      <x:c r="L9" s="41" t="n">
        <x:f>IFERROR(I9/ABS(J9),"")</x:f>
        <x:v>0.3177455041199467</x:v>
      </x:c>
      <x:c r="M9" s="41" t="n">
        <x:v>6.802475</x:v>
      </x:c>
      <x:c r="N9" s="41" t="n">
        <x:v>-56.473669</x:v>
      </x:c>
      <x:c r="O9" s="41" t="n">
        <x:v>506.057416</x:v>
      </x:c>
      <x:c r="P9" s="41" t="n">
        <x:f>IFERROR(M9/ABS(N9),"")</x:f>
        <x:v>0.12045392340278087</x:v>
      </x:c>
      <x:c r="Q9" s="41" t="str">
        <x:f>IF(L9&gt;=MAX(H9,P9),"Weekly",IF(H9&gt;=MAX(L9,P9),"No weekly","SPY"))</x:f>
        <x:v>No weekly</x:v>
      </x:c>
      <x:c r="R9" s="41" t="n">
        <x:f>IFERROR(L9-P9,"")</x:f>
        <x:v>0.1972915807171658</x:v>
      </x:c>
      <x:c r="S9" s="41" t="n">
        <x:f>IFERROR(H9-P9,"")</x:f>
        <x:v>0.3301693104314235</x:v>
      </x:c>
      <x:c r="T9" s="41" t="n">
        <x:f>IFERROR(I9-M9,"")</x:f>
        <x:v>6.1078</x:v>
      </x:c>
      <x:c r="U9" s="41" t="n">
        <x:f>IFERROR(E9-M9,"")</x:f>
        <x:v>20.285003999999997</x:v>
      </x:c>
      <x:c r="V9" s="41" t="str">
        <x:f>IF(AND(I9&gt;M9,J9&gt;N9),"Sí","No")</x:f>
        <x:v>Sí</x:v>
      </x:c>
      <x:c r="W9" s="41" t="str">
        <x:f>IF(AND(E9&gt;M9,F9&gt;N9),"Sí","No")</x:f>
        <x:v>No</x:v>
      </x:c>
      <x:c r="X9" s="41" t="str">
        <x:f>IF(L9&gt;=H9,"Weekly","No weekly")</x:f>
        <x:v>No weekly</x:v>
      </x:c>
      <x:c r="Y9" s="41" t="n">
        <x:f>IFERROR(I9-E9,"")</x:f>
        <x:v>-14.177203999999998</x:v>
      </x:c>
      <x:c r="Z9" s="41" t="n">
        <x:f>IFERROR(J9-F9,"")</x:f>
        <x:v>19.48028</x:v>
      </x:c>
      <x:c r="AA9" s="41" t="n">
        <x:v>8122</x:v>
      </x:c>
      <x:c r="AB9" s="41" t="n">
        <x:v>2641</x:v>
      </x:c>
    </x:row>
    <x:row r="10">
      <x:c r="A10" s="41" t="str">
        <x:v>HYP_CROSS_SECTIONAL_MOMENTUM_EXIT_THRESHOLD_15_V1</x:v>
      </x:c>
      <x:c r="B10" s="41" t="str">
        <x:v>cross_sectional_momentum</x:v>
      </x:c>
      <x:c r="C10" s="41" t="str">
        <x:v>1999-01-04</x:v>
      </x:c>
      <x:c r="D10" s="41" t="str">
        <x:v>2026-05-22</x:v>
      </x:c>
      <x:c r="E10" s="41" t="n">
        <x:v>25.292058</x:v>
      </x:c>
      <x:c r="F10" s="41" t="n">
        <x:v>-58.89752</x:v>
      </x:c>
      <x:c r="G10" s="41" t="n">
        <x:v>47873.393792</x:v>
      </x:c>
      <x:c r="H10" s="41" t="n">
        <x:f>IFERROR(E10/ABS(F10),"")</x:f>
        <x:v>0.42942483826144123</x:v>
      </x:c>
      <x:c r="I10" s="41" t="n">
        <x:v>11.294883</x:v>
      </x:c>
      <x:c r="J10" s="41" t="n">
        <x:v>-41.514187</x:v>
      </x:c>
      <x:c r="K10" s="41" t="n">
        <x:v>1772.49876</x:v>
      </x:c>
      <x:c r="L10" s="41" t="n">
        <x:f>IFERROR(I10/ABS(J10),"")</x:f>
        <x:v>0.2720728458442412</x:v>
      </x:c>
      <x:c r="M10" s="41" t="n">
        <x:v>6.802475</x:v>
      </x:c>
      <x:c r="N10" s="41" t="n">
        <x:v>-56.473669</x:v>
      </x:c>
      <x:c r="O10" s="41" t="n">
        <x:v>506.057416</x:v>
      </x:c>
      <x:c r="P10" s="41" t="n">
        <x:f>IFERROR(M10/ABS(N10),"")</x:f>
        <x:v>0.12045392340278087</x:v>
      </x:c>
      <x:c r="Q10" s="41" t="str">
        <x:f>IF(L10&gt;=MAX(H10,P10),"Weekly",IF(H10&gt;=MAX(L10,P10),"No weekly","SPY"))</x:f>
        <x:v>No weekly</x:v>
      </x:c>
      <x:c r="R10" s="41" t="n">
        <x:f>IFERROR(L10-P10,"")</x:f>
        <x:v>0.1516189224414603</x:v>
      </x:c>
      <x:c r="S10" s="41" t="n">
        <x:f>IFERROR(H10-P10,"")</x:f>
        <x:v>0.30897091485866035</x:v>
      </x:c>
      <x:c r="T10" s="41" t="n">
        <x:f>IFERROR(I10-M10,"")</x:f>
        <x:v>4.492408</x:v>
      </x:c>
      <x:c r="U10" s="41" t="n">
        <x:f>IFERROR(E10-M10,"")</x:f>
        <x:v>18.489583</x:v>
      </x:c>
      <x:c r="V10" s="41" t="str">
        <x:f>IF(AND(I10&gt;M10,J10&gt;N10),"Sí","No")</x:f>
        <x:v>Sí</x:v>
      </x:c>
      <x:c r="W10" s="41" t="str">
        <x:f>IF(AND(E10&gt;M10,F10&gt;N10),"Sí","No")</x:f>
        <x:v>No</x:v>
      </x:c>
      <x:c r="X10" s="41" t="str">
        <x:f>IF(L10&gt;=H10,"Weekly","No weekly")</x:f>
        <x:v>No weekly</x:v>
      </x:c>
      <x:c r="Y10" s="41" t="n">
        <x:f>IFERROR(I10-E10,"")</x:f>
        <x:v>-13.997175</x:v>
      </x:c>
      <x:c r="Z10" s="41" t="n">
        <x:f>IFERROR(J10-F10,"")</x:f>
        <x:v>17.383333</x:v>
      </x:c>
      <x:c r="AA10" s="41" t="n">
        <x:v>7459</x:v>
      </x:c>
      <x:c r="AB10" s="41" t="n">
        <x:v>3280</x:v>
      </x:c>
    </x:row>
    <x:row r="11">
      <x:c r="A11" s="41" t="str">
        <x:v>HYP_DARVAS_BOX_EXIT_THRESHOLD_10_V1</x:v>
      </x:c>
      <x:c r="B11" s="41" t="str">
        <x:v>cross_sectional_momentum</x:v>
      </x:c>
      <x:c r="C11" s="41" t="str">
        <x:v>1999-01-04</x:v>
      </x:c>
      <x:c r="D11" s="41" t="str">
        <x:v>2026-05-22</x:v>
      </x:c>
      <x:c r="E11" s="41" t="n">
        <x:v>25.292058</x:v>
      </x:c>
      <x:c r="F11" s="41" t="n">
        <x:v>-58.89752</x:v>
      </x:c>
      <x:c r="G11" s="41" t="n">
        <x:v>47873.393792</x:v>
      </x:c>
      <x:c r="H11" s="41" t="n">
        <x:f>IFERROR(E11/ABS(F11),"")</x:f>
        <x:v>0.42942483826144123</x:v>
      </x:c>
      <x:c r="I11" s="41" t="n">
        <x:v>11.294883</x:v>
      </x:c>
      <x:c r="J11" s="41" t="n">
        <x:v>-41.514187</x:v>
      </x:c>
      <x:c r="K11" s="41" t="n">
        <x:v>1772.49876</x:v>
      </x:c>
      <x:c r="L11" s="41" t="n">
        <x:f>IFERROR(I11/ABS(J11),"")</x:f>
        <x:v>0.2720728458442412</x:v>
      </x:c>
      <x:c r="M11" s="41" t="n">
        <x:v>6.802475</x:v>
      </x:c>
      <x:c r="N11" s="41" t="n">
        <x:v>-56.473669</x:v>
      </x:c>
      <x:c r="O11" s="41" t="n">
        <x:v>506.057416</x:v>
      </x:c>
      <x:c r="P11" s="41" t="n">
        <x:f>IFERROR(M11/ABS(N11),"")</x:f>
        <x:v>0.12045392340278087</x:v>
      </x:c>
      <x:c r="Q11" s="41" t="str">
        <x:f>IF(L11&gt;=MAX(H11,P11),"Weekly",IF(H11&gt;=MAX(L11,P11),"No weekly","SPY"))</x:f>
        <x:v>No weekly</x:v>
      </x:c>
      <x:c r="R11" s="41" t="n">
        <x:f>IFERROR(L11-P11,"")</x:f>
        <x:v>0.1516189224414603</x:v>
      </x:c>
      <x:c r="S11" s="41" t="n">
        <x:f>IFERROR(H11-P11,"")</x:f>
        <x:v>0.30897091485866035</x:v>
      </x:c>
      <x:c r="T11" s="41" t="n">
        <x:f>IFERROR(I11-M11,"")</x:f>
        <x:v>4.492408</x:v>
      </x:c>
      <x:c r="U11" s="41" t="n">
        <x:f>IFERROR(E11-M11,"")</x:f>
        <x:v>18.489583</x:v>
      </x:c>
      <x:c r="V11" s="41" t="str">
        <x:f>IF(AND(I11&gt;M11,J11&gt;N11),"Sí","No")</x:f>
        <x:v>Sí</x:v>
      </x:c>
      <x:c r="W11" s="41" t="str">
        <x:f>IF(AND(E11&gt;M11,F11&gt;N11),"Sí","No")</x:f>
        <x:v>No</x:v>
      </x:c>
      <x:c r="X11" s="41" t="str">
        <x:f>IF(L11&gt;=H11,"Weekly","No weekly")</x:f>
        <x:v>No weekly</x:v>
      </x:c>
      <x:c r="Y11" s="41" t="n">
        <x:f>IFERROR(I11-E11,"")</x:f>
        <x:v>-13.997175</x:v>
      </x:c>
      <x:c r="Z11" s="41" t="n">
        <x:f>IFERROR(J11-F11,"")</x:f>
        <x:v>17.383333</x:v>
      </x:c>
      <x:c r="AA11" s="41" t="n">
        <x:v>7459</x:v>
      </x:c>
      <x:c r="AB11" s="41" t="n">
        <x:v>3280</x:v>
      </x:c>
    </x:row>
    <x:row r="12">
      <x:c r="A12" s="41" t="str">
        <x:v>HYP_DARVAS_BOX_EXIT_THRESHOLD_10_V2</x:v>
      </x:c>
      <x:c r="B12" s="41" t="str">
        <x:v>cross_sectional_momentum</x:v>
      </x:c>
      <x:c r="C12" s="41" t="str">
        <x:v>1999-01-04</x:v>
      </x:c>
      <x:c r="D12" s="41" t="str">
        <x:v>2026-05-22</x:v>
      </x:c>
      <x:c r="E12" s="41" t="n">
        <x:v>25.292058</x:v>
      </x:c>
      <x:c r="F12" s="41" t="n">
        <x:v>-58.89752</x:v>
      </x:c>
      <x:c r="G12" s="41" t="n">
        <x:v>47873.393792</x:v>
      </x:c>
      <x:c r="H12" s="41" t="n">
        <x:f>IFERROR(E12/ABS(F12),"")</x:f>
        <x:v>0.42942483826144123</x:v>
      </x:c>
      <x:c r="I12" s="41" t="n">
        <x:v>11.294883</x:v>
      </x:c>
      <x:c r="J12" s="41" t="n">
        <x:v>-41.514187</x:v>
      </x:c>
      <x:c r="K12" s="41" t="n">
        <x:v>1772.49876</x:v>
      </x:c>
      <x:c r="L12" s="41" t="n">
        <x:f>IFERROR(I12/ABS(J12),"")</x:f>
        <x:v>0.2720728458442412</x:v>
      </x:c>
      <x:c r="M12" s="41" t="n">
        <x:v>6.802475</x:v>
      </x:c>
      <x:c r="N12" s="41" t="n">
        <x:v>-56.473669</x:v>
      </x:c>
      <x:c r="O12" s="41" t="n">
        <x:v>506.057416</x:v>
      </x:c>
      <x:c r="P12" s="41" t="n">
        <x:f>IFERROR(M12/ABS(N12),"")</x:f>
        <x:v>0.12045392340278087</x:v>
      </x:c>
      <x:c r="Q12" s="41" t="str">
        <x:f>IF(L12&gt;=MAX(H12,P12),"Weekly",IF(H12&gt;=MAX(L12,P12),"No weekly","SPY"))</x:f>
        <x:v>No weekly</x:v>
      </x:c>
      <x:c r="R12" s="41" t="n">
        <x:f>IFERROR(L12-P12,"")</x:f>
        <x:v>0.1516189224414603</x:v>
      </x:c>
      <x:c r="S12" s="41" t="n">
        <x:f>IFERROR(H12-P12,"")</x:f>
        <x:v>0.30897091485866035</x:v>
      </x:c>
      <x:c r="T12" s="41" t="n">
        <x:f>IFERROR(I12-M12,"")</x:f>
        <x:v>4.492408</x:v>
      </x:c>
      <x:c r="U12" s="41" t="n">
        <x:f>IFERROR(E12-M12,"")</x:f>
        <x:v>18.489583</x:v>
      </x:c>
      <x:c r="V12" s="41" t="str">
        <x:f>IF(AND(I12&gt;M12,J12&gt;N12),"Sí","No")</x:f>
        <x:v>Sí</x:v>
      </x:c>
      <x:c r="W12" s="41" t="str">
        <x:f>IF(AND(E12&gt;M12,F12&gt;N12),"Sí","No")</x:f>
        <x:v>No</x:v>
      </x:c>
      <x:c r="X12" s="41" t="str">
        <x:f>IF(L12&gt;=H12,"Weekly","No weekly")</x:f>
        <x:v>No weekly</x:v>
      </x:c>
      <x:c r="Y12" s="41" t="n">
        <x:f>IFERROR(I12-E12,"")</x:f>
        <x:v>-13.997175</x:v>
      </x:c>
      <x:c r="Z12" s="41" t="n">
        <x:f>IFERROR(J12-F12,"")</x:f>
        <x:v>17.383333</x:v>
      </x:c>
      <x:c r="AA12" s="41" t="n">
        <x:v>7459</x:v>
      </x:c>
      <x:c r="AB12" s="41" t="n">
        <x:v>3280</x:v>
      </x:c>
    </x:row>
    <x:row r="13">
      <x:c r="A13" s="41" t="str">
        <x:v>HYP_DARVAS_BOX_EXIT_THRESHOLD_40_V1</x:v>
      </x:c>
      <x:c r="B13" s="41" t="str">
        <x:v>cross_sectional_momentum</x:v>
      </x:c>
      <x:c r="C13" s="41" t="str">
        <x:v>1999-01-04</x:v>
      </x:c>
      <x:c r="D13" s="41" t="str">
        <x:v>2026-05-22</x:v>
      </x:c>
      <x:c r="E13" s="41" t="n">
        <x:v>25.292058</x:v>
      </x:c>
      <x:c r="F13" s="41" t="n">
        <x:v>-58.89752</x:v>
      </x:c>
      <x:c r="G13" s="41" t="n">
        <x:v>47873.393792</x:v>
      </x:c>
      <x:c r="H13" s="41" t="n">
        <x:f>IFERROR(E13/ABS(F13),"")</x:f>
        <x:v>0.42942483826144123</x:v>
      </x:c>
      <x:c r="I13" s="41" t="n">
        <x:v>11.949144</x:v>
      </x:c>
      <x:c r="J13" s="41" t="n">
        <x:v>-37.872157</x:v>
      </x:c>
      <x:c r="K13" s="41" t="n">
        <x:v>2098.445627</x:v>
      </x:c>
      <x:c r="L13" s="41" t="n">
        <x:f>IFERROR(I13/ABS(J13),"")</x:f>
        <x:v>0.3155126337271996</x:v>
      </x:c>
      <x:c r="M13" s="41" t="n">
        <x:v>6.802475</x:v>
      </x:c>
      <x:c r="N13" s="41" t="n">
        <x:v>-56.473669</x:v>
      </x:c>
      <x:c r="O13" s="41" t="n">
        <x:v>506.057416</x:v>
      </x:c>
      <x:c r="P13" s="41" t="n">
        <x:f>IFERROR(M13/ABS(N13),"")</x:f>
        <x:v>0.12045392340278087</x:v>
      </x:c>
      <x:c r="Q13" s="41" t="str">
        <x:f>IF(L13&gt;=MAX(H13,P13),"Weekly",IF(H13&gt;=MAX(L13,P13),"No weekly","SPY"))</x:f>
        <x:v>No weekly</x:v>
      </x:c>
      <x:c r="R13" s="41" t="n">
        <x:f>IFERROR(L13-P13,"")</x:f>
        <x:v>0.19505871032441874</x:v>
      </x:c>
      <x:c r="S13" s="41" t="n">
        <x:f>IFERROR(H13-P13,"")</x:f>
        <x:v>0.30897091485866035</x:v>
      </x:c>
      <x:c r="T13" s="41" t="n">
        <x:f>IFERROR(I13-M13,"")</x:f>
        <x:v>5.146669</x:v>
      </x:c>
      <x:c r="U13" s="41" t="n">
        <x:f>IFERROR(E13-M13,"")</x:f>
        <x:v>18.489583</x:v>
      </x:c>
      <x:c r="V13" s="41" t="str">
        <x:f>IF(AND(I13&gt;M13,J13&gt;N13),"Sí","No")</x:f>
        <x:v>Sí</x:v>
      </x:c>
      <x:c r="W13" s="41" t="str">
        <x:f>IF(AND(E13&gt;M13,F13&gt;N13),"Sí","No")</x:f>
        <x:v>No</x:v>
      </x:c>
      <x:c r="X13" s="41" t="str">
        <x:f>IF(L13&gt;=H13,"Weekly","No weekly")</x:f>
        <x:v>No weekly</x:v>
      </x:c>
      <x:c r="Y13" s="41" t="n">
        <x:f>IFERROR(I13-E13,"")</x:f>
        <x:v>-13.342914</x:v>
      </x:c>
      <x:c r="Z13" s="41" t="n">
        <x:f>IFERROR(J13-F13,"")</x:f>
        <x:v>21.025363</x:v>
      </x:c>
      <x:c r="AA13" s="41" t="n">
        <x:v>10357</x:v>
      </x:c>
      <x:c r="AB13" s="41" t="n">
        <x:v>3280</x:v>
      </x:c>
    </x:row>
    <x:row r="14">
      <x:c r="A14" s="41" t="str">
        <x:v>HYP_DD20_ADAPT_SL10_COOLDOWN_3_V1</x:v>
      </x:c>
      <x:c r="B14" s="41" t="str">
        <x:v>dd20_adaptive_research</x:v>
      </x:c>
      <x:c r="C14" s="41" t="str">
        <x:v>1999-01-04</x:v>
      </x:c>
      <x:c r="D14" s="41" t="str">
        <x:v>2026-05-22</x:v>
      </x:c>
      <x:c r="E14" s="41" t="n">
        <x:v>9.675868</x:v>
      </x:c>
      <x:c r="F14" s="41" t="n">
        <x:v>-19.325183</x:v>
      </x:c>
      <x:c r="G14" s="41" t="n">
        <x:v>1153.665178</x:v>
      </x:c>
      <x:c r="H14" s="41" t="n">
        <x:f>IFERROR(E14/ABS(F14),"")</x:f>
        <x:v>0.5006870051372864</x:v>
      </x:c>
      <x:c r="I14" s="41" t="n">
        <x:v>-0.415015</x:v>
      </x:c>
      <x:c r="J14" s="41" t="n">
        <x:v>-21.623863</x:v>
      </x:c>
      <x:c r="K14" s="41" t="n">
        <x:v>-10.761827</x:v>
      </x:c>
      <x:c r="L14" s="41" t="n">
        <x:f>IFERROR(I14/ABS(J14),"")</x:f>
        <x:v>-0.019192454188227147</x:v>
      </x:c>
      <x:c r="M14" s="41" t="n">
        <x:v>6.802475</x:v>
      </x:c>
      <x:c r="N14" s="41" t="n">
        <x:v>-56.473669</x:v>
      </x:c>
      <x:c r="O14" s="41" t="n">
        <x:v>506.057416</x:v>
      </x:c>
      <x:c r="P14" s="41" t="n">
        <x:f>IFERROR(M14/ABS(N14),"")</x:f>
        <x:v>0.12045392340278087</x:v>
      </x:c>
      <x:c r="Q14" s="41" t="str">
        <x:f>IF(L14&gt;=MAX(H14,P14),"Weekly",IF(H14&gt;=MAX(L14,P14),"No weekly","SPY"))</x:f>
        <x:v>No weekly</x:v>
      </x:c>
      <x:c r="R14" s="41" t="n">
        <x:f>IFERROR(L14-P14,"")</x:f>
        <x:v>-0.139646377591008</x:v>
      </x:c>
      <x:c r="S14" s="41" t="n">
        <x:f>IFERROR(H14-P14,"")</x:f>
        <x:v>0.3802330817345055</x:v>
      </x:c>
      <x:c r="T14" s="41" t="n">
        <x:f>IFERROR(I14-M14,"")</x:f>
        <x:v>-7.217490000000001</x:v>
      </x:c>
      <x:c r="U14" s="41" t="n">
        <x:f>IFERROR(E14-M14,"")</x:f>
        <x:v>2.873392999999999</x:v>
      </x:c>
      <x:c r="V14" s="41" t="str">
        <x:f>IF(AND(I14&gt;M14,J14&gt;N14),"Sí","No")</x:f>
        <x:v>No</x:v>
      </x:c>
      <x:c r="W14" s="41" t="str">
        <x:f>IF(AND(E14&gt;M14,F14&gt;N14),"Sí","No")</x:f>
        <x:v>Sí</x:v>
      </x:c>
      <x:c r="X14" s="41" t="str">
        <x:f>IF(L14&gt;=H14,"Weekly","No weekly")</x:f>
        <x:v>No weekly</x:v>
      </x:c>
      <x:c r="Y14" s="41" t="n">
        <x:f>IFERROR(I14-E14,"")</x:f>
        <x:v>-10.090883</x:v>
      </x:c>
      <x:c r="Z14" s="41" t="n">
        <x:f>IFERROR(J14-F14,"")</x:f>
        <x:v>-2.298680000000001</x:v>
      </x:c>
      <x:c r="AA14" s="41" t="n">
        <x:v>450</x:v>
      </x:c>
      <x:c r="AB14" s="41" t="n">
        <x:v>2345</x:v>
      </x:c>
    </x:row>
    <x:row r="15">
      <x:c r="A15" s="41" t="str">
        <x:v>HYP_DD20_ADAPT_SL10_GUARD18_12_V1</x:v>
      </x:c>
      <x:c r="B15" s="41" t="str">
        <x:v>dd20_adaptive_research</x:v>
      </x:c>
      <x:c r="C15" s="41" t="str">
        <x:v>1999-01-04</x:v>
      </x:c>
      <x:c r="D15" s="41" t="str">
        <x:v>2026-05-22</x:v>
      </x:c>
      <x:c r="E15" s="41" t="n">
        <x:v>9.680146</x:v>
      </x:c>
      <x:c r="F15" s="41" t="n">
        <x:v>-19.325183</x:v>
      </x:c>
      <x:c r="G15" s="41" t="n">
        <x:v>1155.004681</x:v>
      </x:c>
      <x:c r="H15" s="41" t="n">
        <x:f>IFERROR(E15/ABS(F15),"")</x:f>
        <x:v>0.5009083743217335</x:v>
      </x:c>
      <x:c r="I15" s="41" t="n">
        <x:v>-0.304721</x:v>
      </x:c>
      <x:c r="J15" s="41" t="n">
        <x:v>-20.00911</x:v>
      </x:c>
      <x:c r="K15" s="41" t="n">
        <x:v>-8.015996</x:v>
      </x:c>
      <x:c r="L15" s="41" t="n">
        <x:f>IFERROR(I15/ABS(J15),"")</x:f>
        <x:v>-0.015229113138965203</x:v>
      </x:c>
      <x:c r="M15" s="41" t="n">
        <x:v>6.802475</x:v>
      </x:c>
      <x:c r="N15" s="41" t="n">
        <x:v>-56.473669</x:v>
      </x:c>
      <x:c r="O15" s="41" t="n">
        <x:v>506.057416</x:v>
      </x:c>
      <x:c r="P15" s="41" t="n">
        <x:f>IFERROR(M15/ABS(N15),"")</x:f>
        <x:v>0.12045392340278087</x:v>
      </x:c>
      <x:c r="Q15" s="41" t="str">
        <x:f>IF(L15&gt;=MAX(H15,P15),"Weekly",IF(H15&gt;=MAX(L15,P15),"No weekly","SPY"))</x:f>
        <x:v>No weekly</x:v>
      </x:c>
      <x:c r="R15" s="41" t="n">
        <x:f>IFERROR(L15-P15,"")</x:f>
        <x:v>-0.13568303654174607</x:v>
      </x:c>
      <x:c r="S15" s="41" t="n">
        <x:f>IFERROR(H15-P15,"")</x:f>
        <x:v>0.38045445091895264</x:v>
      </x:c>
      <x:c r="T15" s="41" t="n">
        <x:f>IFERROR(I15-M15,"")</x:f>
        <x:v>-7.107196</x:v>
      </x:c>
      <x:c r="U15" s="41" t="n">
        <x:f>IFERROR(E15-M15,"")</x:f>
        <x:v>2.8776710000000003</x:v>
      </x:c>
      <x:c r="V15" s="41" t="str">
        <x:f>IF(AND(I15&gt;M15,J15&gt;N15),"Sí","No")</x:f>
        <x:v>No</x:v>
      </x:c>
      <x:c r="W15" s="41" t="str">
        <x:f>IF(AND(E15&gt;M15,F15&gt;N15),"Sí","No")</x:f>
        <x:v>Sí</x:v>
      </x:c>
      <x:c r="X15" s="41" t="str">
        <x:f>IF(L15&gt;=H15,"Weekly","No weekly")</x:f>
        <x:v>No weekly</x:v>
      </x:c>
      <x:c r="Y15" s="41" t="n">
        <x:f>IFERROR(I15-E15,"")</x:f>
        <x:v>-9.984867000000001</x:v>
      </x:c>
      <x:c r="Z15" s="41" t="n">
        <x:f>IFERROR(J15-F15,"")</x:f>
        <x:v>-0.6839270000000006</x:v>
      </x:c>
      <x:c r="AA15" s="41" t="n">
        <x:v>280</x:v>
      </x:c>
      <x:c r="AB15" s="41" t="n">
        <x:v>2365</x:v>
      </x:c>
    </x:row>
    <x:row r="16">
      <x:c r="A16" s="41" t="str">
        <x:v>HYP_DD20_ADAPT_SL10_REDUCED_20_V1</x:v>
      </x:c>
      <x:c r="B16" s="41" t="str">
        <x:v>dd20_adaptive_research</x:v>
      </x:c>
      <x:c r="C16" s="41" t="str">
        <x:v>1999-01-04</x:v>
      </x:c>
      <x:c r="D16" s="41" t="str">
        <x:v>2026-05-22</x:v>
      </x:c>
      <x:c r="E16" s="41" t="n">
        <x:v>9.032974</x:v>
      </x:c>
      <x:c r="F16" s="41" t="n">
        <x:v>-20.46834</x:v>
      </x:c>
      <x:c r="G16" s="41" t="n">
        <x:v>967.279324</x:v>
      </x:c>
      <x:c r="H16" s="41" t="n">
        <x:f>IFERROR(E16/ABS(F16),"")</x:f>
        <x:v>0.4413144397640453</x:v>
      </x:c>
      <x:c r="I16" s="41" t="n">
        <x:v>5.58488</x:v>
      </x:c>
      <x:c r="J16" s="41" t="n">
        <x:v>-19.264125</x:v>
      </x:c>
      <x:c r="K16" s="41" t="n">
        <x:v>342.772019</x:v>
      </x:c>
      <x:c r="L16" s="41" t="n">
        <x:f>IFERROR(I16/ABS(J16),"")</x:f>
        <x:v>0.2899109095274247</x:v>
      </x:c>
      <x:c r="M16" s="41" t="n">
        <x:v>6.802475</x:v>
      </x:c>
      <x:c r="N16" s="41" t="n">
        <x:v>-56.473669</x:v>
      </x:c>
      <x:c r="O16" s="41" t="n">
        <x:v>506.057416</x:v>
      </x:c>
      <x:c r="P16" s="41" t="n">
        <x:f>IFERROR(M16/ABS(N16),"")</x:f>
        <x:v>0.12045392340278087</x:v>
      </x:c>
      <x:c r="Q16" s="41" t="str">
        <x:f>IF(L16&gt;=MAX(H16,P16),"Weekly",IF(H16&gt;=MAX(L16,P16),"No weekly","SPY"))</x:f>
        <x:v>No weekly</x:v>
      </x:c>
      <x:c r="R16" s="41" t="n">
        <x:f>IFERROR(L16-P16,"")</x:f>
        <x:v>0.16945698612464383</x:v>
      </x:c>
      <x:c r="S16" s="41" t="n">
        <x:f>IFERROR(H16-P16,"")</x:f>
        <x:v>0.3208605163612644</x:v>
      </x:c>
      <x:c r="T16" s="41" t="n">
        <x:f>IFERROR(I16-M16,"")</x:f>
        <x:v>-1.2175950000000002</x:v>
      </x:c>
      <x:c r="U16" s="41" t="n">
        <x:f>IFERROR(E16-M16,"")</x:f>
        <x:v>2.230498999999999</x:v>
      </x:c>
      <x:c r="V16" s="41" t="str">
        <x:f>IF(AND(I16&gt;M16,J16&gt;N16),"Sí","No")</x:f>
        <x:v>No</x:v>
      </x:c>
      <x:c r="W16" s="41" t="str">
        <x:f>IF(AND(E16&gt;M16,F16&gt;N16),"Sí","No")</x:f>
        <x:v>Sí</x:v>
      </x:c>
      <x:c r="X16" s="41" t="str">
        <x:f>IF(L16&gt;=H16,"Weekly","No weekly")</x:f>
        <x:v>No weekly</x:v>
      </x:c>
      <x:c r="Y16" s="41" t="n">
        <x:f>IFERROR(I16-E16,"")</x:f>
        <x:v>-3.4480939999999993</x:v>
      </x:c>
      <x:c r="Z16" s="41" t="n">
        <x:f>IFERROR(J16-F16,"")</x:f>
        <x:v>1.2042150000000014</x:v>
      </x:c>
      <x:c r="AA16" s="41" t="n">
        <x:v>8788</x:v>
      </x:c>
      <x:c r="AB16" s="41" t="n">
        <x:v>2405</x:v>
      </x:c>
    </x:row>
    <x:row r="17">
      <x:c r="A17" s="41" t="str">
        <x:v>HYP_DD20_ADAPT_SL10_REDUCED_25_V1</x:v>
      </x:c>
      <x:c r="B17" s="41" t="str">
        <x:v>dd20_adaptive_research</x:v>
      </x:c>
      <x:c r="C17" s="41" t="str">
        <x:v>1999-01-04</x:v>
      </x:c>
      <x:c r="D17" s="41" t="str">
        <x:v>2026-05-22</x:v>
      </x:c>
      <x:c r="E17" s="41" t="n">
        <x:v>9.137432</x:v>
      </x:c>
      <x:c r="F17" s="41" t="n">
        <x:v>-19.797966</x:v>
      </x:c>
      <x:c r="G17" s="41" t="n">
        <x:v>995.63046</x:v>
      </x:c>
      <x:c r="H17" s="41" t="n">
        <x:f>IFERROR(E17/ABS(F17),"")</x:f>
        <x:v>0.4615338767628958</x:v>
      </x:c>
      <x:c r="I17" s="41" t="n">
        <x:v>1.14871</x:v>
      </x:c>
      <x:c r="J17" s="41" t="n">
        <x:v>-22.668309</x:v>
      </x:c>
      <x:c r="K17" s="41" t="n">
        <x:v>36.71211</x:v>
      </x:c>
      <x:c r="L17" s="41" t="n">
        <x:f>IFERROR(I17/ABS(J17),"")</x:f>
        <x:v>0.05067471067206645</x:v>
      </x:c>
      <x:c r="M17" s="41" t="n">
        <x:v>6.802475</x:v>
      </x:c>
      <x:c r="N17" s="41" t="n">
        <x:v>-56.473669</x:v>
      </x:c>
      <x:c r="O17" s="41" t="n">
        <x:v>506.057416</x:v>
      </x:c>
      <x:c r="P17" s="41" t="n">
        <x:f>IFERROR(M17/ABS(N17),"")</x:f>
        <x:v>0.12045392340278087</x:v>
      </x:c>
      <x:c r="Q17" s="41" t="str">
        <x:f>IF(L17&gt;=MAX(H17,P17),"Weekly",IF(H17&gt;=MAX(L17,P17),"No weekly","SPY"))</x:f>
        <x:v>No weekly</x:v>
      </x:c>
      <x:c r="R17" s="41" t="n">
        <x:f>IFERROR(L17-P17,"")</x:f>
        <x:v>-0.06977921273071441</x:v>
      </x:c>
      <x:c r="S17" s="41" t="n">
        <x:f>IFERROR(H17-P17,"")</x:f>
        <x:v>0.34107995336011493</x:v>
      </x:c>
      <x:c r="T17" s="41" t="n">
        <x:f>IFERROR(I17-M17,"")</x:f>
        <x:v>-5.653765</x:v>
      </x:c>
      <x:c r="U17" s="41" t="n">
        <x:f>IFERROR(E17-M17,"")</x:f>
        <x:v>2.334957</x:v>
      </x:c>
      <x:c r="V17" s="41" t="str">
        <x:f>IF(AND(I17&gt;M17,J17&gt;N17),"Sí","No")</x:f>
        <x:v>No</x:v>
      </x:c>
      <x:c r="W17" s="41" t="str">
        <x:f>IF(AND(E17&gt;M17,F17&gt;N17),"Sí","No")</x:f>
        <x:v>Sí</x:v>
      </x:c>
      <x:c r="X17" s="41" t="str">
        <x:f>IF(L17&gt;=H17,"Weekly","No weekly")</x:f>
        <x:v>No weekly</x:v>
      </x:c>
      <x:c r="Y17" s="41" t="n">
        <x:f>IFERROR(I17-E17,"")</x:f>
        <x:v>-7.988722000000001</x:v>
      </x:c>
      <x:c r="Z17" s="41" t="n">
        <x:f>IFERROR(J17-F17,"")</x:f>
        <x:v>-2.870343000000002</x:v>
      </x:c>
      <x:c r="AA17" s="41" t="n">
        <x:v>3460</x:v>
      </x:c>
      <x:c r="AB17" s="41" t="n">
        <x:v>2405</x:v>
      </x:c>
    </x:row>
    <x:row r="18">
      <x:c r="A18" s="41" t="str">
        <x:v>HYP_DD20_ADAPT_SL10_TOPN5_WHEN_GUARD_V1</x:v>
      </x:c>
      <x:c r="B18" s="41" t="str">
        <x:v>dd20_adaptive_research</x:v>
      </x:c>
      <x:c r="C18" s="41" t="str">
        <x:v>1999-01-04</x:v>
      </x:c>
      <x:c r="D18" s="41" t="str">
        <x:v>2026-05-22</x:v>
      </x:c>
      <x:c r="E18" s="41" t="n">
        <x:v>10.240538</x:v>
      </x:c>
      <x:c r="F18" s="41" t="n">
        <x:v>-19.325183</x:v>
      </x:c>
      <x:c r="G18" s="41" t="n">
        <x:v>1342.920075</x:v>
      </x:c>
      <x:c r="H18" s="41" t="n">
        <x:f>IFERROR(E18/ABS(F18),"")</x:f>
        <x:v>0.5299063920895343</x:v>
      </x:c>
      <x:c r="I18" s="41" t="n">
        <x:v>8.485549</x:v>
      </x:c>
      <x:c r="J18" s="41" t="n">
        <x:v>-22.759157</x:v>
      </x:c>
      <x:c r="K18" s="41" t="n">
        <x:v>829.885811</x:v>
      </x:c>
      <x:c r="L18" s="41" t="n">
        <x:f>IFERROR(I18/ABS(J18),"")</x:f>
        <x:v>0.37284109424615336</x:v>
      </x:c>
      <x:c r="M18" s="41" t="n">
        <x:v>6.802475</x:v>
      </x:c>
      <x:c r="N18" s="41" t="n">
        <x:v>-56.473669</x:v>
      </x:c>
      <x:c r="O18" s="41" t="n">
        <x:v>506.057416</x:v>
      </x:c>
      <x:c r="P18" s="41" t="n">
        <x:f>IFERROR(M18/ABS(N18),"")</x:f>
        <x:v>0.12045392340278087</x:v>
      </x:c>
      <x:c r="Q18" s="41" t="str">
        <x:f>IF(L18&gt;=MAX(H18,P18),"Weekly",IF(H18&gt;=MAX(L18,P18),"No weekly","SPY"))</x:f>
        <x:v>No weekly</x:v>
      </x:c>
      <x:c r="R18" s="41" t="n">
        <x:f>IFERROR(L18-P18,"")</x:f>
        <x:v>0.2523871708433725</x:v>
      </x:c>
      <x:c r="S18" s="41" t="n">
        <x:f>IFERROR(H18-P18,"")</x:f>
        <x:v>0.4094524686867534</x:v>
      </x:c>
      <x:c r="T18" s="41" t="n">
        <x:f>IFERROR(I18-M18,"")</x:f>
        <x:v>1.6830740000000004</x:v>
      </x:c>
      <x:c r="U18" s="41" t="n">
        <x:f>IFERROR(E18-M18,"")</x:f>
        <x:v>3.4380630000000005</x:v>
      </x:c>
      <x:c r="V18" s="41" t="str">
        <x:f>IF(AND(I18&gt;M18,J18&gt;N18),"Sí","No")</x:f>
        <x:v>Sí</x:v>
      </x:c>
      <x:c r="W18" s="41" t="str">
        <x:f>IF(AND(E18&gt;M18,F18&gt;N18),"Sí","No")</x:f>
        <x:v>Sí</x:v>
      </x:c>
      <x:c r="X18" s="41" t="str">
        <x:f>IF(L18&gt;=H18,"Weekly","No weekly")</x:f>
        <x:v>No weekly</x:v>
      </x:c>
      <x:c r="Y18" s="41" t="n">
        <x:f>IFERROR(I18-E18,"")</x:f>
        <x:v>-1.7549890000000001</x:v>
      </x:c>
      <x:c r="Z18" s="41" t="n">
        <x:f>IFERROR(J18-F18,"")</x:f>
        <x:v>-3.433973999999999</x:v>
      </x:c>
      <x:c r="AA18" s="41" t="n">
        <x:v>8461</x:v>
      </x:c>
      <x:c r="AB18" s="41" t="n">
        <x:v>2388</x:v>
      </x:c>
    </x:row>
    <x:row r="19">
      <x:c r="A19" s="41" t="str">
        <x:v>HYP_DD20_CAGR_DYN8050250_SL11_TOPN8_V1</x:v>
      </x:c>
      <x:c r="B19" s="41" t="str">
        <x:v>dd20_adaptive_research</x:v>
      </x:c>
      <x:c r="C19" s="41" t="str">
        <x:v>1999-01-04</x:v>
      </x:c>
      <x:c r="D19" s="41" t="str">
        <x:v>2026-05-22</x:v>
      </x:c>
      <x:c r="E19" s="41" t="n">
        <x:v>10.534843</x:v>
      </x:c>
      <x:c r="F19" s="41" t="n">
        <x:v>-19.658782</x:v>
      </x:c>
      <x:c r="G19" s="41" t="n">
        <x:v>1452.183784</x:v>
      </x:c>
      <x:c r="H19" s="41" t="n">
        <x:f>IFERROR(E19/ABS(F19),"")</x:f>
        <x:v>0.5358848274526876</x:v>
      </x:c>
      <x:c r="I19" s="41" t="n">
        <x:v>1.943848</x:v>
      </x:c>
      <x:c r="J19" s="41" t="n">
        <x:v>-21.866627</x:v>
      </x:c>
      <x:c r="K19" s="41" t="n">
        <x:v>69.399584</x:v>
      </x:c>
      <x:c r="L19" s="41" t="n">
        <x:f>IFERROR(I19/ABS(J19),"")</x:f>
        <x:v>0.08889564906375363</x:v>
      </x:c>
      <x:c r="M19" s="41" t="n">
        <x:v>6.802475</x:v>
      </x:c>
      <x:c r="N19" s="41" t="n">
        <x:v>-56.473669</x:v>
      </x:c>
      <x:c r="O19" s="41" t="n">
        <x:v>506.057416</x:v>
      </x:c>
      <x:c r="P19" s="41" t="n">
        <x:f>IFERROR(M19/ABS(N19),"")</x:f>
        <x:v>0.12045392340278087</x:v>
      </x:c>
      <x:c r="Q19" s="41" t="str">
        <x:f>IF(L19&gt;=MAX(H19,P19),"Weekly",IF(H19&gt;=MAX(L19,P19),"No weekly","SPY"))</x:f>
        <x:v>No weekly</x:v>
      </x:c>
      <x:c r="R19" s="41" t="n">
        <x:f>IFERROR(L19-P19,"")</x:f>
        <x:v>-0.031558274339027234</x:v>
      </x:c>
      <x:c r="S19" s="41" t="n">
        <x:f>IFERROR(H19-P19,"")</x:f>
        <x:v>0.41543090404990674</x:v>
      </x:c>
      <x:c r="T19" s="41" t="n">
        <x:f>IFERROR(I19-M19,"")</x:f>
        <x:v>-4.858627</x:v>
      </x:c>
      <x:c r="U19" s="41" t="n">
        <x:f>IFERROR(E19-M19,"")</x:f>
        <x:v>3.732368</x:v>
      </x:c>
      <x:c r="V19" s="41" t="str">
        <x:f>IF(AND(I19&gt;M19,J19&gt;N19),"Sí","No")</x:f>
        <x:v>No</x:v>
      </x:c>
      <x:c r="W19" s="41" t="str">
        <x:f>IF(AND(E19&gt;M19,F19&gt;N19),"Sí","No")</x:f>
        <x:v>Sí</x:v>
      </x:c>
      <x:c r="X19" s="41" t="str">
        <x:f>IF(L19&gt;=H19,"Weekly","No weekly")</x:f>
        <x:v>No weekly</x:v>
      </x:c>
      <x:c r="Y19" s="41" t="n">
        <x:f>IFERROR(I19-E19,"")</x:f>
        <x:v>-8.590995</x:v>
      </x:c>
      <x:c r="Z19" s="41" t="n">
        <x:f>IFERROR(J19-F19,"")</x:f>
        <x:v>-2.2078450000000025</x:v>
      </x:c>
      <x:c r="AA19" s="41" t="n">
        <x:v>2319</x:v>
      </x:c>
      <x:c r="AB19" s="41" t="n">
        <x:v>2354</x:v>
      </x:c>
    </x:row>
    <x:row r="20">
      <x:c r="A20" s="41" t="str">
        <x:v>HYP_DD20_CAGR_DYN8055200_SL11_TOPN8_V1</x:v>
      </x:c>
      <x:c r="B20" s="41" t="str">
        <x:v>dd20_adaptive_research</x:v>
      </x:c>
      <x:c r="C20" s="41" t="str">
        <x:v>1999-01-04</x:v>
      </x:c>
      <x:c r="D20" s="41" t="str">
        <x:v>2026-05-22</x:v>
      </x:c>
      <x:c r="E20" s="41" t="n">
        <x:v>10.735004</x:v>
      </x:c>
      <x:c r="F20" s="41" t="n">
        <x:v>-19.658782</x:v>
      </x:c>
      <x:c r="G20" s="41" t="n">
        <x:v>1531.004653</x:v>
      </x:c>
      <x:c r="H20" s="41" t="n">
        <x:f>IFERROR(E20/ABS(F20),"")</x:f>
        <x:v>0.5460665874416839</x:v>
      </x:c>
      <x:c r="I20" s="41" t="n">
        <x:v>8.726953</x:v>
      </x:c>
      <x:c r="J20" s="41" t="n">
        <x:v>-20.720114</x:v>
      </x:c>
      <x:c r="K20" s="41" t="n">
        <x:v>888.231682</x:v>
      </x:c>
      <x:c r="L20" s="41" t="n">
        <x:f>IFERROR(I20/ABS(J20),"")</x:f>
        <x:v>0.42118267302969475</x:v>
      </x:c>
      <x:c r="M20" s="41" t="n">
        <x:v>6.802475</x:v>
      </x:c>
      <x:c r="N20" s="41" t="n">
        <x:v>-56.473669</x:v>
      </x:c>
      <x:c r="O20" s="41" t="n">
        <x:v>506.057416</x:v>
      </x:c>
      <x:c r="P20" s="41" t="n">
        <x:f>IFERROR(M20/ABS(N20),"")</x:f>
        <x:v>0.12045392340278087</x:v>
      </x:c>
      <x:c r="Q20" s="41" t="str">
        <x:f>IF(L20&gt;=MAX(H20,P20),"Weekly",IF(H20&gt;=MAX(L20,P20),"No weekly","SPY"))</x:f>
        <x:v>No weekly</x:v>
      </x:c>
      <x:c r="R20" s="41" t="n">
        <x:f>IFERROR(L20-P20,"")</x:f>
        <x:v>0.30072874962691387</x:v>
      </x:c>
      <x:c r="S20" s="41" t="n">
        <x:f>IFERROR(H20-P20,"")</x:f>
        <x:v>0.425612664038903</x:v>
      </x:c>
      <x:c r="T20" s="41" t="n">
        <x:f>IFERROR(I20-M20,"")</x:f>
        <x:v>1.9244779999999997</x:v>
      </x:c>
      <x:c r="U20" s="41" t="n">
        <x:f>IFERROR(E20-M20,"")</x:f>
        <x:v>3.9325289999999997</x:v>
      </x:c>
      <x:c r="V20" s="41" t="str">
        <x:f>IF(AND(I20&gt;M20,J20&gt;N20),"Sí","No")</x:f>
        <x:v>Sí</x:v>
      </x:c>
      <x:c r="W20" s="41" t="str">
        <x:f>IF(AND(E20&gt;M20,F20&gt;N20),"Sí","No")</x:f>
        <x:v>Sí</x:v>
      </x:c>
      <x:c r="X20" s="41" t="str">
        <x:f>IF(L20&gt;=H20,"Weekly","No weekly")</x:f>
        <x:v>No weekly</x:v>
      </x:c>
      <x:c r="Y20" s="41" t="n">
        <x:f>IFERROR(I20-E20,"")</x:f>
        <x:v>-2.008051</x:v>
      </x:c>
      <x:c r="Z20" s="41" t="n">
        <x:f>IFERROR(J20-F20,"")</x:f>
        <x:v>-1.0613320000000002</x:v>
      </x:c>
      <x:c r="AA20" s="41" t="n">
        <x:v>8602</x:v>
      </x:c>
      <x:c r="AB20" s="41" t="n">
        <x:v>2353</x:v>
      </x:c>
    </x:row>
    <x:row r="21">
      <x:c r="A21" s="41" t="str">
        <x:v>HYP_DD20_CAGR_DYN8055250_SL10_TOPN8_V1</x:v>
      </x:c>
      <x:c r="B21" s="41" t="str">
        <x:v>dd20_adaptive_research</x:v>
      </x:c>
      <x:c r="C21" s="41" t="str">
        <x:v>1999-01-04</x:v>
      </x:c>
      <x:c r="D21" s="41" t="str">
        <x:v>2026-05-22</x:v>
      </x:c>
      <x:c r="E21" s="41" t="n">
        <x:v>10.427723</x:v>
      </x:c>
      <x:c r="F21" s="41" t="n">
        <x:v>-19.325183</x:v>
      </x:c>
      <x:c r="G21" s="41" t="n">
        <x:v>1411.522443</x:v>
      </x:c>
      <x:c r="H21" s="41" t="n">
        <x:f>IFERROR(E21/ABS(F21),"")</x:f>
        <x:v>0.539592458193022</x:v>
      </x:c>
      <x:c r="I21" s="41" t="n">
        <x:v>8.471603</x:v>
      </x:c>
      <x:c r="J21" s="41" t="n">
        <x:v>-21.848804</x:v>
      </x:c>
      <x:c r="K21" s="41" t="n">
        <x:v>826.618564</x:v>
      </x:c>
      <x:c r="L21" s="41" t="n">
        <x:f>IFERROR(I21/ABS(J21),"")</x:f>
        <x:v>0.3877376079715851</x:v>
      </x:c>
      <x:c r="M21" s="41" t="n">
        <x:v>6.802475</x:v>
      </x:c>
      <x:c r="N21" s="41" t="n">
        <x:v>-56.473669</x:v>
      </x:c>
      <x:c r="O21" s="41" t="n">
        <x:v>506.057416</x:v>
      </x:c>
      <x:c r="P21" s="41" t="n">
        <x:f>IFERROR(M21/ABS(N21),"")</x:f>
        <x:v>0.12045392340278087</x:v>
      </x:c>
      <x:c r="Q21" s="41" t="str">
        <x:f>IF(L21&gt;=MAX(H21,P21),"Weekly",IF(H21&gt;=MAX(L21,P21),"No weekly","SPY"))</x:f>
        <x:v>No weekly</x:v>
      </x:c>
      <x:c r="R21" s="41" t="n">
        <x:f>IFERROR(L21-P21,"")</x:f>
        <x:v>0.2672836845688042</x:v>
      </x:c>
      <x:c r="S21" s="41" t="n">
        <x:f>IFERROR(H21-P21,"")</x:f>
        <x:v>0.41913853479024116</x:v>
      </x:c>
      <x:c r="T21" s="41" t="n">
        <x:f>IFERROR(I21-M21,"")</x:f>
        <x:v>1.6691279999999997</x:v>
      </x:c>
      <x:c r="U21" s="41" t="n">
        <x:f>IFERROR(E21-M21,"")</x:f>
        <x:v>3.625248</x:v>
      </x:c>
      <x:c r="V21" s="41" t="str">
        <x:f>IF(AND(I21&gt;M21,J21&gt;N21),"Sí","No")</x:f>
        <x:v>Sí</x:v>
      </x:c>
      <x:c r="W21" s="41" t="str">
        <x:f>IF(AND(E21&gt;M21,F21&gt;N21),"Sí","No")</x:f>
        <x:v>Sí</x:v>
      </x:c>
      <x:c r="X21" s="41" t="str">
        <x:f>IF(L21&gt;=H21,"Weekly","No weekly")</x:f>
        <x:v>No weekly</x:v>
      </x:c>
      <x:c r="Y21" s="41" t="n">
        <x:f>IFERROR(I21-E21,"")</x:f>
        <x:v>-1.9561200000000003</x:v>
      </x:c>
      <x:c r="Z21" s="41" t="n">
        <x:f>IFERROR(J21-F21,"")</x:f>
        <x:v>-2.523621000000002</x:v>
      </x:c>
      <x:c r="AA21" s="41" t="n">
        <x:v>8532</x:v>
      </x:c>
      <x:c r="AB21" s="41" t="n">
        <x:v>2387</x:v>
      </x:c>
    </x:row>
    <x:row r="22">
      <x:c r="A22" s="41" t="str">
        <x:v>HYP_DD20_CAGR_DYN8550200_SL11_TOPN8_V1</x:v>
      </x:c>
      <x:c r="B22" s="41" t="str">
        <x:v>dd20_adaptive_research</x:v>
      </x:c>
      <x:c r="C22" s="41" t="str">
        <x:v>1999-01-04</x:v>
      </x:c>
      <x:c r="D22" s="41" t="str">
        <x:v>2026-05-22</x:v>
      </x:c>
      <x:c r="E22" s="41" t="n">
        <x:v>11.106131</x:v>
      </x:c>
      <x:c r="F22" s="41" t="n">
        <x:v>-20.77616</x:v>
      </x:c>
      <x:c r="G22" s="41" t="n">
        <x:v>1687.470586</x:v>
      </x:c>
      <x:c r="H22" s="41" t="n">
        <x:f>IFERROR(E22/ABS(F22),"")</x:f>
        <x:v>0.5345612952537908</x:v>
      </x:c>
      <x:c r="I22" s="41" t="n">
        <x:v>1.846943</x:v>
      </x:c>
      <x:c r="J22" s="41" t="n">
        <x:v>-22.400305</x:v>
      </x:c>
      <x:c r="K22" s="41" t="n">
        <x:v>65.045738</x:v>
      </x:c>
      <x:c r="L22" s="41" t="n">
        <x:f>IFERROR(I22/ABS(J22),"")</x:f>
        <x:v>0.08245168983190185</x:v>
      </x:c>
      <x:c r="M22" s="41" t="n">
        <x:v>6.802475</x:v>
      </x:c>
      <x:c r="N22" s="41" t="n">
        <x:v>-56.473669</x:v>
      </x:c>
      <x:c r="O22" s="41" t="n">
        <x:v>506.057416</x:v>
      </x:c>
      <x:c r="P22" s="41" t="n">
        <x:f>IFERROR(M22/ABS(N22),"")</x:f>
        <x:v>0.12045392340278087</x:v>
      </x:c>
      <x:c r="Q22" s="41" t="str">
        <x:f>IF(L22&gt;=MAX(H22,P22),"Weekly",IF(H22&gt;=MAX(L22,P22),"No weekly","SPY"))</x:f>
        <x:v>No weekly</x:v>
      </x:c>
      <x:c r="R22" s="41" t="n">
        <x:f>IFERROR(L22-P22,"")</x:f>
        <x:v>-0.03800223357087902</x:v>
      </x:c>
      <x:c r="S22" s="41" t="n">
        <x:f>IFERROR(H22-P22,"")</x:f>
        <x:v>0.41410737185100993</x:v>
      </x:c>
      <x:c r="T22" s="41" t="n">
        <x:f>IFERROR(I22-M22,"")</x:f>
        <x:v>-4.955532</x:v>
      </x:c>
      <x:c r="U22" s="41" t="n">
        <x:f>IFERROR(E22-M22,"")</x:f>
        <x:v>4.303655999999999</x:v>
      </x:c>
      <x:c r="V22" s="41" t="str">
        <x:f>IF(AND(I22&gt;M22,J22&gt;N22),"Sí","No")</x:f>
        <x:v>No</x:v>
      </x:c>
      <x:c r="W22" s="41" t="str">
        <x:f>IF(AND(E22&gt;M22,F22&gt;N22),"Sí","No")</x:f>
        <x:v>Sí</x:v>
      </x:c>
      <x:c r="X22" s="41" t="str">
        <x:f>IF(L22&gt;=H22,"Weekly","No weekly")</x:f>
        <x:v>No weekly</x:v>
      </x:c>
      <x:c r="Y22" s="41" t="n">
        <x:f>IFERROR(I22-E22,"")</x:f>
        <x:v>-9.259188</x:v>
      </x:c>
      <x:c r="Z22" s="41" t="n">
        <x:f>IFERROR(J22-F22,"")</x:f>
        <x:v>-1.6241449999999986</x:v>
      </x:c>
      <x:c r="AA22" s="41" t="n">
        <x:v>2304</x:v>
      </x:c>
      <x:c r="AB22" s="41" t="n">
        <x:v>2319</x:v>
      </x:c>
    </x:row>
    <x:row r="23">
      <x:c r="A23" s="41" t="str">
        <x:v>HYP_DD20_CAGR_DYN8555200_SL11_TOPN10_V1</x:v>
      </x:c>
      <x:c r="B23" s="41" t="str">
        <x:v>dd20_adaptive_research</x:v>
      </x:c>
      <x:c r="C23" s="41" t="str">
        <x:v>1999-01-04</x:v>
      </x:c>
      <x:c r="D23" s="41" t="str">
        <x:v>2026-05-22</x:v>
      </x:c>
      <x:c r="E23" s="41" t="n">
        <x:v>11.133843</x:v>
      </x:c>
      <x:c r="F23" s="41" t="n">
        <x:v>-20.77616</x:v>
      </x:c>
      <x:c r="G23" s="41" t="n">
        <x:v>1699.716996</x:v>
      </x:c>
      <x:c r="H23" s="41" t="n">
        <x:f>IFERROR(E23/ABS(F23),"")</x:f>
        <x:v>0.5358951317279035</x:v>
      </x:c>
      <x:c r="I23" s="41" t="n">
        <x:v>9.144386</x:v>
      </x:c>
      <x:c r="J23" s="41" t="n">
        <x:v>-23.140985</x:v>
      </x:c>
      <x:c r="K23" s="41" t="n">
        <x:v>997.543411</x:v>
      </x:c>
      <x:c r="L23" s="41" t="n">
        <x:f>IFERROR(I23/ABS(J23),"")</x:f>
        <x:v>0.39515975659635927</x:v>
      </x:c>
      <x:c r="M23" s="41" t="n">
        <x:v>6.802475</x:v>
      </x:c>
      <x:c r="N23" s="41" t="n">
        <x:v>-56.473669</x:v>
      </x:c>
      <x:c r="O23" s="41" t="n">
        <x:v>506.057416</x:v>
      </x:c>
      <x:c r="P23" s="41" t="n">
        <x:f>IFERROR(M23/ABS(N23),"")</x:f>
        <x:v>0.12045392340278087</x:v>
      </x:c>
      <x:c r="Q23" s="41" t="str">
        <x:f>IF(L23&gt;=MAX(H23,P23),"Weekly",IF(H23&gt;=MAX(L23,P23),"No weekly","SPY"))</x:f>
        <x:v>No weekly</x:v>
      </x:c>
      <x:c r="R23" s="41" t="n">
        <x:f>IFERROR(L23-P23,"")</x:f>
        <x:v>0.2747058331935784</x:v>
      </x:c>
      <x:c r="S23" s="41" t="n">
        <x:f>IFERROR(H23-P23,"")</x:f>
        <x:v>0.4154412083251226</x:v>
      </x:c>
      <x:c r="T23" s="41" t="n">
        <x:f>IFERROR(I23-M23,"")</x:f>
        <x:v>2.3419110000000005</x:v>
      </x:c>
      <x:c r="U23" s="41" t="n">
        <x:f>IFERROR(E23-M23,"")</x:f>
        <x:v>4.331368</x:v>
      </x:c>
      <x:c r="V23" s="41" t="str">
        <x:f>IF(AND(I23&gt;M23,J23&gt;N23),"Sí","No")</x:f>
        <x:v>Sí</x:v>
      </x:c>
      <x:c r="W23" s="41" t="str">
        <x:f>IF(AND(E23&gt;M23,F23&gt;N23),"Sí","No")</x:f>
        <x:v>Sí</x:v>
      </x:c>
      <x:c r="X23" s="41" t="str">
        <x:f>IF(L23&gt;=H23,"Weekly","No weekly")</x:f>
        <x:v>No weekly</x:v>
      </x:c>
      <x:c r="Y23" s="41" t="n">
        <x:f>IFERROR(I23-E23,"")</x:f>
        <x:v>-1.9894569999999998</x:v>
      </x:c>
      <x:c r="Z23" s="41" t="n">
        <x:f>IFERROR(J23-F23,"")</x:f>
        <x:v>-2.3648249999999997</x:v>
      </x:c>
      <x:c r="AA23" s="41" t="n">
        <x:v>8525</x:v>
      </x:c>
      <x:c r="AB23" s="41" t="n">
        <x:v>2314</x:v>
      </x:c>
    </x:row>
    <x:row r="24">
      <x:c r="A24" s="41" t="str">
        <x:v>HYP_DD20_CAGR_SL10P5_TOPN8_GUARD18_10_V1</x:v>
      </x:c>
      <x:c r="B24" s="41" t="str">
        <x:v>dd20_adaptive_research</x:v>
      </x:c>
      <x:c r="C24" s="41" t="str">
        <x:v>1999-01-04</x:v>
      </x:c>
      <x:c r="D24" s="41" t="str">
        <x:v>2026-05-22</x:v>
      </x:c>
      <x:c r="E24" s="41" t="n">
        <x:v>10.259259</x:v>
      </x:c>
      <x:c r="F24" s="41" t="n">
        <x:v>-19.192929</x:v>
      </x:c>
      <x:c r="G24" s="41" t="n">
        <x:v>1349.64394</x:v>
      </x:c>
      <x:c r="H24" s="41" t="n">
        <x:f>IFERROR(E24/ABS(F24),"")</x:f>
        <x:v>0.5345332648289378</x:v>
      </x:c>
      <x:c r="I24" s="41" t="n">
        <x:v>8.393618</x:v>
      </x:c>
      <x:c r="J24" s="41" t="n">
        <x:v>-21.708303</x:v>
      </x:c>
      <x:c r="K24" s="41" t="n">
        <x:v>808.551335</x:v>
      </x:c>
      <x:c r="L24" s="41" t="n">
        <x:f>IFERROR(I24/ABS(J24),"")</x:f>
        <x:v>0.38665472837743237</x:v>
      </x:c>
      <x:c r="M24" s="41" t="n">
        <x:v>6.802475</x:v>
      </x:c>
      <x:c r="N24" s="41" t="n">
        <x:v>-56.473669</x:v>
      </x:c>
      <x:c r="O24" s="41" t="n">
        <x:v>506.057416</x:v>
      </x:c>
      <x:c r="P24" s="41" t="n">
        <x:f>IFERROR(M24/ABS(N24),"")</x:f>
        <x:v>0.12045392340278087</x:v>
      </x:c>
      <x:c r="Q24" s="41" t="str">
        <x:f>IF(L24&gt;=MAX(H24,P24),"Weekly",IF(H24&gt;=MAX(L24,P24),"No weekly","SPY"))</x:f>
        <x:v>No weekly</x:v>
      </x:c>
      <x:c r="R24" s="41" t="n">
        <x:f>IFERROR(L24-P24,"")</x:f>
        <x:v>0.2662008049746515</x:v>
      </x:c>
      <x:c r="S24" s="41" t="n">
        <x:f>IFERROR(H24-P24,"")</x:f>
        <x:v>0.41407934142615693</x:v>
      </x:c>
      <x:c r="T24" s="41" t="n">
        <x:f>IFERROR(I24-M24,"")</x:f>
        <x:v>1.5911429999999998</x:v>
      </x:c>
      <x:c r="U24" s="41" t="n">
        <x:f>IFERROR(E24-M24,"")</x:f>
        <x:v>3.456784</x:v>
      </x:c>
      <x:c r="V24" s="41" t="str">
        <x:f>IF(AND(I24&gt;M24,J24&gt;N24),"Sí","No")</x:f>
        <x:v>Sí</x:v>
      </x:c>
      <x:c r="W24" s="41" t="str">
        <x:f>IF(AND(E24&gt;M24,F24&gt;N24),"Sí","No")</x:f>
        <x:v>Sí</x:v>
      </x:c>
      <x:c r="X24" s="41" t="str">
        <x:f>IF(L24&gt;=H24,"Weekly","No weekly")</x:f>
        <x:v>No weekly</x:v>
      </x:c>
      <x:c r="Y24" s="41" t="n">
        <x:f>IFERROR(I24-E24,"")</x:f>
        <x:v>-1.865641</x:v>
      </x:c>
      <x:c r="Z24" s="41" t="n">
        <x:f>IFERROR(J24-F24,"")</x:f>
        <x:v>-2.5153740000000013</x:v>
      </x:c>
      <x:c r="AA24" s="41" t="n">
        <x:v>8597</x:v>
      </x:c>
      <x:c r="AB24" s="41" t="n">
        <x:v>2370</x:v>
      </x:c>
    </x:row>
    <x:row r="25">
      <x:c r="A25" s="41" t="str">
        <x:v>HYP_DD20_CAGR_SL11_TOPN10_GUARD18_10_V1</x:v>
      </x:c>
      <x:c r="B25" s="41" t="str">
        <x:v>dd20_adaptive_research</x:v>
      </x:c>
      <x:c r="C25" s="41" t="str">
        <x:v>1999-01-04</x:v>
      </x:c>
      <x:c r="D25" s="41" t="str">
        <x:v>2026-05-22</x:v>
      </x:c>
      <x:c r="E25" s="41" t="n">
        <x:v>10.386357</x:v>
      </x:c>
      <x:c r="F25" s="41" t="n">
        <x:v>-19.658782</x:v>
      </x:c>
      <x:c r="G25" s="41" t="n">
        <x:v>1396.096615</x:v>
      </x:c>
      <x:c r="H25" s="41" t="n">
        <x:f>IFERROR(E25/ABS(F25),"")</x:f>
        <x:v>0.5283316636808935</x:v>
      </x:c>
      <x:c r="I25" s="41" t="n">
        <x:v>8.676706</x:v>
      </x:c>
      <x:c r="J25" s="41" t="n">
        <x:v>-21.497718</x:v>
      </x:c>
      <x:c r="K25" s="41" t="n">
        <x:v>875.803882</x:v>
      </x:c>
      <x:c r="L25" s="41" t="n">
        <x:f>IFERROR(I25/ABS(J25),"")</x:f>
        <x:v>0.40361055996734163</x:v>
      </x:c>
      <x:c r="M25" s="41" t="n">
        <x:v>6.802475</x:v>
      </x:c>
      <x:c r="N25" s="41" t="n">
        <x:v>-56.473669</x:v>
      </x:c>
      <x:c r="O25" s="41" t="n">
        <x:v>506.057416</x:v>
      </x:c>
      <x:c r="P25" s="41" t="n">
        <x:f>IFERROR(M25/ABS(N25),"")</x:f>
        <x:v>0.12045392340278087</x:v>
      </x:c>
      <x:c r="Q25" s="41" t="str">
        <x:f>IF(L25&gt;=MAX(H25,P25),"Weekly",IF(H25&gt;=MAX(L25,P25),"No weekly","SPY"))</x:f>
        <x:v>No weekly</x:v>
      </x:c>
      <x:c r="R25" s="41" t="n">
        <x:f>IFERROR(L25-P25,"")</x:f>
        <x:v>0.28315663656456075</x:v>
      </x:c>
      <x:c r="S25" s="41" t="n">
        <x:f>IFERROR(H25-P25,"")</x:f>
        <x:v>0.4078777402781126</x:v>
      </x:c>
      <x:c r="T25" s="41" t="n">
        <x:f>IFERROR(I25-M25,"")</x:f>
        <x:v>1.874230999999999</x:v>
      </x:c>
      <x:c r="U25" s="41" t="n">
        <x:f>IFERROR(E25-M25,"")</x:f>
        <x:v>3.583882</x:v>
      </x:c>
      <x:c r="V25" s="41" t="str">
        <x:f>IF(AND(I25&gt;M25,J25&gt;N25),"Sí","No")</x:f>
        <x:v>Sí</x:v>
      </x:c>
      <x:c r="W25" s="41" t="str">
        <x:f>IF(AND(E25&gt;M25,F25&gt;N25),"Sí","No")</x:f>
        <x:v>Sí</x:v>
      </x:c>
      <x:c r="X25" s="41" t="str">
        <x:f>IF(L25&gt;=H25,"Weekly","No weekly")</x:f>
        <x:v>No weekly</x:v>
      </x:c>
      <x:c r="Y25" s="41" t="n">
        <x:f>IFERROR(I25-E25,"")</x:f>
        <x:v>-1.709651000000001</x:v>
      </x:c>
      <x:c r="Z25" s="41" t="n">
        <x:f>IFERROR(J25-F25,"")</x:f>
        <x:v>-1.8389360000000003</x:v>
      </x:c>
      <x:c r="AA25" s="41" t="n">
        <x:v>8611</x:v>
      </x:c>
      <x:c r="AB25" s="41" t="n">
        <x:v>2362</x:v>
      </x:c>
    </x:row>
    <x:row r="26">
      <x:c r="A26" s="41" t="str">
        <x:v>HYP_DD20_CAGR_SL11_TOPN8_GUARD18_12_V1</x:v>
      </x:c>
      <x:c r="B26" s="41" t="str">
        <x:v>dd20_adaptive_research</x:v>
      </x:c>
      <x:c r="C26" s="41" t="str">
        <x:v>1999-01-04</x:v>
      </x:c>
      <x:c r="D26" s="41" t="str">
        <x:v>2026-05-22</x:v>
      </x:c>
      <x:c r="E26" s="41" t="n">
        <x:v>10.440193</x:v>
      </x:c>
      <x:c r="F26" s="41" t="n">
        <x:v>-19.658782</x:v>
      </x:c>
      <x:c r="G26" s="41" t="n">
        <x:v>1416.20237</x:v>
      </x:c>
      <x:c r="H26" s="41" t="n">
        <x:f>IFERROR(E26/ABS(F26),"")</x:f>
        <x:v>0.5310701853248081</x:v>
      </x:c>
      <x:c r="I26" s="41" t="n">
        <x:v>8.551588</x:v>
      </x:c>
      <x:c r="J26" s="41" t="n">
        <x:v>-20.908095</x:v>
      </x:c>
      <x:c r="K26" s="41" t="n">
        <x:v>845.508566</x:v>
      </x:c>
      <x:c r="L26" s="41" t="n">
        <x:f>IFERROR(I26/ABS(J26),"")</x:f>
        <x:v>0.4090084725557255</x:v>
      </x:c>
      <x:c r="M26" s="41" t="n">
        <x:v>6.802475</x:v>
      </x:c>
      <x:c r="N26" s="41" t="n">
        <x:v>-56.473669</x:v>
      </x:c>
      <x:c r="O26" s="41" t="n">
        <x:v>506.057416</x:v>
      </x:c>
      <x:c r="P26" s="41" t="n">
        <x:f>IFERROR(M26/ABS(N26),"")</x:f>
        <x:v>0.12045392340278087</x:v>
      </x:c>
      <x:c r="Q26" s="41" t="str">
        <x:f>IF(L26&gt;=MAX(H26,P26),"Weekly",IF(H26&gt;=MAX(L26,P26),"No weekly","SPY"))</x:f>
        <x:v>No weekly</x:v>
      </x:c>
      <x:c r="R26" s="41" t="n">
        <x:f>IFERROR(L26-P26,"")</x:f>
        <x:v>0.2885545491529446</x:v>
      </x:c>
      <x:c r="S26" s="41" t="n">
        <x:f>IFERROR(H26-P26,"")</x:f>
        <x:v>0.4106162619220272</x:v>
      </x:c>
      <x:c r="T26" s="41" t="n">
        <x:f>IFERROR(I26-M26,"")</x:f>
        <x:v>1.7491130000000004</x:v>
      </x:c>
      <x:c r="U26" s="41" t="n">
        <x:f>IFERROR(E26-M26,"")</x:f>
        <x:v>3.6377180000000005</x:v>
      </x:c>
      <x:c r="V26" s="41" t="str">
        <x:f>IF(AND(I26&gt;M26,J26&gt;N26),"Sí","No")</x:f>
        <x:v>Sí</x:v>
      </x:c>
      <x:c r="W26" s="41" t="str">
        <x:f>IF(AND(E26&gt;M26,F26&gt;N26),"Sí","No")</x:f>
        <x:v>Sí</x:v>
      </x:c>
      <x:c r="X26" s="41" t="str">
        <x:f>IF(L26&gt;=H26,"Weekly","No weekly")</x:f>
        <x:v>No weekly</x:v>
      </x:c>
      <x:c r="Y26" s="41" t="n">
        <x:f>IFERROR(I26-E26,"")</x:f>
        <x:v>-1.888605</x:v>
      </x:c>
      <x:c r="Z26" s="41" t="n">
        <x:f>IFERROR(J26-F26,"")</x:f>
        <x:v>-1.2493130000000008</x:v>
      </x:c>
      <x:c r="AA26" s="41" t="n">
        <x:v>8578</x:v>
      </x:c>
      <x:c r="AB26" s="41" t="n">
        <x:v>2376</x:v>
      </x:c>
    </x:row>
    <x:row r="27">
      <x:c r="A27" s="41" t="str">
        <x:v>HYP_DD20_CAGR_SL11_TOPN8_GUARD18_14_V1</x:v>
      </x:c>
      <x:c r="B27" s="41" t="str">
        <x:v>dd20_adaptive_research</x:v>
      </x:c>
      <x:c r="C27" s="41" t="str">
        <x:v>1999-01-04</x:v>
      </x:c>
      <x:c r="D27" s="41" t="str">
        <x:v>2026-05-22</x:v>
      </x:c>
      <x:c r="E27" s="41" t="n">
        <x:v>10.349433</x:v>
      </x:c>
      <x:c r="F27" s="41" t="n">
        <x:v>-19.658782</x:v>
      </x:c>
      <x:c r="G27" s="41" t="n">
        <x:v>1382.45543</x:v>
      </x:c>
      <x:c r="H27" s="41" t="n">
        <x:f>IFERROR(E27/ABS(F27),"")</x:f>
        <x:v>0.5264534191385815</x:v>
      </x:c>
      <x:c r="I27" s="41" t="n">
        <x:v>8.597508</x:v>
      </x:c>
      <x:c r="J27" s="41" t="n">
        <x:v>-20.908095</x:v>
      </x:c>
      <x:c r="K27" s="41" t="n">
        <x:v>856.520649</x:v>
      </x:c>
      <x:c r="L27" s="41" t="n">
        <x:f>IFERROR(I27/ABS(J27),"")</x:f>
        <x:v>0.4112047510784698</x:v>
      </x:c>
      <x:c r="M27" s="41" t="n">
        <x:v>6.802475</x:v>
      </x:c>
      <x:c r="N27" s="41" t="n">
        <x:v>-56.473669</x:v>
      </x:c>
      <x:c r="O27" s="41" t="n">
        <x:v>506.057416</x:v>
      </x:c>
      <x:c r="P27" s="41" t="n">
        <x:f>IFERROR(M27/ABS(N27),"")</x:f>
        <x:v>0.12045392340278087</x:v>
      </x:c>
      <x:c r="Q27" s="41" t="str">
        <x:f>IF(L27&gt;=MAX(H27,P27),"Weekly",IF(H27&gt;=MAX(L27,P27),"No weekly","SPY"))</x:f>
        <x:v>No weekly</x:v>
      </x:c>
      <x:c r="R27" s="41" t="n">
        <x:f>IFERROR(L27-P27,"")</x:f>
        <x:v>0.29075082767568894</x:v>
      </x:c>
      <x:c r="S27" s="41" t="n">
        <x:f>IFERROR(H27-P27,"")</x:f>
        <x:v>0.4059994957358006</x:v>
      </x:c>
      <x:c r="T27" s="41" t="n">
        <x:f>IFERROR(I27-M27,"")</x:f>
        <x:v>1.7950329999999992</x:v>
      </x:c>
      <x:c r="U27" s="41" t="n">
        <x:f>IFERROR(E27-M27,"")</x:f>
        <x:v>3.546957999999999</x:v>
      </x:c>
      <x:c r="V27" s="41" t="str">
        <x:f>IF(AND(I27&gt;M27,J27&gt;N27),"Sí","No")</x:f>
        <x:v>Sí</x:v>
      </x:c>
      <x:c r="W27" s="41" t="str">
        <x:f>IF(AND(E27&gt;M27,F27&gt;N27),"Sí","No")</x:f>
        <x:v>Sí</x:v>
      </x:c>
      <x:c r="X27" s="41" t="str">
        <x:f>IF(L27&gt;=H27,"Weekly","No weekly")</x:f>
        <x:v>No weekly</x:v>
      </x:c>
      <x:c r="Y27" s="41" t="n">
        <x:f>IFERROR(I27-E27,"")</x:f>
        <x:v>-1.751925</x:v>
      </x:c>
      <x:c r="Z27" s="41" t="n">
        <x:f>IFERROR(J27-F27,"")</x:f>
        <x:v>-1.2493130000000008</x:v>
      </x:c>
      <x:c r="AA27" s="41" t="n">
        <x:v>8613</x:v>
      </x:c>
      <x:c r="AB27" s="41" t="n">
        <x:v>2369</x:v>
      </x:c>
    </x:row>
    <x:row r="28">
      <x:c r="A28" s="41" t="str">
        <x:v>HYP_DD20_CAGR_SL11_TOPN8_GUARD19_12_V1</x:v>
      </x:c>
      <x:c r="B28" s="41" t="str">
        <x:v>dd20_adaptive_research</x:v>
      </x:c>
      <x:c r="C28" s="41" t="str">
        <x:v>1999-01-04</x:v>
      </x:c>
      <x:c r="D28" s="41" t="str">
        <x:v>2026-05-22</x:v>
      </x:c>
      <x:c r="E28" s="41" t="n">
        <x:v>10.293821</x:v>
      </x:c>
      <x:c r="F28" s="41" t="n">
        <x:v>-19.76182</x:v>
      </x:c>
      <x:c r="G28" s="41" t="n">
        <x:v>1362.13624</x:v>
      </x:c>
      <x:c r="H28" s="41" t="n">
        <x:f>IFERROR(E28/ABS(F28),"")</x:f>
        <x:v>0.5208943811855385</x:v>
      </x:c>
      <x:c r="I28" s="41" t="n">
        <x:v>8.474784</x:v>
      </x:c>
      <x:c r="J28" s="41" t="n">
        <x:v>-21.39554</x:v>
      </x:c>
      <x:c r="K28" s="41" t="n">
        <x:v>827.362746</x:v>
      </x:c>
      <x:c r="L28" s="41" t="n">
        <x:f>IFERROR(I28/ABS(J28),"")</x:f>
        <x:v>0.3961004957107883</x:v>
      </x:c>
      <x:c r="M28" s="41" t="n">
        <x:v>6.802475</x:v>
      </x:c>
      <x:c r="N28" s="41" t="n">
        <x:v>-56.473669</x:v>
      </x:c>
      <x:c r="O28" s="41" t="n">
        <x:v>506.057416</x:v>
      </x:c>
      <x:c r="P28" s="41" t="n">
        <x:f>IFERROR(M28/ABS(N28),"")</x:f>
        <x:v>0.12045392340278087</x:v>
      </x:c>
      <x:c r="Q28" s="41" t="str">
        <x:f>IF(L28&gt;=MAX(H28,P28),"Weekly",IF(H28&gt;=MAX(L28,P28),"No weekly","SPY"))</x:f>
        <x:v>No weekly</x:v>
      </x:c>
      <x:c r="R28" s="41" t="n">
        <x:f>IFERROR(L28-P28,"")</x:f>
        <x:v>0.27564657230800743</x:v>
      </x:c>
      <x:c r="S28" s="41" t="n">
        <x:f>IFERROR(H28-P28,"")</x:f>
        <x:v>0.40044045778275766</x:v>
      </x:c>
      <x:c r="T28" s="41" t="n">
        <x:f>IFERROR(I28-M28,"")</x:f>
        <x:v>1.6723089999999994</x:v>
      </x:c>
      <x:c r="U28" s="41" t="n">
        <x:f>IFERROR(E28-M28,"")</x:f>
        <x:v>3.491345999999999</x:v>
      </x:c>
      <x:c r="V28" s="41" t="str">
        <x:f>IF(AND(I28&gt;M28,J28&gt;N28),"Sí","No")</x:f>
        <x:v>Sí</x:v>
      </x:c>
      <x:c r="W28" s="41" t="str">
        <x:f>IF(AND(E28&gt;M28,F28&gt;N28),"Sí","No")</x:f>
        <x:v>Sí</x:v>
      </x:c>
      <x:c r="X28" s="41" t="str">
        <x:f>IF(L28&gt;=H28,"Weekly","No weekly")</x:f>
        <x:v>No weekly</x:v>
      </x:c>
      <x:c r="Y28" s="41" t="n">
        <x:f>IFERROR(I28-E28,"")</x:f>
        <x:v>-1.8190369999999998</x:v>
      </x:c>
      <x:c r="Z28" s="41" t="n">
        <x:f>IFERROR(J28-F28,"")</x:f>
        <x:v>-1.6337200000000003</x:v>
      </x:c>
      <x:c r="AA28" s="41" t="n">
        <x:v>8673</x:v>
      </x:c>
      <x:c r="AB28" s="41" t="n">
        <x:v>2380</x:v>
      </x:c>
    </x:row>
    <x:row r="29">
      <x:c r="A29" s="41" t="str">
        <x:v>HYP_DD20_CAGR_SL12_TOPN10_GUARD18_10_V1</x:v>
      </x:c>
      <x:c r="B29" s="41" t="str">
        <x:v>dd20_adaptive_research</x:v>
      </x:c>
      <x:c r="C29" s="41" t="str">
        <x:v>1999-01-04</x:v>
      </x:c>
      <x:c r="D29" s="41" t="str">
        <x:v>2026-05-22</x:v>
      </x:c>
      <x:c r="E29" s="41" t="n">
        <x:v>10.775507</x:v>
      </x:c>
      <x:c r="F29" s="41" t="n">
        <x:v>-19.787733</x:v>
      </x:c>
      <x:c r="G29" s="41" t="n">
        <x:v>1547.416557</x:v>
      </x:c>
      <x:c r="H29" s="41" t="n">
        <x:f>IFERROR(E29/ABS(F29),"")</x:f>
        <x:v>0.5445549017666652</x:v>
      </x:c>
      <x:c r="I29" s="41" t="n">
        <x:v>8.670446</x:v>
      </x:c>
      <x:c r="J29" s="41" t="n">
        <x:v>-22.524333</x:v>
      </x:c>
      <x:c r="K29" s="41" t="n">
        <x:v>874.266098</x:v>
      </x:c>
      <x:c r="L29" s="41" t="n">
        <x:f>IFERROR(I29/ABS(J29),"")</x:f>
        <x:v>0.384936859173588</x:v>
      </x:c>
      <x:c r="M29" s="41" t="n">
        <x:v>6.802475</x:v>
      </x:c>
      <x:c r="N29" s="41" t="n">
        <x:v>-56.473669</x:v>
      </x:c>
      <x:c r="O29" s="41" t="n">
        <x:v>506.057416</x:v>
      </x:c>
      <x:c r="P29" s="41" t="n">
        <x:f>IFERROR(M29/ABS(N29),"")</x:f>
        <x:v>0.12045392340278087</x:v>
      </x:c>
      <x:c r="Q29" s="41" t="str">
        <x:f>IF(L29&gt;=MAX(H29,P29),"Weekly",IF(H29&gt;=MAX(L29,P29),"No weekly","SPY"))</x:f>
        <x:v>No weekly</x:v>
      </x:c>
      <x:c r="R29" s="41" t="n">
        <x:f>IFERROR(L29-P29,"")</x:f>
        <x:v>0.2644829357708071</x:v>
      </x:c>
      <x:c r="S29" s="41" t="n">
        <x:f>IFERROR(H29-P29,"")</x:f>
        <x:v>0.42410097836388433</x:v>
      </x:c>
      <x:c r="T29" s="41" t="n">
        <x:f>IFERROR(I29-M29,"")</x:f>
        <x:v>1.8679709999999998</x:v>
      </x:c>
      <x:c r="U29" s="41" t="n">
        <x:f>IFERROR(E29-M29,"")</x:f>
        <x:v>3.973031999999999</x:v>
      </x:c>
      <x:c r="V29" s="41" t="str">
        <x:f>IF(AND(I29&gt;M29,J29&gt;N29),"Sí","No")</x:f>
        <x:v>Sí</x:v>
      </x:c>
      <x:c r="W29" s="41" t="str">
        <x:f>IF(AND(E29&gt;M29,F29&gt;N29),"Sí","No")</x:f>
        <x:v>Sí</x:v>
      </x:c>
      <x:c r="X29" s="41" t="str">
        <x:f>IF(L29&gt;=H29,"Weekly","No weekly")</x:f>
        <x:v>No weekly</x:v>
      </x:c>
      <x:c r="Y29" s="41" t="n">
        <x:f>IFERROR(I29-E29,"")</x:f>
        <x:v>-2.105060999999999</x:v>
      </x:c>
      <x:c r="Z29" s="41" t="n">
        <x:f>IFERROR(J29-F29,"")</x:f>
        <x:v>-2.7365999999999993</x:v>
      </x:c>
      <x:c r="AA29" s="41" t="n">
        <x:v>8587</x:v>
      </x:c>
      <x:c r="AB29" s="41" t="n">
        <x:v>2359</x:v>
      </x:c>
    </x:row>
    <x:row r="30">
      <x:c r="A30" s="41" t="str">
        <x:v>HYP_DD20_CAGR_SL12_TOPN12_GUARD18_12_V1</x:v>
      </x:c>
      <x:c r="B30" s="41" t="str">
        <x:v>dd20_adaptive_research</x:v>
      </x:c>
      <x:c r="C30" s="41" t="str">
        <x:v>1999-01-04</x:v>
      </x:c>
      <x:c r="D30" s="41" t="str">
        <x:v>2026-05-22</x:v>
      </x:c>
      <x:c r="E30" s="41" t="n">
        <x:v>10.835402</x:v>
      </x:c>
      <x:c r="F30" s="41" t="n">
        <x:v>-20.054206</x:v>
      </x:c>
      <x:c r="G30" s="41" t="n">
        <x:v>1571.97829</x:v>
      </x:c>
      <x:c r="H30" s="41" t="n">
        <x:f>IFERROR(E30/ABS(F30),"")</x:f>
        <x:v>0.5403057094357163</x:v>
      </x:c>
      <x:c r="I30" s="41" t="n">
        <x:v>8.659847</x:v>
      </x:c>
      <x:c r="J30" s="41" t="n">
        <x:v>-22.465582</x:v>
      </x:c>
      <x:c r="K30" s="41" t="n">
        <x:v>871.667863</x:v>
      </x:c>
      <x:c r="L30" s="41" t="n">
        <x:f>IFERROR(I30/ABS(J30),"")</x:f>
        <x:v>0.3854717407276606</x:v>
      </x:c>
      <x:c r="M30" s="41" t="n">
        <x:v>6.802475</x:v>
      </x:c>
      <x:c r="N30" s="41" t="n">
        <x:v>-56.473669</x:v>
      </x:c>
      <x:c r="O30" s="41" t="n">
        <x:v>506.057416</x:v>
      </x:c>
      <x:c r="P30" s="41" t="n">
        <x:f>IFERROR(M30/ABS(N30),"")</x:f>
        <x:v>0.12045392340278087</x:v>
      </x:c>
      <x:c r="Q30" s="41" t="str">
        <x:f>IF(L30&gt;=MAX(H30,P30),"Weekly",IF(H30&gt;=MAX(L30,P30),"No weekly","SPY"))</x:f>
        <x:v>No weekly</x:v>
      </x:c>
      <x:c r="R30" s="41" t="n">
        <x:f>IFERROR(L30-P30,"")</x:f>
        <x:v>0.2650178173248797</x:v>
      </x:c>
      <x:c r="S30" s="41" t="n">
        <x:f>IFERROR(H30-P30,"")</x:f>
        <x:v>0.41985178603293544</x:v>
      </x:c>
      <x:c r="T30" s="41" t="n">
        <x:f>IFERROR(I30-M30,"")</x:f>
        <x:v>1.857371999999999</x:v>
      </x:c>
      <x:c r="U30" s="41" t="n">
        <x:f>IFERROR(E30-M30,"")</x:f>
        <x:v>4.032927</x:v>
      </x:c>
      <x:c r="V30" s="41" t="str">
        <x:f>IF(AND(I30&gt;M30,J30&gt;N30),"Sí","No")</x:f>
        <x:v>Sí</x:v>
      </x:c>
      <x:c r="W30" s="41" t="str">
        <x:f>IF(AND(E30&gt;M30,F30&gt;N30),"Sí","No")</x:f>
        <x:v>Sí</x:v>
      </x:c>
      <x:c r="X30" s="41" t="str">
        <x:f>IF(L30&gt;=H30,"Weekly","No weekly")</x:f>
        <x:v>No weekly</x:v>
      </x:c>
      <x:c r="Y30" s="41" t="n">
        <x:f>IFERROR(I30-E30,"")</x:f>
        <x:v>-2.175555000000001</x:v>
      </x:c>
      <x:c r="Z30" s="41" t="n">
        <x:f>IFERROR(J30-F30,"")</x:f>
        <x:v>-2.4113760000000006</x:v>
      </x:c>
      <x:c r="AA30" s="41" t="n">
        <x:v>8629</x:v>
      </x:c>
      <x:c r="AB30" s="41" t="n">
        <x:v>2371</x:v>
      </x:c>
    </x:row>
    <x:row r="31">
      <x:c r="A31" s="41" t="str">
        <x:v>HYP_DD20_CAGR_SL12_TOPN8_GUARD18_10_V1</x:v>
      </x:c>
      <x:c r="B31" s="41" t="str">
        <x:v>dd20_adaptive_research</x:v>
      </x:c>
      <x:c r="C31" s="41" t="str">
        <x:v>1999-01-04</x:v>
      </x:c>
      <x:c r="D31" s="41" t="str">
        <x:v>2026-05-22</x:v>
      </x:c>
      <x:c r="E31" s="41" t="n">
        <x:v>10.866047</x:v>
      </x:c>
      <x:c r="F31" s="41" t="n">
        <x:v>-19.787733</x:v>
      </x:c>
      <x:c r="G31" s="41" t="n">
        <x:v>1584.68137</x:v>
      </x:c>
      <x:c r="H31" s="41" t="n">
        <x:f>IFERROR(E31/ABS(F31),"")</x:f>
        <x:v>0.5491304638080573</x:v>
      </x:c>
      <x:c r="I31" s="41" t="n">
        <x:v>8.594442</x:v>
      </x:c>
      <x:c r="J31" s="41" t="n">
        <x:v>-22.229597</x:v>
      </x:c>
      <x:c r="K31" s="41" t="n">
        <x:v>855.78152</x:v>
      </x:c>
      <x:c r="L31" s="41" t="n">
        <x:f>IFERROR(I31/ABS(J31),"")</x:f>
        <x:v>0.386621583828083</x:v>
      </x:c>
      <x:c r="M31" s="41" t="n">
        <x:v>6.802475</x:v>
      </x:c>
      <x:c r="N31" s="41" t="n">
        <x:v>-56.473669</x:v>
      </x:c>
      <x:c r="O31" s="41" t="n">
        <x:v>506.057416</x:v>
      </x:c>
      <x:c r="P31" s="41" t="n">
        <x:f>IFERROR(M31/ABS(N31),"")</x:f>
        <x:v>0.12045392340278087</x:v>
      </x:c>
      <x:c r="Q31" s="41" t="str">
        <x:f>IF(L31&gt;=MAX(H31,P31),"Weekly",IF(H31&gt;=MAX(L31,P31),"No weekly","SPY"))</x:f>
        <x:v>No weekly</x:v>
      </x:c>
      <x:c r="R31" s="41" t="n">
        <x:f>IFERROR(L31-P31,"")</x:f>
        <x:v>0.2661676604253021</x:v>
      </x:c>
      <x:c r="S31" s="41" t="n">
        <x:f>IFERROR(H31-P31,"")</x:f>
        <x:v>0.4286765404052764</x:v>
      </x:c>
      <x:c r="T31" s="41" t="n">
        <x:f>IFERROR(I31-M31,"")</x:f>
        <x:v>1.7919670000000005</x:v>
      </x:c>
      <x:c r="U31" s="41" t="n">
        <x:f>IFERROR(E31-M31,"")</x:f>
        <x:v>4.063572</x:v>
      </x:c>
      <x:c r="V31" s="41" t="str">
        <x:f>IF(AND(I31&gt;M31,J31&gt;N31),"Sí","No")</x:f>
        <x:v>Sí</x:v>
      </x:c>
      <x:c r="W31" s="41" t="str">
        <x:f>IF(AND(E31&gt;M31,F31&gt;N31),"Sí","No")</x:f>
        <x:v>Sí</x:v>
      </x:c>
      <x:c r="X31" s="41" t="str">
        <x:f>IF(L31&gt;=H31,"Weekly","No weekly")</x:f>
        <x:v>No weekly</x:v>
      </x:c>
      <x:c r="Y31" s="41" t="n">
        <x:f>IFERROR(I31-E31,"")</x:f>
        <x:v>-2.271604999999999</x:v>
      </x:c>
      <x:c r="Z31" s="41" t="n">
        <x:f>IFERROR(J31-F31,"")</x:f>
        <x:v>-2.441863999999999</x:v>
      </x:c>
      <x:c r="AA31" s="41" t="n">
        <x:v>8548</x:v>
      </x:c>
      <x:c r="AB31" s="41" t="n">
        <x:v>2351</x:v>
      </x:c>
    </x:row>
    <x:row r="32">
      <x:c r="A32" s="41" t="str">
        <x:v>HYP_DD20_CTRL_DD_COMPRESS_15_35_V1</x:v>
      </x:c>
      <x:c r="B32" s="41" t="str">
        <x:v>dd20_adaptive_research</x:v>
      </x:c>
      <x:c r="C32" s="41" t="str">
        <x:v>1999-01-04</x:v>
      </x:c>
      <x:c r="D32" s="41" t="str">
        <x:v>2026-05-22</x:v>
      </x:c>
      <x:c r="E32" s="41" t="n">
        <x:v>10.184983</x:v>
      </x:c>
      <x:c r="F32" s="41" t="n">
        <x:v>-19.192929</x:v>
      </x:c>
      <x:c r="G32" s="41" t="n">
        <x:v>1323.143367</x:v>
      </x:c>
      <x:c r="H32" s="41" t="n">
        <x:f>IFERROR(E32/ABS(F32),"")</x:f>
        <x:v>0.5306632979260227</x:v>
      </x:c>
      <x:c r="I32" s="41" t="n">
        <x:v>8.423648</x:v>
      </x:c>
      <x:c r="J32" s="41" t="n">
        <x:v>-21.708303</x:v>
      </x:c>
      <x:c r="K32" s="41" t="n">
        <x:v>815.467955</x:v>
      </x:c>
      <x:c r="L32" s="41" t="n">
        <x:f>IFERROR(I32/ABS(J32),"")</x:f>
        <x:v>0.38803807004167945</x:v>
      </x:c>
      <x:c r="M32" s="41" t="n">
        <x:v>6.802475</x:v>
      </x:c>
      <x:c r="N32" s="41" t="n">
        <x:v>-56.473669</x:v>
      </x:c>
      <x:c r="O32" s="41" t="n">
        <x:v>506.057416</x:v>
      </x:c>
      <x:c r="P32" s="41" t="n">
        <x:f>IFERROR(M32/ABS(N32),"")</x:f>
        <x:v>0.12045392340278087</x:v>
      </x:c>
      <x:c r="Q32" s="41" t="str">
        <x:f>IF(L32&gt;=MAX(H32,P32),"Weekly",IF(H32&gt;=MAX(L32,P32),"No weekly","SPY"))</x:f>
        <x:v>No weekly</x:v>
      </x:c>
      <x:c r="R32" s="41" t="n">
        <x:f>IFERROR(L32-P32,"")</x:f>
        <x:v>0.26758414663889857</x:v>
      </x:c>
      <x:c r="S32" s="41" t="n">
        <x:f>IFERROR(H32-P32,"")</x:f>
        <x:v>0.41020937452324185</x:v>
      </x:c>
      <x:c r="T32" s="41" t="n">
        <x:f>IFERROR(I32-M32,"")</x:f>
        <x:v>1.6211729999999998</x:v>
      </x:c>
      <x:c r="U32" s="41" t="n">
        <x:f>IFERROR(E32-M32,"")</x:f>
        <x:v>3.3825080000000005</x:v>
      </x:c>
      <x:c r="V32" s="41" t="str">
        <x:f>IF(AND(I32&gt;M32,J32&gt;N32),"Sí","No")</x:f>
        <x:v>Sí</x:v>
      </x:c>
      <x:c r="W32" s="41" t="str">
        <x:f>IF(AND(E32&gt;M32,F32&gt;N32),"Sí","No")</x:f>
        <x:v>Sí</x:v>
      </x:c>
      <x:c r="X32" s="41" t="str">
        <x:f>IF(L32&gt;=H32,"Weekly","No weekly")</x:f>
        <x:v>No weekly</x:v>
      </x:c>
      <x:c r="Y32" s="41" t="n">
        <x:f>IFERROR(I32-E32,"")</x:f>
        <x:v>-1.7613350000000008</x:v>
      </x:c>
      <x:c r="Z32" s="41" t="n">
        <x:f>IFERROR(J32-F32,"")</x:f>
        <x:v>-2.5153740000000013</x:v>
      </x:c>
      <x:c r="AA32" s="41" t="n">
        <x:v>8610</x:v>
      </x:c>
      <x:c r="AB32" s="41" t="n">
        <x:v>2385</x:v>
      </x:c>
    </x:row>
    <x:row r="33">
      <x:c r="A33" s="41" t="str">
        <x:v>HYP_DD20_CTRL_DD_COMPRESS_16_40_V1</x:v>
      </x:c>
      <x:c r="B33" s="41" t="str">
        <x:v>dd20_adaptive_research</x:v>
      </x:c>
      <x:c r="C33" s="41" t="str">
        <x:v>1999-01-04</x:v>
      </x:c>
      <x:c r="D33" s="41" t="str">
        <x:v>2026-05-22</x:v>
      </x:c>
      <x:c r="E33" s="41" t="n">
        <x:v>10.184983</x:v>
      </x:c>
      <x:c r="F33" s="41" t="n">
        <x:v>-19.192929</x:v>
      </x:c>
      <x:c r="G33" s="41" t="n">
        <x:v>1323.143367</x:v>
      </x:c>
      <x:c r="H33" s="41" t="n">
        <x:f>IFERROR(E33/ABS(F33),"")</x:f>
        <x:v>0.5306632979260227</x:v>
      </x:c>
      <x:c r="I33" s="41" t="n">
        <x:v>8.423648</x:v>
      </x:c>
      <x:c r="J33" s="41" t="n">
        <x:v>-21.708303</x:v>
      </x:c>
      <x:c r="K33" s="41" t="n">
        <x:v>815.467955</x:v>
      </x:c>
      <x:c r="L33" s="41" t="n">
        <x:f>IFERROR(I33/ABS(J33),"")</x:f>
        <x:v>0.38803807004167945</x:v>
      </x:c>
      <x:c r="M33" s="41" t="n">
        <x:v>6.802475</x:v>
      </x:c>
      <x:c r="N33" s="41" t="n">
        <x:v>-56.473669</x:v>
      </x:c>
      <x:c r="O33" s="41" t="n">
        <x:v>506.057416</x:v>
      </x:c>
      <x:c r="P33" s="41" t="n">
        <x:f>IFERROR(M33/ABS(N33),"")</x:f>
        <x:v>0.12045392340278087</x:v>
      </x:c>
      <x:c r="Q33" s="41" t="str">
        <x:f>IF(L33&gt;=MAX(H33,P33),"Weekly",IF(H33&gt;=MAX(L33,P33),"No weekly","SPY"))</x:f>
        <x:v>No weekly</x:v>
      </x:c>
      <x:c r="R33" s="41" t="n">
        <x:f>IFERROR(L33-P33,"")</x:f>
        <x:v>0.26758414663889857</x:v>
      </x:c>
      <x:c r="S33" s="41" t="n">
        <x:f>IFERROR(H33-P33,"")</x:f>
        <x:v>0.41020937452324185</x:v>
      </x:c>
      <x:c r="T33" s="41" t="n">
        <x:f>IFERROR(I33-M33,"")</x:f>
        <x:v>1.6211729999999998</x:v>
      </x:c>
      <x:c r="U33" s="41" t="n">
        <x:f>IFERROR(E33-M33,"")</x:f>
        <x:v>3.3825080000000005</x:v>
      </x:c>
      <x:c r="V33" s="41" t="str">
        <x:f>IF(AND(I33&gt;M33,J33&gt;N33),"Sí","No")</x:f>
        <x:v>Sí</x:v>
      </x:c>
      <x:c r="W33" s="41" t="str">
        <x:f>IF(AND(E33&gt;M33,F33&gt;N33),"Sí","No")</x:f>
        <x:v>Sí</x:v>
      </x:c>
      <x:c r="X33" s="41" t="str">
        <x:f>IF(L33&gt;=H33,"Weekly","No weekly")</x:f>
        <x:v>No weekly</x:v>
      </x:c>
      <x:c r="Y33" s="41" t="n">
        <x:f>IFERROR(I33-E33,"")</x:f>
        <x:v>-1.7613350000000008</x:v>
      </x:c>
      <x:c r="Z33" s="41" t="n">
        <x:f>IFERROR(J33-F33,"")</x:f>
        <x:v>-2.5153740000000013</x:v>
      </x:c>
      <x:c r="AA33" s="41" t="n">
        <x:v>8610</x:v>
      </x:c>
      <x:c r="AB33" s="41" t="n">
        <x:v>2385</x:v>
      </x:c>
    </x:row>
    <x:row r="34">
      <x:c r="A34" s="41" t="str">
        <x:v>HYP_DD20_CTRL_DD_COMPRESS_17_45_V1</x:v>
      </x:c>
      <x:c r="B34" s="41" t="str">
        <x:v>dd20_adaptive_research</x:v>
      </x:c>
      <x:c r="C34" s="41" t="str">
        <x:v>1999-01-04</x:v>
      </x:c>
      <x:c r="D34" s="41" t="str">
        <x:v>2026-05-22</x:v>
      </x:c>
      <x:c r="E34" s="41" t="n">
        <x:v>10.184983</x:v>
      </x:c>
      <x:c r="F34" s="41" t="n">
        <x:v>-19.192929</x:v>
      </x:c>
      <x:c r="G34" s="41" t="n">
        <x:v>1323.143367</x:v>
      </x:c>
      <x:c r="H34" s="41" t="n">
        <x:f>IFERROR(E34/ABS(F34),"")</x:f>
        <x:v>0.5306632979260227</x:v>
      </x:c>
      <x:c r="I34" s="41" t="n">
        <x:v>8.423648</x:v>
      </x:c>
      <x:c r="J34" s="41" t="n">
        <x:v>-21.708303</x:v>
      </x:c>
      <x:c r="K34" s="41" t="n">
        <x:v>815.467955</x:v>
      </x:c>
      <x:c r="L34" s="41" t="n">
        <x:f>IFERROR(I34/ABS(J34),"")</x:f>
        <x:v>0.38803807004167945</x:v>
      </x:c>
      <x:c r="M34" s="41" t="n">
        <x:v>6.802475</x:v>
      </x:c>
      <x:c r="N34" s="41" t="n">
        <x:v>-56.473669</x:v>
      </x:c>
      <x:c r="O34" s="41" t="n">
        <x:v>506.057416</x:v>
      </x:c>
      <x:c r="P34" s="41" t="n">
        <x:f>IFERROR(M34/ABS(N34),"")</x:f>
        <x:v>0.12045392340278087</x:v>
      </x:c>
      <x:c r="Q34" s="41" t="str">
        <x:f>IF(L34&gt;=MAX(H34,P34),"Weekly",IF(H34&gt;=MAX(L34,P34),"No weekly","SPY"))</x:f>
        <x:v>No weekly</x:v>
      </x:c>
      <x:c r="R34" s="41" t="n">
        <x:f>IFERROR(L34-P34,"")</x:f>
        <x:v>0.26758414663889857</x:v>
      </x:c>
      <x:c r="S34" s="41" t="n">
        <x:f>IFERROR(H34-P34,"")</x:f>
        <x:v>0.41020937452324185</x:v>
      </x:c>
      <x:c r="T34" s="41" t="n">
        <x:f>IFERROR(I34-M34,"")</x:f>
        <x:v>1.6211729999999998</x:v>
      </x:c>
      <x:c r="U34" s="41" t="n">
        <x:f>IFERROR(E34-M34,"")</x:f>
        <x:v>3.3825080000000005</x:v>
      </x:c>
      <x:c r="V34" s="41" t="str">
        <x:f>IF(AND(I34&gt;M34,J34&gt;N34),"Sí","No")</x:f>
        <x:v>Sí</x:v>
      </x:c>
      <x:c r="W34" s="41" t="str">
        <x:f>IF(AND(E34&gt;M34,F34&gt;N34),"Sí","No")</x:f>
        <x:v>Sí</x:v>
      </x:c>
      <x:c r="X34" s="41" t="str">
        <x:f>IF(L34&gt;=H34,"Weekly","No weekly")</x:f>
        <x:v>No weekly</x:v>
      </x:c>
      <x:c r="Y34" s="41" t="n">
        <x:f>IFERROR(I34-E34,"")</x:f>
        <x:v>-1.7613350000000008</x:v>
      </x:c>
      <x:c r="Z34" s="41" t="n">
        <x:f>IFERROR(J34-F34,"")</x:f>
        <x:v>-2.5153740000000013</x:v>
      </x:c>
      <x:c r="AA34" s="41" t="n">
        <x:v>8610</x:v>
      </x:c>
      <x:c r="AB34" s="41" t="n">
        <x:v>2385</x:v>
      </x:c>
    </x:row>
    <x:row r="35">
      <x:c r="A35" s="41" t="str">
        <x:v>HYP_DD20_CTRL_GUARD_DYNAMIC_12_20_V1</x:v>
      </x:c>
      <x:c r="B35" s="41" t="str">
        <x:v>dd20_adaptive_research</x:v>
      </x:c>
      <x:c r="C35" s="41" t="str">
        <x:v>1999-01-04</x:v>
      </x:c>
      <x:c r="D35" s="41" t="str">
        <x:v>2026-05-22</x:v>
      </x:c>
      <x:c r="E35" s="41" t="n">
        <x:v>9.100204</x:v>
      </x:c>
      <x:c r="F35" s="41" t="n">
        <x:v>-19.325183</x:v>
      </x:c>
      <x:c r="G35" s="41" t="n">
        <x:v>985.444184</x:v>
      </x:c>
      <x:c r="H35" s="41" t="n">
        <x:f>IFERROR(E35/ABS(F35),"")</x:f>
        <x:v>0.4708987231841479</x:v>
      </x:c>
      <x:c r="I35" s="41" t="n">
        <x:v>1.023852</x:v>
      </x:c>
      <x:c r="J35" s="41" t="n">
        <x:v>-22.885801</x:v>
      </x:c>
      <x:c r="K35" s="41" t="n">
        <x:v>32.166222</x:v>
      </x:c>
      <x:c r="L35" s="41" t="n">
        <x:f>IFERROR(I35/ABS(J35),"")</x:f>
        <x:v>0.04473743348550483</x:v>
      </x:c>
      <x:c r="M35" s="41" t="n">
        <x:v>6.802475</x:v>
      </x:c>
      <x:c r="N35" s="41" t="n">
        <x:v>-56.473669</x:v>
      </x:c>
      <x:c r="O35" s="41" t="n">
        <x:v>506.057416</x:v>
      </x:c>
      <x:c r="P35" s="41" t="n">
        <x:f>IFERROR(M35/ABS(N35),"")</x:f>
        <x:v>0.12045392340278087</x:v>
      </x:c>
      <x:c r="Q35" s="41" t="str">
        <x:f>IF(L35&gt;=MAX(H35,P35),"Weekly",IF(H35&gt;=MAX(L35,P35),"No weekly","SPY"))</x:f>
        <x:v>No weekly</x:v>
      </x:c>
      <x:c r="R35" s="41" t="n">
        <x:f>IFERROR(L35-P35,"")</x:f>
        <x:v>-0.07571648991727603</x:v>
      </x:c>
      <x:c r="S35" s="41" t="n">
        <x:f>IFERROR(H35-P35,"")</x:f>
        <x:v>0.350444799781367</x:v>
      </x:c>
      <x:c r="T35" s="41" t="n">
        <x:f>IFERROR(I35-M35,"")</x:f>
        <x:v>-5.7786230000000005</x:v>
      </x:c>
      <x:c r="U35" s="41" t="n">
        <x:f>IFERROR(E35-M35,"")</x:f>
        <x:v>2.2977289999999995</x:v>
      </x:c>
      <x:c r="V35" s="41" t="str">
        <x:f>IF(AND(I35&gt;M35,J35&gt;N35),"Sí","No")</x:f>
        <x:v>No</x:v>
      </x:c>
      <x:c r="W35" s="41" t="str">
        <x:f>IF(AND(E35&gt;M35,F35&gt;N35),"Sí","No")</x:f>
        <x:v>Sí</x:v>
      </x:c>
      <x:c r="X35" s="41" t="str">
        <x:f>IF(L35&gt;=H35,"Weekly","No weekly")</x:f>
        <x:v>No weekly</x:v>
      </x:c>
      <x:c r="Y35" s="41" t="n">
        <x:f>IFERROR(I35-E35,"")</x:f>
        <x:v>-8.076352</x:v>
      </x:c>
      <x:c r="Z35" s="41" t="n">
        <x:f>IFERROR(J35-F35,"")</x:f>
        <x:v>-3.5606180000000016</x:v>
      </x:c>
      <x:c r="AA35" s="41" t="n">
        <x:v>2919</x:v>
      </x:c>
      <x:c r="AB35" s="41" t="n">
        <x:v>2376</x:v>
      </x:c>
    </x:row>
    <x:row r="36">
      <x:c r="A36" s="41" t="str">
        <x:v>HYP_DD20_CTRL_GUARD_DYNAMIC_13_25_V1</x:v>
      </x:c>
      <x:c r="B36" s="41" t="str">
        <x:v>dd20_adaptive_research</x:v>
      </x:c>
      <x:c r="C36" s="41" t="str">
        <x:v>1999-01-04</x:v>
      </x:c>
      <x:c r="D36" s="41" t="str">
        <x:v>2026-05-22</x:v>
      </x:c>
      <x:c r="E36" s="41" t="n">
        <x:v>9.215253</x:v>
      </x:c>
      <x:c r="F36" s="41" t="n">
        <x:v>-19.325183</x:v>
      </x:c>
      <x:c r="G36" s="41" t="n">
        <x:v>1017.222109</x:v>
      </x:c>
      <x:c r="H36" s="41" t="n">
        <x:f>IFERROR(E36/ABS(F36),"")</x:f>
        <x:v>0.4768520432639629</x:v>
      </x:c>
      <x:c r="I36" s="41" t="n">
        <x:v>-0.36722</x:v>
      </x:c>
      <x:c r="J36" s="41" t="n">
        <x:v>-21.553125</x:v>
      </x:c>
      <x:c r="K36" s="41" t="n">
        <x:v>-9.581776</x:v>
      </x:c>
      <x:c r="L36" s="41" t="n">
        <x:f>IFERROR(I36/ABS(J36),"")</x:f>
        <x:v>-0.017037900536465127</x:v>
      </x:c>
      <x:c r="M36" s="41" t="n">
        <x:v>6.802475</x:v>
      </x:c>
      <x:c r="N36" s="41" t="n">
        <x:v>-56.473669</x:v>
      </x:c>
      <x:c r="O36" s="41" t="n">
        <x:v>506.057416</x:v>
      </x:c>
      <x:c r="P36" s="41" t="n">
        <x:f>IFERROR(M36/ABS(N36),"")</x:f>
        <x:v>0.12045392340278087</x:v>
      </x:c>
      <x:c r="Q36" s="41" t="str">
        <x:f>IF(L36&gt;=MAX(H36,P36),"Weekly",IF(H36&gt;=MAX(L36,P36),"No weekly","SPY"))</x:f>
        <x:v>No weekly</x:v>
      </x:c>
      <x:c r="R36" s="41" t="n">
        <x:f>IFERROR(L36-P36,"")</x:f>
        <x:v>-0.137491823939246</x:v>
      </x:c>
      <x:c r="S36" s="41" t="n">
        <x:f>IFERROR(H36-P36,"")</x:f>
        <x:v>0.35639811986118203</x:v>
      </x:c>
      <x:c r="T36" s="41" t="n">
        <x:f>IFERROR(I36-M36,"")</x:f>
        <x:v>-7.169695</x:v>
      </x:c>
      <x:c r="U36" s="41" t="n">
        <x:f>IFERROR(E36-M36,"")</x:f>
        <x:v>2.4127780000000003</x:v>
      </x:c>
      <x:c r="V36" s="41" t="str">
        <x:f>IF(AND(I36&gt;M36,J36&gt;N36),"Sí","No")</x:f>
        <x:v>No</x:v>
      </x:c>
      <x:c r="W36" s="41" t="str">
        <x:f>IF(AND(E36&gt;M36,F36&gt;N36),"Sí","No")</x:f>
        <x:v>Sí</x:v>
      </x:c>
      <x:c r="X36" s="41" t="str">
        <x:f>IF(L36&gt;=H36,"Weekly","No weekly")</x:f>
        <x:v>No weekly</x:v>
      </x:c>
      <x:c r="Y36" s="41" t="n">
        <x:f>IFERROR(I36-E36,"")</x:f>
        <x:v>-9.582473</x:v>
      </x:c>
      <x:c r="Z36" s="41" t="n">
        <x:f>IFERROR(J36-F36,"")</x:f>
        <x:v>-2.2279420000000023</x:v>
      </x:c>
      <x:c r="AA36" s="41" t="n">
        <x:v>447</x:v>
      </x:c>
      <x:c r="AB36" s="41" t="n">
        <x:v>2376</x:v>
      </x:c>
    </x:row>
    <x:row r="37">
      <x:c r="A37" s="41" t="str">
        <x:v>HYP_DD20_CTRL_GUARD_DYNAMIC_14_30_V1</x:v>
      </x:c>
      <x:c r="B37" s="41" t="str">
        <x:v>dd20_adaptive_research</x:v>
      </x:c>
      <x:c r="C37" s="41" t="str">
        <x:v>1999-01-04</x:v>
      </x:c>
      <x:c r="D37" s="41" t="str">
        <x:v>2026-05-22</x:v>
      </x:c>
      <x:c r="E37" s="41" t="n">
        <x:v>9.408165</x:v>
      </x:c>
      <x:c r="F37" s="41" t="n">
        <x:v>-21.809535</x:v>
      </x:c>
      <x:c r="G37" s="41" t="n">
        <x:v>1072.528648</x:v>
      </x:c>
      <x:c r="H37" s="41" t="n">
        <x:f>IFERROR(E37/ABS(F37),"")</x:f>
        <x:v>0.4313785232009761</x:v>
      </x:c>
      <x:c r="I37" s="41" t="n">
        <x:v>-0.355151</x:v>
      </x:c>
      <x:c r="J37" s="41" t="n">
        <x:v>-22.224381</x:v>
      </x:c>
      <x:c r="K37" s="41" t="n">
        <x:v>-9.281437</x:v>
      </x:c>
      <x:c r="L37" s="41" t="n">
        <x:f>IFERROR(I37/ABS(J37),"")</x:f>
        <x:v>-0.015980242599332686</x:v>
      </x:c>
      <x:c r="M37" s="41" t="n">
        <x:v>6.802475</x:v>
      </x:c>
      <x:c r="N37" s="41" t="n">
        <x:v>-56.473669</x:v>
      </x:c>
      <x:c r="O37" s="41" t="n">
        <x:v>506.057416</x:v>
      </x:c>
      <x:c r="P37" s="41" t="n">
        <x:f>IFERROR(M37/ABS(N37),"")</x:f>
        <x:v>0.12045392340278087</x:v>
      </x:c>
      <x:c r="Q37" s="41" t="str">
        <x:f>IF(L37&gt;=MAX(H37,P37),"Weekly",IF(H37&gt;=MAX(L37,P37),"No weekly","SPY"))</x:f>
        <x:v>No weekly</x:v>
      </x:c>
      <x:c r="R37" s="41" t="n">
        <x:f>IFERROR(L37-P37,"")</x:f>
        <x:v>-0.13643416600211355</x:v>
      </x:c>
      <x:c r="S37" s="41" t="n">
        <x:f>IFERROR(H37-P37,"")</x:f>
        <x:v>0.3109245997981952</x:v>
      </x:c>
      <x:c r="T37" s="41" t="n">
        <x:f>IFERROR(I37-M37,"")</x:f>
        <x:v>-7.1576260000000005</x:v>
      </x:c>
      <x:c r="U37" s="41" t="n">
        <x:f>IFERROR(E37-M37,"")</x:f>
        <x:v>2.60569</x:v>
      </x:c>
      <x:c r="V37" s="41" t="str">
        <x:f>IF(AND(I37&gt;M37,J37&gt;N37),"Sí","No")</x:f>
        <x:v>No</x:v>
      </x:c>
      <x:c r="W37" s="41" t="str">
        <x:f>IF(AND(E37&gt;M37,F37&gt;N37),"Sí","No")</x:f>
        <x:v>Sí</x:v>
      </x:c>
      <x:c r="X37" s="41" t="str">
        <x:f>IF(L37&gt;=H37,"Weekly","No weekly")</x:f>
        <x:v>No weekly</x:v>
      </x:c>
      <x:c r="Y37" s="41" t="n">
        <x:f>IFERROR(I37-E37,"")</x:f>
        <x:v>-9.763316</x:v>
      </x:c>
      <x:c r="Z37" s="41" t="n">
        <x:f>IFERROR(J37-F37,"")</x:f>
        <x:v>-0.4148460000000007</x:v>
      </x:c>
      <x:c r="AA37" s="41" t="n">
        <x:v>412</x:v>
      </x:c>
      <x:c r="AB37" s="41" t="n">
        <x:v>2384</x:v>
      </x:c>
    </x:row>
    <x:row r="38">
      <x:c r="A38" s="41" t="str">
        <x:v>HYP_DD20_CTRL_TOPN_DYNAMIC_12_8_V1</x:v>
      </x:c>
      <x:c r="B38" s="41" t="str">
        <x:v>dd20_adaptive_research</x:v>
      </x:c>
      <x:c r="C38" s="41" t="str">
        <x:v>1999-01-04</x:v>
      </x:c>
      <x:c r="D38" s="41" t="str">
        <x:v>2026-05-22</x:v>
      </x:c>
      <x:c r="E38" s="41" t="n">
        <x:v>-0.407945</x:v>
      </x:c>
      <x:c r="F38" s="41" t="n">
        <x:v>-26.475707</x:v>
      </x:c>
      <x:c r="G38" s="41" t="n">
        <x:v>-10.588227</x:v>
      </x:c>
      <x:c r="H38" s="41" t="n">
        <x:f>IFERROR(E38/ABS(F38),"")</x:f>
        <x:v>-0.015408275971629389</x:v>
      </x:c>
      <x:c r="I38" s="41" t="n">
        <x:v>-0.445588</x:v>
      </x:c>
      <x:c r="J38" s="41" t="n">
        <x:v>-27.246156</x:v>
      </x:c>
      <x:c r="K38" s="41" t="n">
        <x:v>-11.508889</x:v>
      </x:c>
      <x:c r="L38" s="41" t="n">
        <x:f>IFERROR(I38/ABS(J38),"")</x:f>
        <x:v>-0.016354160197864242</x:v>
      </x:c>
      <x:c r="M38" s="41" t="n">
        <x:v>6.802475</x:v>
      </x:c>
      <x:c r="N38" s="41" t="n">
        <x:v>-56.473669</x:v>
      </x:c>
      <x:c r="O38" s="41" t="n">
        <x:v>506.057416</x:v>
      </x:c>
      <x:c r="P38" s="41" t="n">
        <x:f>IFERROR(M38/ABS(N38),"")</x:f>
        <x:v>0.12045392340278087</x:v>
      </x:c>
      <x:c r="Q38" s="41" t="str">
        <x:f>IF(L38&gt;=MAX(H38,P38),"Weekly",IF(H38&gt;=MAX(L38,P38),"No weekly","SPY"))</x:f>
        <x:v>SPY</x:v>
      </x:c>
      <x:c r="R38" s="41" t="n">
        <x:f>IFERROR(L38-P38,"")</x:f>
        <x:v>-0.13680808360064511</x:v>
      </x:c>
      <x:c r="S38" s="41" t="n">
        <x:f>IFERROR(H38-P38,"")</x:f>
        <x:v>-0.13586219937441027</x:v>
      </x:c>
      <x:c r="T38" s="41" t="n">
        <x:f>IFERROR(I38-M38,"")</x:f>
        <x:v>-7.248063</x:v>
      </x:c>
      <x:c r="U38" s="41" t="n">
        <x:f>IFERROR(E38-M38,"")</x:f>
        <x:v>-7.21042</x:v>
      </x:c>
      <x:c r="V38" s="41" t="str">
        <x:f>IF(AND(I38&gt;M38,J38&gt;N38),"Sí","No")</x:f>
        <x:v>No</x:v>
      </x:c>
      <x:c r="W38" s="41" t="str">
        <x:f>IF(AND(E38&gt;M38,F38&gt;N38),"Sí","No")</x:f>
        <x:v>No</x:v>
      </x:c>
      <x:c r="X38" s="41" t="str">
        <x:f>IF(L38&gt;=H38,"Weekly","No weekly")</x:f>
        <x:v>No weekly</x:v>
      </x:c>
      <x:c r="Y38" s="41" t="n">
        <x:f>IFERROR(I38-E38,"")</x:f>
        <x:v>-0.03764299999999998</x:v>
      </x:c>
      <x:c r="Z38" s="41" t="n">
        <x:f>IFERROR(J38-F38,"")</x:f>
        <x:v>-0.7704489999999993</x:v>
      </x:c>
      <x:c r="AA38" s="41" t="n">
        <x:v>1005</x:v>
      </x:c>
      <x:c r="AB38" s="41" t="n">
        <x:v>234</x:v>
      </x:c>
    </x:row>
    <x:row r="39">
      <x:c r="A39" s="41" t="str">
        <x:v>HYP_DD20_CTRL_TOPN_DYNAMIC_16_8_V1</x:v>
      </x:c>
      <x:c r="B39" s="41" t="str">
        <x:v>dd20_adaptive_research</x:v>
      </x:c>
      <x:c r="C39" s="41" t="str">
        <x:v>1999-01-04</x:v>
      </x:c>
      <x:c r="D39" s="41" t="str">
        <x:v>2026-05-22</x:v>
      </x:c>
      <x:c r="E39" s="41" t="n">
        <x:v>-0.091089</x:v>
      </x:c>
      <x:c r="F39" s="41" t="n">
        <x:v>-23.778275</x:v>
      </x:c>
      <x:c r="G39" s="41" t="n">
        <x:v>-2.464158</x:v>
      </x:c>
      <x:c r="H39" s="41" t="n">
        <x:f>IFERROR(E39/ABS(F39),"")</x:f>
        <x:v>-0.003830765688427777</x:v>
      </x:c>
      <x:c r="I39" s="41" t="n">
        <x:v>-0.563198</x:v>
      </x:c>
      <x:c r="J39" s="41" t="n">
        <x:v>-27.119195</x:v>
      </x:c>
      <x:c r="K39" s="41" t="n">
        <x:v>-14.326875</x:v>
      </x:c>
      <x:c r="L39" s="41" t="n">
        <x:f>IFERROR(I39/ABS(J39),"")</x:f>
        <x:v>-0.020767504345169534</x:v>
      </x:c>
      <x:c r="M39" s="41" t="n">
        <x:v>6.802475</x:v>
      </x:c>
      <x:c r="N39" s="41" t="n">
        <x:v>-56.473669</x:v>
      </x:c>
      <x:c r="O39" s="41" t="n">
        <x:v>506.057416</x:v>
      </x:c>
      <x:c r="P39" s="41" t="n">
        <x:f>IFERROR(M39/ABS(N39),"")</x:f>
        <x:v>0.12045392340278087</x:v>
      </x:c>
      <x:c r="Q39" s="41" t="str">
        <x:f>IF(L39&gt;=MAX(H39,P39),"Weekly",IF(H39&gt;=MAX(L39,P39),"No weekly","SPY"))</x:f>
        <x:v>SPY</x:v>
      </x:c>
      <x:c r="R39" s="41" t="n">
        <x:f>IFERROR(L39-P39,"")</x:f>
        <x:v>-0.1412214277479504</x:v>
      </x:c>
      <x:c r="S39" s="41" t="n">
        <x:f>IFERROR(H39-P39,"")</x:f>
        <x:v>-0.12428468909120864</x:v>
      </x:c>
      <x:c r="T39" s="41" t="n">
        <x:f>IFERROR(I39-M39,"")</x:f>
        <x:v>-7.365673</x:v>
      </x:c>
      <x:c r="U39" s="41" t="n">
        <x:f>IFERROR(E39-M39,"")</x:f>
        <x:v>-6.8935640000000005</x:v>
      </x:c>
      <x:c r="V39" s="41" t="str">
        <x:f>IF(AND(I39&gt;M39,J39&gt;N39),"Sí","No")</x:f>
        <x:v>No</x:v>
      </x:c>
      <x:c r="W39" s="41" t="str">
        <x:f>IF(AND(E39&gt;M39,F39&gt;N39),"Sí","No")</x:f>
        <x:v>No</x:v>
      </x:c>
      <x:c r="X39" s="41" t="str">
        <x:f>IF(L39&gt;=H39,"Weekly","No weekly")</x:f>
        <x:v>No weekly</x:v>
      </x:c>
      <x:c r="Y39" s="41" t="n">
        <x:f>IFERROR(I39-E39,"")</x:f>
        <x:v>-0.472109</x:v>
      </x:c>
      <x:c r="Z39" s="41" t="n">
        <x:f>IFERROR(J39-F39,"")</x:f>
        <x:v>-3.3409200000000006</x:v>
      </x:c>
      <x:c r="AA39" s="41" t="n">
        <x:v>1082</x:v>
      </x:c>
      <x:c r="AB39" s="41" t="n">
        <x:v>245</x:v>
      </x:c>
    </x:row>
    <x:row r="40">
      <x:c r="A40" s="41" t="str">
        <x:v>HYP_DD20_CTRL_TOPN_DYNAMIC_18_6_V1</x:v>
      </x:c>
      <x:c r="B40" s="41" t="str">
        <x:v>dd20_adaptive_research</x:v>
      </x:c>
      <x:c r="C40" s="41" t="str">
        <x:v>1999-01-04</x:v>
      </x:c>
      <x:c r="D40" s="41" t="str">
        <x:v>2026-05-22</x:v>
      </x:c>
      <x:c r="E40" s="41" t="n">
        <x:v>3.512336</x:v>
      </x:c>
      <x:c r="F40" s="41" t="n">
        <x:v>-26.353234</x:v>
      </x:c>
      <x:c r="G40" s="41" t="n">
        <x:v>157.31292</x:v>
      </x:c>
      <x:c r="H40" s="41" t="n">
        <x:f>IFERROR(E40/ABS(F40),"")</x:f>
        <x:v>0.1332791261975665</x:v>
      </x:c>
      <x:c r="I40" s="41" t="n">
        <x:v>3.841801</x:v>
      </x:c>
      <x:c r="J40" s="41" t="n">
        <x:v>-27.703022</x:v>
      </x:c>
      <x:c r="K40" s="41" t="n">
        <x:v>180.702788</x:v>
      </x:c>
      <x:c r="L40" s="41" t="n">
        <x:f>IFERROR(I40/ABS(J40),"")</x:f>
        <x:v>0.13867804747077772</x:v>
      </x:c>
      <x:c r="M40" s="41" t="n">
        <x:v>6.802475</x:v>
      </x:c>
      <x:c r="N40" s="41" t="n">
        <x:v>-56.473669</x:v>
      </x:c>
      <x:c r="O40" s="41" t="n">
        <x:v>506.057416</x:v>
      </x:c>
      <x:c r="P40" s="41" t="n">
        <x:f>IFERROR(M40/ABS(N40),"")</x:f>
        <x:v>0.12045392340278087</x:v>
      </x:c>
      <x:c r="Q40" s="41" t="str">
        <x:f>IF(L40&gt;=MAX(H40,P40),"Weekly",IF(H40&gt;=MAX(L40,P40),"No weekly","SPY"))</x:f>
        <x:v>Weekly</x:v>
      </x:c>
      <x:c r="R40" s="41" t="n">
        <x:f>IFERROR(L40-P40,"")</x:f>
        <x:v>0.018224124067996852</x:v>
      </x:c>
      <x:c r="S40" s="41" t="n">
        <x:f>IFERROR(H40-P40,"")</x:f>
        <x:v>0.01282520279478562</x:v>
      </x:c>
      <x:c r="T40" s="41" t="n">
        <x:f>IFERROR(I40-M40,"")</x:f>
        <x:v>-2.9606740000000005</x:v>
      </x:c>
      <x:c r="U40" s="41" t="n">
        <x:f>IFERROR(E40-M40,"")</x:f>
        <x:v>-3.2901390000000004</x:v>
      </x:c>
      <x:c r="V40" s="41" t="str">
        <x:f>IF(AND(I40&gt;M40,J40&gt;N40),"Sí","No")</x:f>
        <x:v>No</x:v>
      </x:c>
      <x:c r="W40" s="41" t="str">
        <x:f>IF(AND(E40&gt;M40,F40&gt;N40),"Sí","No")</x:f>
        <x:v>No</x:v>
      </x:c>
      <x:c r="X40" s="41" t="str">
        <x:f>IF(L40&gt;=H40,"Weekly","No weekly")</x:f>
        <x:v>Weekly</x:v>
      </x:c>
      <x:c r="Y40" s="41" t="n">
        <x:f>IFERROR(I40-E40,"")</x:f>
        <x:v>0.3294649999999999</x:v>
      </x:c>
      <x:c r="Z40" s="41" t="n">
        <x:f>IFERROR(J40-F40,"")</x:f>
        <x:v>-1.3497880000000002</x:v>
      </x:c>
      <x:c r="AA40" s="41" t="n">
        <x:v>3706</x:v>
      </x:c>
      <x:c r="AB40" s="41" t="n">
        <x:v>955</x:v>
      </x:c>
    </x:row>
    <x:row r="41">
      <x:c r="A41" s="41" t="str">
        <x:v>HYP_DD20_EXP_DYN8050250_SL10_TOPN5_V1</x:v>
      </x:c>
      <x:c r="B41" s="41" t="str">
        <x:v>dd20_adaptive_research</x:v>
      </x:c>
      <x:c r="C41" s="41" t="str">
        <x:v>1999-01-04</x:v>
      </x:c>
      <x:c r="D41" s="41" t="str">
        <x:v>2026-05-22</x:v>
      </x:c>
      <x:c r="E41" s="41" t="n">
        <x:v>10.17366</x:v>
      </x:c>
      <x:c r="F41" s="41" t="n">
        <x:v>-19.325183</x:v>
      </x:c>
      <x:c r="G41" s="41" t="n">
        <x:v>1319.145077</x:v>
      </x:c>
      <x:c r="H41" s="41" t="n">
        <x:f>IFERROR(E41/ABS(F41),"")</x:f>
        <x:v>0.5264457262836787</x:v>
      </x:c>
      <x:c r="I41" s="41" t="n">
        <x:v>1.823071</x:v>
      </x:c>
      <x:c r="J41" s="41" t="n">
        <x:v>-21.730493</x:v>
      </x:c>
      <x:c r="K41" s="41" t="n">
        <x:v>63.989851</x:v>
      </x:c>
      <x:c r="L41" s="41" t="n">
        <x:f>IFERROR(I41/ABS(J41),"")</x:f>
        <x:v>0.0838945991699314</x:v>
      </x:c>
      <x:c r="M41" s="41" t="n">
        <x:v>6.802475</x:v>
      </x:c>
      <x:c r="N41" s="41" t="n">
        <x:v>-56.473669</x:v>
      </x:c>
      <x:c r="O41" s="41" t="n">
        <x:v>506.057416</x:v>
      </x:c>
      <x:c r="P41" s="41" t="n">
        <x:f>IFERROR(M41/ABS(N41),"")</x:f>
        <x:v>0.12045392340278087</x:v>
      </x:c>
      <x:c r="Q41" s="41" t="str">
        <x:f>IF(L41&gt;=MAX(H41,P41),"Weekly",IF(H41&gt;=MAX(L41,P41),"No weekly","SPY"))</x:f>
        <x:v>No weekly</x:v>
      </x:c>
      <x:c r="R41" s="41" t="n">
        <x:f>IFERROR(L41-P41,"")</x:f>
        <x:v>-0.036559324232849466</x:v>
      </x:c>
      <x:c r="S41" s="41" t="n">
        <x:f>IFERROR(H41-P41,"")</x:f>
        <x:v>0.4059918028808978</x:v>
      </x:c>
      <x:c r="T41" s="41" t="n">
        <x:f>IFERROR(I41-M41,"")</x:f>
        <x:v>-4.979404000000001</x:v>
      </x:c>
      <x:c r="U41" s="41" t="n">
        <x:f>IFERROR(E41-M41,"")</x:f>
        <x:v>3.3711849999999997</x:v>
      </x:c>
      <x:c r="V41" s="41" t="str">
        <x:f>IF(AND(I41&gt;M41,J41&gt;N41),"Sí","No")</x:f>
        <x:v>No</x:v>
      </x:c>
      <x:c r="W41" s="41" t="str">
        <x:f>IF(AND(E41&gt;M41,F41&gt;N41),"Sí","No")</x:f>
        <x:v>Sí</x:v>
      </x:c>
      <x:c r="X41" s="41" t="str">
        <x:f>IF(L41&gt;=H41,"Weekly","No weekly")</x:f>
        <x:v>No weekly</x:v>
      </x:c>
      <x:c r="Y41" s="41" t="n">
        <x:f>IFERROR(I41-E41,"")</x:f>
        <x:v>-8.350589</x:v>
      </x:c>
      <x:c r="Z41" s="41" t="n">
        <x:f>IFERROR(J41-F41,"")</x:f>
        <x:v>-2.40531</x:v>
      </x:c>
      <x:c r="AA41" s="41" t="n">
        <x:v>2264</x:v>
      </x:c>
      <x:c r="AB41" s="41" t="n">
        <x:v>2388</x:v>
      </x:c>
    </x:row>
    <x:row r="42">
      <x:c r="A42" s="41" t="str">
        <x:v>HYP_DD20_EXP_DYN8055200_SL10_TOPN5_V1</x:v>
      </x:c>
      <x:c r="B42" s="41" t="str">
        <x:v>dd20_adaptive_research</x:v>
      </x:c>
      <x:c r="C42" s="41" t="str">
        <x:v>1999-01-04</x:v>
      </x:c>
      <x:c r="D42" s="41" t="str">
        <x:v>2026-05-22</x:v>
      </x:c>
      <x:c r="E42" s="41" t="n">
        <x:v>10.313057</x:v>
      </x:c>
      <x:c r="F42" s="41" t="n">
        <x:v>-19.325183</x:v>
      </x:c>
      <x:c r="G42" s="41" t="n">
        <x:v>1369.134095</x:v>
      </x:c>
      <x:c r="H42" s="41" t="n">
        <x:f>IFERROR(E42/ABS(F42),"")</x:f>
        <x:v>0.5336589568129834</x:v>
      </x:c>
      <x:c r="I42" s="41" t="n">
        <x:v>-0.386399</x:v>
      </x:c>
      <x:c r="J42" s="41" t="n">
        <x:v>-22.071242</x:v>
      </x:c>
      <x:c r="K42" s="41" t="n">
        <x:v>-10.057106</x:v>
      </x:c>
      <x:c r="L42" s="41" t="n">
        <x:f>IFERROR(I42/ABS(J42),"")</x:f>
        <x:v>-0.017506898796180115</x:v>
      </x:c>
      <x:c r="M42" s="41" t="n">
        <x:v>6.802475</x:v>
      </x:c>
      <x:c r="N42" s="41" t="n">
        <x:v>-56.473669</x:v>
      </x:c>
      <x:c r="O42" s="41" t="n">
        <x:v>506.057416</x:v>
      </x:c>
      <x:c r="P42" s="41" t="n">
        <x:f>IFERROR(M42/ABS(N42),"")</x:f>
        <x:v>0.12045392340278087</x:v>
      </x:c>
      <x:c r="Q42" s="41" t="str">
        <x:f>IF(L42&gt;=MAX(H42,P42),"Weekly",IF(H42&gt;=MAX(L42,P42),"No weekly","SPY"))</x:f>
        <x:v>No weekly</x:v>
      </x:c>
      <x:c r="R42" s="41" t="n">
        <x:f>IFERROR(L42-P42,"")</x:f>
        <x:v>-0.137960822198961</x:v>
      </x:c>
      <x:c r="S42" s="41" t="n">
        <x:f>IFERROR(H42-P42,"")</x:f>
        <x:v>0.4132050334102025</x:v>
      </x:c>
      <x:c r="T42" s="41" t="n">
        <x:f>IFERROR(I42-M42,"")</x:f>
        <x:v>-7.188874</x:v>
      </x:c>
      <x:c r="U42" s="41" t="n">
        <x:f>IFERROR(E42-M42,"")</x:f>
        <x:v>3.5105820000000003</x:v>
      </x:c>
      <x:c r="V42" s="41" t="str">
        <x:f>IF(AND(I42&gt;M42,J42&gt;N42),"Sí","No")</x:f>
        <x:v>No</x:v>
      </x:c>
      <x:c r="W42" s="41" t="str">
        <x:f>IF(AND(E42&gt;M42,F42&gt;N42),"Sí","No")</x:f>
        <x:v>Sí</x:v>
      </x:c>
      <x:c r="X42" s="41" t="str">
        <x:f>IF(L42&gt;=H42,"Weekly","No weekly")</x:f>
        <x:v>No weekly</x:v>
      </x:c>
      <x:c r="Y42" s="41" t="n">
        <x:f>IFERROR(I42-E42,"")</x:f>
        <x:v>-10.699456000000001</x:v>
      </x:c>
      <x:c r="Z42" s="41" t="n">
        <x:f>IFERROR(J42-F42,"")</x:f>
        <x:v>-2.7460590000000025</x:v>
      </x:c>
      <x:c r="AA42" s="41" t="n">
        <x:v>522</x:v>
      </x:c>
      <x:c r="AB42" s="41" t="n">
        <x:v>2366</x:v>
      </x:c>
    </x:row>
    <x:row r="43">
      <x:c r="A43" s="41" t="str">
        <x:v>HYP_DD20_EXP_DYN8550200_SL10_TOPN5_V1</x:v>
      </x:c>
      <x:c r="B43" s="41" t="str">
        <x:v>dd20_adaptive_research</x:v>
      </x:c>
      <x:c r="C43" s="41" t="str">
        <x:v>1999-01-04</x:v>
      </x:c>
      <x:c r="D43" s="41" t="str">
        <x:v>2026-05-22</x:v>
      </x:c>
      <x:c r="E43" s="41" t="n">
        <x:v>10.546561</x:v>
      </x:c>
      <x:c r="F43" s="41" t="n">
        <x:v>-20.424879</x:v>
      </x:c>
      <x:c r="G43" s="41" t="n">
        <x:v>1456.695111</x:v>
      </x:c>
      <x:c r="H43" s="41" t="n">
        <x:f>IFERROR(E43/ABS(F43),"")</x:f>
        <x:v>0.5163585546822579</x:v>
      </x:c>
      <x:c r="I43" s="41" t="n">
        <x:v>-0.417882</x:v>
      </x:c>
      <x:c r="J43" s="41" t="n">
        <x:v>-22.318167</x:v>
      </x:c>
      <x:c r="K43" s="41" t="n">
        <x:v>-10.832142</x:v>
      </x:c>
      <x:c r="L43" s="41" t="n">
        <x:f>IFERROR(I43/ABS(J43),"")</x:f>
        <x:v>-0.018723849498930623</x:v>
      </x:c>
      <x:c r="M43" s="41" t="n">
        <x:v>6.802475</x:v>
      </x:c>
      <x:c r="N43" s="41" t="n">
        <x:v>-56.473669</x:v>
      </x:c>
      <x:c r="O43" s="41" t="n">
        <x:v>506.057416</x:v>
      </x:c>
      <x:c r="P43" s="41" t="n">
        <x:f>IFERROR(M43/ABS(N43),"")</x:f>
        <x:v>0.12045392340278087</x:v>
      </x:c>
      <x:c r="Q43" s="41" t="str">
        <x:f>IF(L43&gt;=MAX(H43,P43),"Weekly",IF(H43&gt;=MAX(L43,P43),"No weekly","SPY"))</x:f>
        <x:v>No weekly</x:v>
      </x:c>
      <x:c r="R43" s="41" t="n">
        <x:f>IFERROR(L43-P43,"")</x:f>
        <x:v>-0.1391777729017115</x:v>
      </x:c>
      <x:c r="S43" s="41" t="n">
        <x:f>IFERROR(H43-P43,"")</x:f>
        <x:v>0.395904631279477</x:v>
      </x:c>
      <x:c r="T43" s="41" t="n">
        <x:f>IFERROR(I43-M43,"")</x:f>
        <x:v>-7.220357</x:v>
      </x:c>
      <x:c r="U43" s="41" t="n">
        <x:f>IFERROR(E43-M43,"")</x:f>
        <x:v>3.7440860000000002</x:v>
      </x:c>
      <x:c r="V43" s="41" t="str">
        <x:f>IF(AND(I43&gt;M43,J43&gt;N43),"Sí","No")</x:f>
        <x:v>No</x:v>
      </x:c>
      <x:c r="W43" s="41" t="str">
        <x:f>IF(AND(E43&gt;M43,F43&gt;N43),"Sí","No")</x:f>
        <x:v>Sí</x:v>
      </x:c>
      <x:c r="X43" s="41" t="str">
        <x:f>IF(L43&gt;=H43,"Weekly","No weekly")</x:f>
        <x:v>No weekly</x:v>
      </x:c>
      <x:c r="Y43" s="41" t="n">
        <x:f>IFERROR(I43-E43,"")</x:f>
        <x:v>-10.964443000000001</x:v>
      </x:c>
      <x:c r="Z43" s="41" t="n">
        <x:f>IFERROR(J43-F43,"")</x:f>
        <x:v>-1.8932879999999983</x:v>
      </x:c>
      <x:c r="AA43" s="41" t="n">
        <x:v>523</x:v>
      </x:c>
      <x:c r="AB43" s="41" t="n">
        <x:v>2338</x:v>
      </x:c>
    </x:row>
    <x:row r="44">
      <x:c r="A44" s="41" t="str">
        <x:v>HYP_DD20_EXP_GUARD17_10_SL10_TOPN5_V1</x:v>
      </x:c>
      <x:c r="B44" s="41" t="str">
        <x:v>dd20_adaptive_research</x:v>
      </x:c>
      <x:c r="C44" s="41" t="str">
        <x:v>1999-01-04</x:v>
      </x:c>
      <x:c r="D44" s="41" t="str">
        <x:v>2026-05-22</x:v>
      </x:c>
      <x:c r="E44" s="41" t="n">
        <x:v>10.162806</x:v>
      </x:c>
      <x:c r="F44" s="41" t="n">
        <x:v>-19.325183</x:v>
      </x:c>
      <x:c r="G44" s="41" t="n">
        <x:v>1315.322271</x:v>
      </x:c>
      <x:c r="H44" s="41" t="n">
        <x:f>IFERROR(E44/ABS(F44),"")</x:f>
        <x:v>0.5258840757161265</x:v>
      </x:c>
      <x:c r="I44" s="41" t="n">
        <x:v>8.437789</x:v>
      </x:c>
      <x:c r="J44" s="41" t="n">
        <x:v>-21.758386</x:v>
      </x:c>
      <x:c r="K44" s="41" t="n">
        <x:v>818.742532</x:v>
      </x:c>
      <x:c r="L44" s="41" t="n">
        <x:f>IFERROR(I44/ABS(J44),"")</x:f>
        <x:v>0.3877948024269815</x:v>
      </x:c>
      <x:c r="M44" s="41" t="n">
        <x:v>6.802475</x:v>
      </x:c>
      <x:c r="N44" s="41" t="n">
        <x:v>-56.473669</x:v>
      </x:c>
      <x:c r="O44" s="41" t="n">
        <x:v>506.057416</x:v>
      </x:c>
      <x:c r="P44" s="41" t="n">
        <x:f>IFERROR(M44/ABS(N44),"")</x:f>
        <x:v>0.12045392340278087</x:v>
      </x:c>
      <x:c r="Q44" s="41" t="str">
        <x:f>IF(L44&gt;=MAX(H44,P44),"Weekly",IF(H44&gt;=MAX(L44,P44),"No weekly","SPY"))</x:f>
        <x:v>No weekly</x:v>
      </x:c>
      <x:c r="R44" s="41" t="n">
        <x:f>IFERROR(L44-P44,"")</x:f>
        <x:v>0.2673408790242006</x:v>
      </x:c>
      <x:c r="S44" s="41" t="n">
        <x:f>IFERROR(H44-P44,"")</x:f>
        <x:v>0.4054301523133456</x:v>
      </x:c>
      <x:c r="T44" s="41" t="n">
        <x:f>IFERROR(I44-M44,"")</x:f>
        <x:v>1.6353140000000002</x:v>
      </x:c>
      <x:c r="U44" s="41" t="n">
        <x:f>IFERROR(E44-M44,"")</x:f>
        <x:v>3.3603309999999995</x:v>
      </x:c>
      <x:c r="V44" s="41" t="str">
        <x:f>IF(AND(I44&gt;M44,J44&gt;N44),"Sí","No")</x:f>
        <x:v>Sí</x:v>
      </x:c>
      <x:c r="W44" s="41" t="str">
        <x:f>IF(AND(E44&gt;M44,F44&gt;N44),"Sí","No")</x:f>
        <x:v>Sí</x:v>
      </x:c>
      <x:c r="X44" s="41" t="str">
        <x:f>IF(L44&gt;=H44,"Weekly","No weekly")</x:f>
        <x:v>No weekly</x:v>
      </x:c>
      <x:c r="Y44" s="41" t="n">
        <x:f>IFERROR(I44-E44,"")</x:f>
        <x:v>-1.7250169999999994</x:v>
      </x:c>
      <x:c r="Z44" s="41" t="n">
        <x:f>IFERROR(J44-F44,"")</x:f>
        <x:v>-2.4332030000000024</x:v>
      </x:c>
      <x:c r="AA44" s="41" t="n">
        <x:v>8344</x:v>
      </x:c>
      <x:c r="AB44" s="41" t="n">
        <x:v>2361</x:v>
      </x:c>
    </x:row>
    <x:row r="45">
      <x:c r="A45" s="41" t="str">
        <x:v>HYP_DD20_EXP_GUARD18_14_SL10_TOPN5_V1</x:v>
      </x:c>
      <x:c r="B45" s="41" t="str">
        <x:v>dd20_adaptive_research</x:v>
      </x:c>
      <x:c r="C45" s="41" t="str">
        <x:v>1999-01-04</x:v>
      </x:c>
      <x:c r="D45" s="41" t="str">
        <x:v>2026-05-22</x:v>
      </x:c>
      <x:c r="E45" s="41" t="n">
        <x:v>10.169726</x:v>
      </x:c>
      <x:c r="F45" s="41" t="n">
        <x:v>-19.325183</x:v>
      </x:c>
      <x:c r="G45" s="41" t="n">
        <x:v>1317.758378</x:v>
      </x:c>
      <x:c r="H45" s="41" t="n">
        <x:f>IFERROR(E45/ABS(F45),"")</x:f>
        <x:v>0.5262421577068637</x:v>
      </x:c>
      <x:c r="I45" s="41" t="n">
        <x:v>8.375537</x:v>
      </x:c>
      <x:c r="J45" s="41" t="n">
        <x:v>-22.759157</x:v>
      </x:c>
      <x:c r="K45" s="41" t="n">
        <x:v>804.410977</x:v>
      </x:c>
      <x:c r="L45" s="41" t="n">
        <x:f>IFERROR(I45/ABS(J45),"")</x:f>
        <x:v>0.368007347548066</x:v>
      </x:c>
      <x:c r="M45" s="41" t="n">
        <x:v>6.802475</x:v>
      </x:c>
      <x:c r="N45" s="41" t="n">
        <x:v>-56.473669</x:v>
      </x:c>
      <x:c r="O45" s="41" t="n">
        <x:v>506.057416</x:v>
      </x:c>
      <x:c r="P45" s="41" t="n">
        <x:f>IFERROR(M45/ABS(N45),"")</x:f>
        <x:v>0.12045392340278087</x:v>
      </x:c>
      <x:c r="Q45" s="41" t="str">
        <x:f>IF(L45&gt;=MAX(H45,P45),"Weekly",IF(H45&gt;=MAX(L45,P45),"No weekly","SPY"))</x:f>
        <x:v>No weekly</x:v>
      </x:c>
      <x:c r="R45" s="41" t="n">
        <x:f>IFERROR(L45-P45,"")</x:f>
        <x:v>0.24755342414528514</x:v>
      </x:c>
      <x:c r="S45" s="41" t="n">
        <x:f>IFERROR(H45-P45,"")</x:f>
        <x:v>0.4057882343040828</x:v>
      </x:c>
      <x:c r="T45" s="41" t="n">
        <x:f>IFERROR(I45-M45,"")</x:f>
        <x:v>1.5730619999999993</x:v>
      </x:c>
      <x:c r="U45" s="41" t="n">
        <x:f>IFERROR(E45-M45,"")</x:f>
        <x:v>3.3672510000000004</x:v>
      </x:c>
      <x:c r="V45" s="41" t="str">
        <x:f>IF(AND(I45&gt;M45,J45&gt;N45),"Sí","No")</x:f>
        <x:v>Sí</x:v>
      </x:c>
      <x:c r="W45" s="41" t="str">
        <x:f>IF(AND(E45&gt;M45,F45&gt;N45),"Sí","No")</x:f>
        <x:v>Sí</x:v>
      </x:c>
      <x:c r="X45" s="41" t="str">
        <x:f>IF(L45&gt;=H45,"Weekly","No weekly")</x:f>
        <x:v>No weekly</x:v>
      </x:c>
      <x:c r="Y45" s="41" t="n">
        <x:f>IFERROR(I45-E45,"")</x:f>
        <x:v>-1.7941890000000011</x:v>
      </x:c>
      <x:c r="Z45" s="41" t="n">
        <x:f>IFERROR(J45-F45,"")</x:f>
        <x:v>-3.433973999999999</x:v>
      </x:c>
      <x:c r="AA45" s="41" t="n">
        <x:v>8507</x:v>
      </x:c>
      <x:c r="AB45" s="41" t="n">
        <x:v>2398</x:v>
      </x:c>
    </x:row>
    <x:row r="46">
      <x:c r="A46" s="41" t="str">
        <x:v>HYP_DD20_EXP_GUARD19_12_SL10_TOPN5_V1</x:v>
      </x:c>
      <x:c r="B46" s="41" t="str">
        <x:v>dd20_adaptive_research</x:v>
      </x:c>
      <x:c r="C46" s="41" t="str">
        <x:v>1999-01-04</x:v>
      </x:c>
      <x:c r="D46" s="41" t="str">
        <x:v>2026-05-22</x:v>
      </x:c>
      <x:c r="E46" s="41" t="n">
        <x:v>10.169726</x:v>
      </x:c>
      <x:c r="F46" s="41" t="n">
        <x:v>-19.325183</x:v>
      </x:c>
      <x:c r="G46" s="41" t="n">
        <x:v>1317.758378</x:v>
      </x:c>
      <x:c r="H46" s="41" t="n">
        <x:f>IFERROR(E46/ABS(F46),"")</x:f>
        <x:v>0.5262421577068637</x:v>
      </x:c>
      <x:c r="I46" s="41" t="n">
        <x:v>8.583765</x:v>
      </x:c>
      <x:c r="J46" s="41" t="n">
        <x:v>-22.136548</x:v>
      </x:c>
      <x:c r="K46" s="41" t="n">
        <x:v>853.211926</x:v>
      </x:c>
      <x:c r="L46" s="41" t="n">
        <x:f>IFERROR(I46/ABS(J46),"")</x:f>
        <x:v>0.38776438855778234</x:v>
      </x:c>
      <x:c r="M46" s="41" t="n">
        <x:v>6.802475</x:v>
      </x:c>
      <x:c r="N46" s="41" t="n">
        <x:v>-56.473669</x:v>
      </x:c>
      <x:c r="O46" s="41" t="n">
        <x:v>506.057416</x:v>
      </x:c>
      <x:c r="P46" s="41" t="n">
        <x:f>IFERROR(M46/ABS(N46),"")</x:f>
        <x:v>0.12045392340278087</x:v>
      </x:c>
      <x:c r="Q46" s="41" t="str">
        <x:f>IF(L46&gt;=MAX(H46,P46),"Weekly",IF(H46&gt;=MAX(L46,P46),"No weekly","SPY"))</x:f>
        <x:v>No weekly</x:v>
      </x:c>
      <x:c r="R46" s="41" t="n">
        <x:f>IFERROR(L46-P46,"")</x:f>
        <x:v>0.26731046515500145</x:v>
      </x:c>
      <x:c r="S46" s="41" t="n">
        <x:f>IFERROR(H46-P46,"")</x:f>
        <x:v>0.4057882343040828</x:v>
      </x:c>
      <x:c r="T46" s="41" t="n">
        <x:f>IFERROR(I46-M46,"")</x:f>
        <x:v>1.7812899999999994</x:v>
      </x:c>
      <x:c r="U46" s="41" t="n">
        <x:f>IFERROR(E46-M46,"")</x:f>
        <x:v>3.3672510000000004</x:v>
      </x:c>
      <x:c r="V46" s="41" t="str">
        <x:f>IF(AND(I46&gt;M46,J46&gt;N46),"Sí","No")</x:f>
        <x:v>Sí</x:v>
      </x:c>
      <x:c r="W46" s="41" t="str">
        <x:f>IF(AND(E46&gt;M46,F46&gt;N46),"Sí","No")</x:f>
        <x:v>Sí</x:v>
      </x:c>
      <x:c r="X46" s="41" t="str">
        <x:f>IF(L46&gt;=H46,"Weekly","No weekly")</x:f>
        <x:v>No weekly</x:v>
      </x:c>
      <x:c r="Y46" s="41" t="n">
        <x:f>IFERROR(I46-E46,"")</x:f>
        <x:v>-1.585961000000001</x:v>
      </x:c>
      <x:c r="Z46" s="41" t="n">
        <x:f>IFERROR(J46-F46,"")</x:f>
        <x:v>-2.811365000000002</x:v>
      </x:c>
      <x:c r="AA46" s="41" t="n">
        <x:v>8592</x:v>
      </x:c>
      <x:c r="AB46" s="41" t="n">
        <x:v>2398</x:v>
      </x:c>
    </x:row>
    <x:row r="47">
      <x:c r="A47" s="41" t="str">
        <x:v>HYP_DD20_EXP_SL10_TOPN10_GUARD18_12_V1</x:v>
      </x:c>
      <x:c r="B47" s="41" t="str">
        <x:v>dd20_adaptive_research</x:v>
      </x:c>
      <x:c r="C47" s="41" t="str">
        <x:v>1999-01-04</x:v>
      </x:c>
      <x:c r="D47" s="41" t="str">
        <x:v>2026-05-22</x:v>
      </x:c>
      <x:c r="E47" s="41" t="n">
        <x:v>10.166474</x:v>
      </x:c>
      <x:c r="F47" s="41" t="n">
        <x:v>-19.325183</x:v>
      </x:c>
      <x:c r="G47" s="41" t="n">
        <x:v>1316.612872</x:v>
      </x:c>
      <x:c r="H47" s="41" t="n">
        <x:f>IFERROR(E47/ABS(F47),"")</x:f>
        <x:v>0.5260738798695981</x:v>
      </x:c>
      <x:c r="I47" s="41" t="n">
        <x:v>8.442116</x:v>
      </x:c>
      <x:c r="J47" s="41" t="n">
        <x:v>-22.812502</x:v>
      </x:c>
      <x:c r="K47" s="41" t="n">
        <x:v>819.746641</x:v>
      </x:c>
      <x:c r="L47" s="41" t="n">
        <x:f>IFERROR(I47/ABS(J47),"")</x:f>
        <x:v>0.3700653264600262</x:v>
      </x:c>
      <x:c r="M47" s="41" t="n">
        <x:v>6.802475</x:v>
      </x:c>
      <x:c r="N47" s="41" t="n">
        <x:v>-56.473669</x:v>
      </x:c>
      <x:c r="O47" s="41" t="n">
        <x:v>506.057416</x:v>
      </x:c>
      <x:c r="P47" s="41" t="n">
        <x:f>IFERROR(M47/ABS(N47),"")</x:f>
        <x:v>0.12045392340278087</x:v>
      </x:c>
      <x:c r="Q47" s="41" t="str">
        <x:f>IF(L47&gt;=MAX(H47,P47),"Weekly",IF(H47&gt;=MAX(L47,P47),"No weekly","SPY"))</x:f>
        <x:v>No weekly</x:v>
      </x:c>
      <x:c r="R47" s="41" t="n">
        <x:f>IFERROR(L47-P47,"")</x:f>
        <x:v>0.24961140305724533</x:v>
      </x:c>
      <x:c r="S47" s="41" t="n">
        <x:f>IFERROR(H47-P47,"")</x:f>
        <x:v>0.4056199564668172</x:v>
      </x:c>
      <x:c r="T47" s="41" t="n">
        <x:f>IFERROR(I47-M47,"")</x:f>
        <x:v>1.6396410000000001</x:v>
      </x:c>
      <x:c r="U47" s="41" t="n">
        <x:f>IFERROR(E47-M47,"")</x:f>
        <x:v>3.363998999999999</x:v>
      </x:c>
      <x:c r="V47" s="41" t="str">
        <x:f>IF(AND(I47&gt;M47,J47&gt;N47),"Sí","No")</x:f>
        <x:v>Sí</x:v>
      </x:c>
      <x:c r="W47" s="41" t="str">
        <x:f>IF(AND(E47&gt;M47,F47&gt;N47),"Sí","No")</x:f>
        <x:v>Sí</x:v>
      </x:c>
      <x:c r="X47" s="41" t="str">
        <x:f>IF(L47&gt;=H47,"Weekly","No weekly")</x:f>
        <x:v>No weekly</x:v>
      </x:c>
      <x:c r="Y47" s="41" t="n">
        <x:f>IFERROR(I47-E47,"")</x:f>
        <x:v>-1.7243579999999987</x:v>
      </x:c>
      <x:c r="Z47" s="41" t="n">
        <x:f>IFERROR(J47-F47,"")</x:f>
        <x:v>-3.4873189999999994</x:v>
      </x:c>
      <x:c r="AA47" s="41" t="n">
        <x:v>8590</x:v>
      </x:c>
      <x:c r="AB47" s="41" t="n">
        <x:v>2402</x:v>
      </x:c>
    </x:row>
    <x:row r="48">
      <x:c r="A48" s="41" t="str">
        <x:v>HYP_DD20_EXP_SL10_TOPN10_WHEN_GUARD_V1</x:v>
      </x:c>
      <x:c r="B48" s="41" t="str">
        <x:v>dd20_adaptive_research</x:v>
      </x:c>
      <x:c r="C48" s="41" t="str">
        <x:v>1999-01-04</x:v>
      </x:c>
      <x:c r="D48" s="41" t="str">
        <x:v>2026-05-22</x:v>
      </x:c>
      <x:c r="E48" s="41" t="n">
        <x:v>10.240927</x:v>
      </x:c>
      <x:c r="F48" s="41" t="n">
        <x:v>-19.325183</x:v>
      </x:c>
      <x:c r="G48" s="41" t="n">
        <x:v>1343.059348</x:v>
      </x:c>
      <x:c r="H48" s="41" t="n">
        <x:f>IFERROR(E48/ABS(F48),"")</x:f>
        <x:v>0.529926521265025</x:v>
      </x:c>
      <x:c r="I48" s="41" t="n">
        <x:v>8.46024</x:v>
      </x:c>
      <x:c r="J48" s="41" t="n">
        <x:v>-22.812502</x:v>
      </x:c>
      <x:c r="K48" s="41" t="n">
        <x:v>823.964591</x:v>
      </x:c>
      <x:c r="L48" s="41" t="n">
        <x:f>IFERROR(I48/ABS(J48),"")</x:f>
        <x:v>0.3708598031027022</x:v>
      </x:c>
      <x:c r="M48" s="41" t="n">
        <x:v>6.802475</x:v>
      </x:c>
      <x:c r="N48" s="41" t="n">
        <x:v>-56.473669</x:v>
      </x:c>
      <x:c r="O48" s="41" t="n">
        <x:v>506.057416</x:v>
      </x:c>
      <x:c r="P48" s="41" t="n">
        <x:f>IFERROR(M48/ABS(N48),"")</x:f>
        <x:v>0.12045392340278087</x:v>
      </x:c>
      <x:c r="Q48" s="41" t="str">
        <x:f>IF(L48&gt;=MAX(H48,P48),"Weekly",IF(H48&gt;=MAX(L48,P48),"No weekly","SPY"))</x:f>
        <x:v>No weekly</x:v>
      </x:c>
      <x:c r="R48" s="41" t="n">
        <x:f>IFERROR(L48-P48,"")</x:f>
        <x:v>0.25040587969992134</x:v>
      </x:c>
      <x:c r="S48" s="41" t="n">
        <x:f>IFERROR(H48-P48,"")</x:f>
        <x:v>0.40947259786224416</x:v>
      </x:c>
      <x:c r="T48" s="41" t="n">
        <x:f>IFERROR(I48-M48,"")</x:f>
        <x:v>1.6577650000000004</x:v>
      </x:c>
      <x:c r="U48" s="41" t="n">
        <x:f>IFERROR(E48-M48,"")</x:f>
        <x:v>3.438451999999999</x:v>
      </x:c>
      <x:c r="V48" s="41" t="str">
        <x:f>IF(AND(I48&gt;M48,J48&gt;N48),"Sí","No")</x:f>
        <x:v>Sí</x:v>
      </x:c>
      <x:c r="W48" s="41" t="str">
        <x:f>IF(AND(E48&gt;M48,F48&gt;N48),"Sí","No")</x:f>
        <x:v>Sí</x:v>
      </x:c>
      <x:c r="X48" s="41" t="str">
        <x:f>IF(L48&gt;=H48,"Weekly","No weekly")</x:f>
        <x:v>No weekly</x:v>
      </x:c>
      <x:c r="Y48" s="41" t="n">
        <x:f>IFERROR(I48-E48,"")</x:f>
        <x:v>-1.7806869999999986</x:v>
      </x:c>
      <x:c r="Z48" s="41" t="n">
        <x:f>IFERROR(J48-F48,"")</x:f>
        <x:v>-3.4873189999999994</x:v>
      </x:c>
      <x:c r="AA48" s="41" t="n">
        <x:v>8563</x:v>
      </x:c>
      <x:c r="AB48" s="41" t="n">
        <x:v>2393</x:v>
      </x:c>
    </x:row>
    <x:row r="49">
      <x:c r="A49" s="41" t="str">
        <x:v>HYP_DD20_EXP_SL10_TOPN3_WHEN_GUARD_V1</x:v>
      </x:c>
      <x:c r="B49" s="41" t="str">
        <x:v>dd20_adaptive_research</x:v>
      </x:c>
      <x:c r="C49" s="41" t="str">
        <x:v>1999-01-04</x:v>
      </x:c>
      <x:c r="D49" s="41" t="str">
        <x:v>2026-05-22</x:v>
      </x:c>
      <x:c r="E49" s="41" t="n">
        <x:v>10.32712</x:v>
      </x:c>
      <x:c r="F49" s="41" t="n">
        <x:v>-19.325183</x:v>
      </x:c>
      <x:c r="G49" s="41" t="n">
        <x:v>1374.270664</x:v>
      </x:c>
      <x:c r="H49" s="41" t="n">
        <x:f>IFERROR(E49/ABS(F49),"")</x:f>
        <x:v>0.5343866601418471</x:v>
      </x:c>
      <x:c r="I49" s="41" t="n">
        <x:v>8.517238</x:v>
      </x:c>
      <x:c r="J49" s="41" t="n">
        <x:v>-22.600373</x:v>
      </x:c>
      <x:c r="K49" s="41" t="n">
        <x:v>837.351163</x:v>
      </x:c>
      <x:c r="L49" s="41" t="n">
        <x:f>IFERROR(I49/ABS(J49),"")</x:f>
        <x:v>0.3768627181507137</x:v>
      </x:c>
      <x:c r="M49" s="41" t="n">
        <x:v>6.802475</x:v>
      </x:c>
      <x:c r="N49" s="41" t="n">
        <x:v>-56.473669</x:v>
      </x:c>
      <x:c r="O49" s="41" t="n">
        <x:v>506.057416</x:v>
      </x:c>
      <x:c r="P49" s="41" t="n">
        <x:f>IFERROR(M49/ABS(N49),"")</x:f>
        <x:v>0.12045392340278087</x:v>
      </x:c>
      <x:c r="Q49" s="41" t="str">
        <x:f>IF(L49&gt;=MAX(H49,P49),"Weekly",IF(H49&gt;=MAX(L49,P49),"No weekly","SPY"))</x:f>
        <x:v>No weekly</x:v>
      </x:c>
      <x:c r="R49" s="41" t="n">
        <x:f>IFERROR(L49-P49,"")</x:f>
        <x:v>0.2564087947479328</x:v>
      </x:c>
      <x:c r="S49" s="41" t="n">
        <x:f>IFERROR(H49-P49,"")</x:f>
        <x:v>0.4139327367390662</x:v>
      </x:c>
      <x:c r="T49" s="41" t="n">
        <x:f>IFERROR(I49-M49,"")</x:f>
        <x:v>1.7147630000000005</x:v>
      </x:c>
      <x:c r="U49" s="41" t="n">
        <x:f>IFERROR(E49-M49,"")</x:f>
        <x:v>3.5246450000000005</x:v>
      </x:c>
      <x:c r="V49" s="41" t="str">
        <x:f>IF(AND(I49&gt;M49,J49&gt;N49),"Sí","No")</x:f>
        <x:v>Sí</x:v>
      </x:c>
      <x:c r="W49" s="41" t="str">
        <x:f>IF(AND(E49&gt;M49,F49&gt;N49),"Sí","No")</x:f>
        <x:v>Sí</x:v>
      </x:c>
      <x:c r="X49" s="41" t="str">
        <x:f>IF(L49&gt;=H49,"Weekly","No weekly")</x:f>
        <x:v>No weekly</x:v>
      </x:c>
      <x:c r="Y49" s="41" t="n">
        <x:f>IFERROR(I49-E49,"")</x:f>
        <x:v>-1.809882</x:v>
      </x:c>
      <x:c r="Z49" s="41" t="n">
        <x:f>IFERROR(J49-F49,"")</x:f>
        <x:v>-3.275190000000002</x:v>
      </x:c>
      <x:c r="AA49" s="41" t="n">
        <x:v>8385</x:v>
      </x:c>
      <x:c r="AB49" s="41" t="n">
        <x:v>2379</x:v>
      </x:c>
    </x:row>
    <x:row r="50">
      <x:c r="A50" s="41" t="str">
        <x:v>HYP_DD20_EXP_SL10_TOPN5_GUARD18_12_V1</x:v>
      </x:c>
      <x:c r="B50" s="41" t="str">
        <x:v>dd20_adaptive_research</x:v>
      </x:c>
      <x:c r="C50" s="41" t="str">
        <x:v>1999-01-04</x:v>
      </x:c>
      <x:c r="D50" s="41" t="str">
        <x:v>2026-05-22</x:v>
      </x:c>
      <x:c r="E50" s="41" t="n">
        <x:v>10.169726</x:v>
      </x:c>
      <x:c r="F50" s="41" t="n">
        <x:v>-19.325183</x:v>
      </x:c>
      <x:c r="G50" s="41" t="n">
        <x:v>1317.758378</x:v>
      </x:c>
      <x:c r="H50" s="41" t="n">
        <x:f>IFERROR(E50/ABS(F50),"")</x:f>
        <x:v>0.5262421577068637</x:v>
      </x:c>
      <x:c r="I50" s="41" t="n">
        <x:v>8.351912</x:v>
      </x:c>
      <x:c r="J50" s="41" t="n">
        <x:v>-22.759157</x:v>
      </x:c>
      <x:c r="K50" s="41" t="n">
        <x:v>799.028711</x:v>
      </x:c>
      <x:c r="L50" s="41" t="n">
        <x:f>IFERROR(I50/ABS(J50),"")</x:f>
        <x:v>0.36696930382790544</x:v>
      </x:c>
      <x:c r="M50" s="41" t="n">
        <x:v>6.802475</x:v>
      </x:c>
      <x:c r="N50" s="41" t="n">
        <x:v>-56.473669</x:v>
      </x:c>
      <x:c r="O50" s="41" t="n">
        <x:v>506.057416</x:v>
      </x:c>
      <x:c r="P50" s="41" t="n">
        <x:f>IFERROR(M50/ABS(N50),"")</x:f>
        <x:v>0.12045392340278087</x:v>
      </x:c>
      <x:c r="Q50" s="41" t="str">
        <x:f>IF(L50&gt;=MAX(H50,P50),"Weekly",IF(H50&gt;=MAX(L50,P50),"No weekly","SPY"))</x:f>
        <x:v>No weekly</x:v>
      </x:c>
      <x:c r="R50" s="41" t="n">
        <x:f>IFERROR(L50-P50,"")</x:f>
        <x:v>0.24651538042512455</x:v>
      </x:c>
      <x:c r="S50" s="41" t="n">
        <x:f>IFERROR(H50-P50,"")</x:f>
        <x:v>0.4057882343040828</x:v>
      </x:c>
      <x:c r="T50" s="41" t="n">
        <x:f>IFERROR(I50-M50,"")</x:f>
        <x:v>1.5494370000000002</x:v>
      </x:c>
      <x:c r="U50" s="41" t="n">
        <x:f>IFERROR(E50-M50,"")</x:f>
        <x:v>3.3672510000000004</x:v>
      </x:c>
      <x:c r="V50" s="41" t="str">
        <x:f>IF(AND(I50&gt;M50,J50&gt;N50),"Sí","No")</x:f>
        <x:v>Sí</x:v>
      </x:c>
      <x:c r="W50" s="41" t="str">
        <x:f>IF(AND(E50&gt;M50,F50&gt;N50),"Sí","No")</x:f>
        <x:v>Sí</x:v>
      </x:c>
      <x:c r="X50" s="41" t="str">
        <x:f>IF(L50&gt;=H50,"Weekly","No weekly")</x:f>
        <x:v>No weekly</x:v>
      </x:c>
      <x:c r="Y50" s="41" t="n">
        <x:f>IFERROR(I50-E50,"")</x:f>
        <x:v>-1.8178140000000003</x:v>
      </x:c>
      <x:c r="Z50" s="41" t="n">
        <x:f>IFERROR(J50-F50,"")</x:f>
        <x:v>-3.433973999999999</x:v>
      </x:c>
      <x:c r="AA50" s="41" t="n">
        <x:v>8496</x:v>
      </x:c>
      <x:c r="AB50" s="41" t="n">
        <x:v>2398</x:v>
      </x:c>
    </x:row>
    <x:row r="51">
      <x:c r="A51" s="41" t="str">
        <x:v>HYP_DD20_EXP_SL10_TOPN8_GUARD18_12_V1</x:v>
      </x:c>
      <x:c r="B51" s="41" t="str">
        <x:v>dd20_adaptive_research</x:v>
      </x:c>
      <x:c r="C51" s="41" t="str">
        <x:v>1999-01-04</x:v>
      </x:c>
      <x:c r="D51" s="41" t="str">
        <x:v>2026-05-22</x:v>
      </x:c>
      <x:c r="E51" s="41" t="n">
        <x:v>10.166474</x:v>
      </x:c>
      <x:c r="F51" s="41" t="n">
        <x:v>-19.325183</x:v>
      </x:c>
      <x:c r="G51" s="41" t="n">
        <x:v>1316.612872</x:v>
      </x:c>
      <x:c r="H51" s="41" t="n">
        <x:f>IFERROR(E51/ABS(F51),"")</x:f>
        <x:v>0.5260738798695981</x:v>
      </x:c>
      <x:c r="I51" s="41" t="n">
        <x:v>8.402196</x:v>
      </x:c>
      <x:c r="J51" s="41" t="n">
        <x:v>-21.818234</x:v>
      </x:c>
      <x:c r="K51" s="41" t="n">
        <x:v>810.521754</x:v>
      </x:c>
      <x:c r="L51" s="41" t="n">
        <x:f>IFERROR(I51/ABS(J51),"")</x:f>
        <x:v>0.38509972896981487</x:v>
      </x:c>
      <x:c r="M51" s="41" t="n">
        <x:v>6.802475</x:v>
      </x:c>
      <x:c r="N51" s="41" t="n">
        <x:v>-56.473669</x:v>
      </x:c>
      <x:c r="O51" s="41" t="n">
        <x:v>506.057416</x:v>
      </x:c>
      <x:c r="P51" s="41" t="n">
        <x:f>IFERROR(M51/ABS(N51),"")</x:f>
        <x:v>0.12045392340278087</x:v>
      </x:c>
      <x:c r="Q51" s="41" t="str">
        <x:f>IF(L51&gt;=MAX(H51,P51),"Weekly",IF(H51&gt;=MAX(L51,P51),"No weekly","SPY"))</x:f>
        <x:v>No weekly</x:v>
      </x:c>
      <x:c r="R51" s="41" t="n">
        <x:f>IFERROR(L51-P51,"")</x:f>
        <x:v>0.264645805567034</x:v>
      </x:c>
      <x:c r="S51" s="41" t="n">
        <x:f>IFERROR(H51-P51,"")</x:f>
        <x:v>0.4056199564668172</x:v>
      </x:c>
      <x:c r="T51" s="41" t="n">
        <x:f>IFERROR(I51-M51,"")</x:f>
        <x:v>1.5997209999999997</x:v>
      </x:c>
      <x:c r="U51" s="41" t="n">
        <x:f>IFERROR(E51-M51,"")</x:f>
        <x:v>3.363998999999999</x:v>
      </x:c>
      <x:c r="V51" s="41" t="str">
        <x:f>IF(AND(I51&gt;M51,J51&gt;N51),"Sí","No")</x:f>
        <x:v>Sí</x:v>
      </x:c>
      <x:c r="W51" s="41" t="str">
        <x:f>IF(AND(E51&gt;M51,F51&gt;N51),"Sí","No")</x:f>
        <x:v>Sí</x:v>
      </x:c>
      <x:c r="X51" s="41" t="str">
        <x:f>IF(L51&gt;=H51,"Weekly","No weekly")</x:f>
        <x:v>No weekly</x:v>
      </x:c>
      <x:c r="Y51" s="41" t="n">
        <x:f>IFERROR(I51-E51,"")</x:f>
        <x:v>-1.7642779999999991</x:v>
      </x:c>
      <x:c r="Z51" s="41" t="n">
        <x:f>IFERROR(J51-F51,"")</x:f>
        <x:v>-2.4930510000000012</x:v>
      </x:c>
      <x:c r="AA51" s="41" t="n">
        <x:v>8575</x:v>
      </x:c>
      <x:c r="AB51" s="41" t="n">
        <x:v>2402</x:v>
      </x:c>
    </x:row>
    <x:row r="52">
      <x:c r="A52" s="41" t="str">
        <x:v>HYP_DD20_EXP_SL10_TOPN8_WHEN_GUARD_V1</x:v>
      </x:c>
      <x:c r="B52" s="41" t="str">
        <x:v>dd20_adaptive_research</x:v>
      </x:c>
      <x:c r="C52" s="41" t="str">
        <x:v>1999-01-04</x:v>
      </x:c>
      <x:c r="D52" s="41" t="str">
        <x:v>2026-05-22</x:v>
      </x:c>
      <x:c r="E52" s="41" t="n">
        <x:v>10.240927</x:v>
      </x:c>
      <x:c r="F52" s="41" t="n">
        <x:v>-19.325183</x:v>
      </x:c>
      <x:c r="G52" s="41" t="n">
        <x:v>1343.059348</x:v>
      </x:c>
      <x:c r="H52" s="41" t="n">
        <x:f>IFERROR(E52/ABS(F52),"")</x:f>
        <x:v>0.529926521265025</x:v>
      </x:c>
      <x:c r="I52" s="41" t="n">
        <x:v>8.380022</x:v>
      </x:c>
      <x:c r="J52" s="41" t="n">
        <x:v>-21.818234</x:v>
      </x:c>
      <x:c r="K52" s="41" t="n">
        <x:v>805.436273</x:v>
      </x:c>
      <x:c r="L52" s="41" t="n">
        <x:f>IFERROR(I52/ABS(J52),"")</x:f>
        <x:v>0.3840834230671465</x:v>
      </x:c>
      <x:c r="M52" s="41" t="n">
        <x:v>6.802475</x:v>
      </x:c>
      <x:c r="N52" s="41" t="n">
        <x:v>-56.473669</x:v>
      </x:c>
      <x:c r="O52" s="41" t="n">
        <x:v>506.057416</x:v>
      </x:c>
      <x:c r="P52" s="41" t="n">
        <x:f>IFERROR(M52/ABS(N52),"")</x:f>
        <x:v>0.12045392340278087</x:v>
      </x:c>
      <x:c r="Q52" s="41" t="str">
        <x:f>IF(L52&gt;=MAX(H52,P52),"Weekly",IF(H52&gt;=MAX(L52,P52),"No weekly","SPY"))</x:f>
        <x:v>No weekly</x:v>
      </x:c>
      <x:c r="R52" s="41" t="n">
        <x:f>IFERROR(L52-P52,"")</x:f>
        <x:v>0.2636294996643656</x:v>
      </x:c>
      <x:c r="S52" s="41" t="n">
        <x:f>IFERROR(H52-P52,"")</x:f>
        <x:v>0.40947259786224416</x:v>
      </x:c>
      <x:c r="T52" s="41" t="n">
        <x:f>IFERROR(I52-M52,"")</x:f>
        <x:v>1.577547</x:v>
      </x:c>
      <x:c r="U52" s="41" t="n">
        <x:f>IFERROR(E52-M52,"")</x:f>
        <x:v>3.438451999999999</x:v>
      </x:c>
      <x:c r="V52" s="41" t="str">
        <x:f>IF(AND(I52&gt;M52,J52&gt;N52),"Sí","No")</x:f>
        <x:v>Sí</x:v>
      </x:c>
      <x:c r="W52" s="41" t="str">
        <x:f>IF(AND(E52&gt;M52,F52&gt;N52),"Sí","No")</x:f>
        <x:v>Sí</x:v>
      </x:c>
      <x:c r="X52" s="41" t="str">
        <x:f>IF(L52&gt;=H52,"Weekly","No weekly")</x:f>
        <x:v>No weekly</x:v>
      </x:c>
      <x:c r="Y52" s="41" t="n">
        <x:f>IFERROR(I52-E52,"")</x:f>
        <x:v>-1.860904999999999</x:v>
      </x:c>
      <x:c r="Z52" s="41" t="n">
        <x:f>IFERROR(J52-F52,"")</x:f>
        <x:v>-2.4930510000000012</x:v>
      </x:c>
      <x:c r="AA52" s="41" t="n">
        <x:v>8540</x:v>
      </x:c>
      <x:c r="AB52" s="41" t="n">
        <x:v>2393</x:v>
      </x:c>
    </x:row>
    <x:row r="53">
      <x:c r="A53" s="41" t="str">
        <x:v>HYP_DD20_EXP_SL11_TOPN8_WHEN_GUARD_V1</x:v>
      </x:c>
      <x:c r="B53" s="41" t="str">
        <x:v>dd20_adaptive_research</x:v>
      </x:c>
      <x:c r="C53" s="41" t="str">
        <x:v>1999-01-04</x:v>
      </x:c>
      <x:c r="D53" s="41" t="str">
        <x:v>2026-05-22</x:v>
      </x:c>
      <x:c r="E53" s="41" t="n">
        <x:v>10.541152</x:v>
      </x:c>
      <x:c r="F53" s="41" t="n">
        <x:v>-19.658782</x:v>
      </x:c>
      <x:c r="G53" s="41" t="n">
        <x:v>1454.611172</x:v>
      </x:c>
      <x:c r="H53" s="41" t="n">
        <x:f>IFERROR(E53/ABS(F53),"")</x:f>
        <x:v>0.5362057527266949</x:v>
      </x:c>
      <x:c r="I53" s="41" t="n">
        <x:v>8.730848</x:v>
      </x:c>
      <x:c r="J53" s="41" t="n">
        <x:v>-20.908095</x:v>
      </x:c>
      <x:c r="K53" s="41" t="n">
        <x:v>889.201347</x:v>
      </x:c>
      <x:c r="L53" s="41" t="n">
        <x:f>IFERROR(I53/ABS(J53),"")</x:f>
        <x:v>0.41758218527321594</x:v>
      </x:c>
      <x:c r="M53" s="41" t="n">
        <x:v>6.802475</x:v>
      </x:c>
      <x:c r="N53" s="41" t="n">
        <x:v>-56.473669</x:v>
      </x:c>
      <x:c r="O53" s="41" t="n">
        <x:v>506.057416</x:v>
      </x:c>
      <x:c r="P53" s="41" t="n">
        <x:f>IFERROR(M53/ABS(N53),"")</x:f>
        <x:v>0.12045392340278087</x:v>
      </x:c>
      <x:c r="Q53" s="41" t="str">
        <x:f>IF(L53&gt;=MAX(H53,P53),"Weekly",IF(H53&gt;=MAX(L53,P53),"No weekly","SPY"))</x:f>
        <x:v>No weekly</x:v>
      </x:c>
      <x:c r="R53" s="41" t="n">
        <x:f>IFERROR(L53-P53,"")</x:f>
        <x:v>0.29712826187043506</x:v>
      </x:c>
      <x:c r="S53" s="41" t="n">
        <x:f>IFERROR(H53-P53,"")</x:f>
        <x:v>0.415751829323914</x:v>
      </x:c>
      <x:c r="T53" s="41" t="n">
        <x:f>IFERROR(I53-M53,"")</x:f>
        <x:v>1.9283729999999997</x:v>
      </x:c>
      <x:c r="U53" s="41" t="n">
        <x:f>IFERROR(E53-M53,"")</x:f>
        <x:v>3.738677</x:v>
      </x:c>
      <x:c r="V53" s="41" t="str">
        <x:f>IF(AND(I53&gt;M53,J53&gt;N53),"Sí","No")</x:f>
        <x:v>Sí</x:v>
      </x:c>
      <x:c r="W53" s="41" t="str">
        <x:f>IF(AND(E53&gt;M53,F53&gt;N53),"Sí","No")</x:f>
        <x:v>Sí</x:v>
      </x:c>
      <x:c r="X53" s="41" t="str">
        <x:f>IF(L53&gt;=H53,"Weekly","No weekly")</x:f>
        <x:v>No weekly</x:v>
      </x:c>
      <x:c r="Y53" s="41" t="n">
        <x:f>IFERROR(I53-E53,"")</x:f>
        <x:v>-1.8103040000000004</x:v>
      </x:c>
      <x:c r="Z53" s="41" t="n">
        <x:f>IFERROR(J53-F53,"")</x:f>
        <x:v>-1.2493130000000008</x:v>
      </x:c>
      <x:c r="AA53" s="41" t="n">
        <x:v>8579</x:v>
      </x:c>
      <x:c r="AB53" s="41" t="n">
        <x:v>2354</x:v>
      </x:c>
    </x:row>
    <x:row r="54">
      <x:c r="A54" s="41" t="str">
        <x:v>HYP_DD20_EXP_SL8_TOPN5_WHEN_GUARD_V1</x:v>
      </x:c>
      <x:c r="B54" s="41" t="str">
        <x:v>dd20_adaptive_research</x:v>
      </x:c>
      <x:c r="C54" s="41" t="str">
        <x:v>1999-01-04</x:v>
      </x:c>
      <x:c r="D54" s="41" t="str">
        <x:v>2026-05-22</x:v>
      </x:c>
      <x:c r="E54" s="41" t="n">
        <x:v>10.020192</x:v>
      </x:c>
      <x:c r="F54" s="41" t="n">
        <x:v>-18.358442</x:v>
      </x:c>
      <x:c r="G54" s="41" t="n">
        <x:v>1266.005261</x:v>
      </x:c>
      <x:c r="H54" s="41" t="n">
        <x:f>IFERROR(E54/ABS(F54),"")</x:f>
        <x:v>0.5458084079248119</x:v>
      </x:c>
      <x:c r="I54" s="41" t="n">
        <x:v>-0.41619</x:v>
      </x:c>
      <x:c r="J54" s="41" t="n">
        <x:v>-22.577081</x:v>
      </x:c>
      <x:c r="K54" s="41" t="n">
        <x:v>-10.790662</x:v>
      </x:c>
      <x:c r="L54" s="41" t="n">
        <x:f>IFERROR(I54/ABS(J54),"")</x:f>
        <x:v>-0.01843418110605175</x:v>
      </x:c>
      <x:c r="M54" s="41" t="n">
        <x:v>6.802475</x:v>
      </x:c>
      <x:c r="N54" s="41" t="n">
        <x:v>-56.473669</x:v>
      </x:c>
      <x:c r="O54" s="41" t="n">
        <x:v>506.057416</x:v>
      </x:c>
      <x:c r="P54" s="41" t="n">
        <x:f>IFERROR(M54/ABS(N54),"")</x:f>
        <x:v>0.12045392340278087</x:v>
      </x:c>
      <x:c r="Q54" s="41" t="str">
        <x:f>IF(L54&gt;=MAX(H54,P54),"Weekly",IF(H54&gt;=MAX(L54,P54),"No weekly","SPY"))</x:f>
        <x:v>No weekly</x:v>
      </x:c>
      <x:c r="R54" s="41" t="n">
        <x:f>IFERROR(L54-P54,"")</x:f>
        <x:v>-0.13888810450883263</x:v>
      </x:c>
      <x:c r="S54" s="41" t="n">
        <x:f>IFERROR(H54-P54,"")</x:f>
        <x:v>0.425354484522031</x:v>
      </x:c>
      <x:c r="T54" s="41" t="n">
        <x:f>IFERROR(I54-M54,"")</x:f>
        <x:v>-7.2186650000000006</x:v>
      </x:c>
      <x:c r="U54" s="41" t="n">
        <x:f>IFERROR(E54-M54,"")</x:f>
        <x:v>3.2177169999999995</x:v>
      </x:c>
      <x:c r="V54" s="41" t="str">
        <x:f>IF(AND(I54&gt;M54,J54&gt;N54),"Sí","No")</x:f>
        <x:v>No</x:v>
      </x:c>
      <x:c r="W54" s="41" t="str">
        <x:f>IF(AND(E54&gt;M54,F54&gt;N54),"Sí","No")</x:f>
        <x:v>Sí</x:v>
      </x:c>
      <x:c r="X54" s="41" t="str">
        <x:f>IF(L54&gt;=H54,"Weekly","No weekly")</x:f>
        <x:v>No weekly</x:v>
      </x:c>
      <x:c r="Y54" s="41" t="n">
        <x:f>IFERROR(I54-E54,"")</x:f>
        <x:v>-10.436382</x:v>
      </x:c>
      <x:c r="Z54" s="41" t="n">
        <x:f>IFERROR(J54-F54,"")</x:f>
        <x:v>-4.218639</x:v>
      </x:c>
      <x:c r="AA54" s="41" t="n">
        <x:v>438</x:v>
      </x:c>
      <x:c r="AB54" s="41" t="n">
        <x:v>2410</x:v>
      </x:c>
    </x:row>
    <x:row r="55">
      <x:c r="A55" s="41" t="str">
        <x:v>HYP_DD20_EXP_SL9_TOPN5_WHEN_GUARD_V1</x:v>
      </x:c>
      <x:c r="B55" s="41" t="str">
        <x:v>dd20_adaptive_research</x:v>
      </x:c>
      <x:c r="C55" s="41" t="str">
        <x:v>1999-01-04</x:v>
      </x:c>
      <x:c r="D55" s="41" t="str">
        <x:v>2026-05-22</x:v>
      </x:c>
      <x:c r="E55" s="41" t="n">
        <x:v>10.15239</x:v>
      </x:c>
      <x:c r="F55" s="41" t="n">
        <x:v>-18.595661</x:v>
      </x:c>
      <x:c r="G55" s="41" t="n">
        <x:v>1311.66287</x:v>
      </x:c>
      <x:c r="H55" s="41" t="n">
        <x:f>IFERROR(E55/ABS(F55),"")</x:f>
        <x:v>0.5459547794509698</x:v>
      </x:c>
      <x:c r="I55" s="41" t="n">
        <x:v>8.42128</x:v>
      </x:c>
      <x:c r="J55" s="41" t="n">
        <x:v>-22.072198</x:v>
      </x:c>
      <x:c r="K55" s="41" t="n">
        <x:v>814.920695</x:v>
      </x:c>
      <x:c r="L55" s="41" t="n">
        <x:f>IFERROR(I55/ABS(J55),"")</x:f>
        <x:v>0.38153336609249333</x:v>
      </x:c>
      <x:c r="M55" s="41" t="n">
        <x:v>6.802475</x:v>
      </x:c>
      <x:c r="N55" s="41" t="n">
        <x:v>-56.473669</x:v>
      </x:c>
      <x:c r="O55" s="41" t="n">
        <x:v>506.057416</x:v>
      </x:c>
      <x:c r="P55" s="41" t="n">
        <x:f>IFERROR(M55/ABS(N55),"")</x:f>
        <x:v>0.12045392340278087</x:v>
      </x:c>
      <x:c r="Q55" s="41" t="str">
        <x:f>IF(L55&gt;=MAX(H55,P55),"Weekly",IF(H55&gt;=MAX(L55,P55),"No weekly","SPY"))</x:f>
        <x:v>No weekly</x:v>
      </x:c>
      <x:c r="R55" s="41" t="n">
        <x:f>IFERROR(L55-P55,"")</x:f>
        <x:v>0.26107944268971245</x:v>
      </x:c>
      <x:c r="S55" s="41" t="n">
        <x:f>IFERROR(H55-P55,"")</x:f>
        <x:v>0.42550085604818894</x:v>
      </x:c>
      <x:c r="T55" s="41" t="n">
        <x:f>IFERROR(I55-M55,"")</x:f>
        <x:v>1.6188049999999992</x:v>
      </x:c>
      <x:c r="U55" s="41" t="n">
        <x:f>IFERROR(E55-M55,"")</x:f>
        <x:v>3.349915</x:v>
      </x:c>
      <x:c r="V55" s="41" t="str">
        <x:f>IF(AND(I55&gt;M55,J55&gt;N55),"Sí","No")</x:f>
        <x:v>Sí</x:v>
      </x:c>
      <x:c r="W55" s="41" t="str">
        <x:f>IF(AND(E55&gt;M55,F55&gt;N55),"Sí","No")</x:f>
        <x:v>Sí</x:v>
      </x:c>
      <x:c r="X55" s="41" t="str">
        <x:f>IF(L55&gt;=H55,"Weekly","No weekly")</x:f>
        <x:v>No weekly</x:v>
      </x:c>
      <x:c r="Y55" s="41" t="n">
        <x:f>IFERROR(I55-E55,"")</x:f>
        <x:v>-1.731110000000001</x:v>
      </x:c>
      <x:c r="Z55" s="41" t="n">
        <x:f>IFERROR(J55-F55,"")</x:f>
        <x:v>-3.4765370000000004</x:v>
      </x:c>
      <x:c r="AA55" s="41" t="n">
        <x:v>8570</x:v>
      </x:c>
      <x:c r="AB55" s="41" t="n">
        <x:v>2385</x:v>
      </x:c>
    </x:row>
    <x:row r="56">
      <x:c r="A56" s="41" t="str">
        <x:v>HYP_DD20_RESCUE_DYN8050200_NO_NEW_CRISIS_SL11_TOPN8_V1</x:v>
      </x:c>
      <x:c r="B56" s="41" t="str">
        <x:v>dd20_adaptive_research</x:v>
      </x:c>
      <x:c r="C56" s="41" t="str">
        <x:v>1999-01-04</x:v>
      </x:c>
      <x:c r="D56" s="41" t="str">
        <x:v>2026-05-22</x:v>
      </x:c>
      <x:c r="E56" s="41" t="n">
        <x:v>10.541152</x:v>
      </x:c>
      <x:c r="F56" s="41" t="n">
        <x:v>-19.658782</x:v>
      </x:c>
      <x:c r="G56" s="41" t="n">
        <x:v>1454.611172</x:v>
      </x:c>
      <x:c r="H56" s="41" t="n">
        <x:f>IFERROR(E56/ABS(F56),"")</x:f>
        <x:v>0.5362057527266949</x:v>
      </x:c>
      <x:c r="I56" s="41" t="n">
        <x:v>8.730848</x:v>
      </x:c>
      <x:c r="J56" s="41" t="n">
        <x:v>-20.908095</x:v>
      </x:c>
      <x:c r="K56" s="41" t="n">
        <x:v>889.201347</x:v>
      </x:c>
      <x:c r="L56" s="41" t="n">
        <x:f>IFERROR(I56/ABS(J56),"")</x:f>
        <x:v>0.41758218527321594</x:v>
      </x:c>
      <x:c r="M56" s="41" t="n">
        <x:v>6.802475</x:v>
      </x:c>
      <x:c r="N56" s="41" t="n">
        <x:v>-56.473669</x:v>
      </x:c>
      <x:c r="O56" s="41" t="n">
        <x:v>506.057416</x:v>
      </x:c>
      <x:c r="P56" s="41" t="n">
        <x:f>IFERROR(M56/ABS(N56),"")</x:f>
        <x:v>0.12045392340278087</x:v>
      </x:c>
      <x:c r="Q56" s="41" t="str">
        <x:f>IF(L56&gt;=MAX(H56,P56),"Weekly",IF(H56&gt;=MAX(L56,P56),"No weekly","SPY"))</x:f>
        <x:v>No weekly</x:v>
      </x:c>
      <x:c r="R56" s="41" t="n">
        <x:f>IFERROR(L56-P56,"")</x:f>
        <x:v>0.29712826187043506</x:v>
      </x:c>
      <x:c r="S56" s="41" t="n">
        <x:f>IFERROR(H56-P56,"")</x:f>
        <x:v>0.415751829323914</x:v>
      </x:c>
      <x:c r="T56" s="41" t="n">
        <x:f>IFERROR(I56-M56,"")</x:f>
        <x:v>1.9283729999999997</x:v>
      </x:c>
      <x:c r="U56" s="41" t="n">
        <x:f>IFERROR(E56-M56,"")</x:f>
        <x:v>3.738677</x:v>
      </x:c>
      <x:c r="V56" s="41" t="str">
        <x:f>IF(AND(I56&gt;M56,J56&gt;N56),"Sí","No")</x:f>
        <x:v>Sí</x:v>
      </x:c>
      <x:c r="W56" s="41" t="str">
        <x:f>IF(AND(E56&gt;M56,F56&gt;N56),"Sí","No")</x:f>
        <x:v>Sí</x:v>
      </x:c>
      <x:c r="X56" s="41" t="str">
        <x:f>IF(L56&gt;=H56,"Weekly","No weekly")</x:f>
        <x:v>No weekly</x:v>
      </x:c>
      <x:c r="Y56" s="41" t="n">
        <x:f>IFERROR(I56-E56,"")</x:f>
        <x:v>-1.8103040000000004</x:v>
      </x:c>
      <x:c r="Z56" s="41" t="n">
        <x:f>IFERROR(J56-F56,"")</x:f>
        <x:v>-1.2493130000000008</x:v>
      </x:c>
      <x:c r="AA56" s="41" t="n">
        <x:v>8579</x:v>
      </x:c>
      <x:c r="AB56" s="41" t="n">
        <x:v>2354</x:v>
      </x:c>
    </x:row>
    <x:row r="57">
      <x:c r="A57" s="41" t="str">
        <x:v>HYP_DD20_SPY_DYN_55_45_35_15_V1</x:v>
      </x:c>
      <x:c r="B57" s="41" t="str">
        <x:v>dd20_spy_beater</x:v>
      </x:c>
      <x:c r="C57" s="41" t="str">
        <x:v>1999-01-04</x:v>
      </x:c>
      <x:c r="D57" s="41" t="str">
        <x:v>2026-05-22</x:v>
      </x:c>
      <x:c r="E57" s="41" t="n">
        <x:v>9.895547</x:v>
      </x:c>
      <x:c r="F57" s="41" t="n">
        <x:v>-25.229507</x:v>
      </x:c>
      <x:c r="G57" s="41" t="n">
        <x:v>1224.261737</x:v>
      </x:c>
      <x:c r="H57" s="41" t="n">
        <x:f>IFERROR(E57/ABS(F57),"")</x:f>
        <x:v>0.3922211797479832</x:v>
      </x:c>
      <x:c r="I57" s="41" t="n">
        <x:v>6.610191</x:v>
      </x:c>
      <x:c r="J57" s="41" t="n">
        <x:v>-18.812331</x:v>
      </x:c>
      <x:c r="K57" s="41" t="n">
        <x:v>476.88268</x:v>
      </x:c>
      <x:c r="L57" s="41" t="n">
        <x:f>IFERROR(I57/ABS(J57),"")</x:f>
        <x:v>0.3513754356118867</x:v>
      </x:c>
      <x:c r="M57" s="41" t="n">
        <x:v>6.802475</x:v>
      </x:c>
      <x:c r="N57" s="41" t="n">
        <x:v>-56.473669</x:v>
      </x:c>
      <x:c r="O57" s="41" t="n">
        <x:v>506.057416</x:v>
      </x:c>
      <x:c r="P57" s="41" t="n">
        <x:f>IFERROR(M57/ABS(N57),"")</x:f>
        <x:v>0.12045392340278087</x:v>
      </x:c>
      <x:c r="Q57" s="41" t="str">
        <x:f>IF(L57&gt;=MAX(H57,P57),"Weekly",IF(H57&gt;=MAX(L57,P57),"No weekly","SPY"))</x:f>
        <x:v>No weekly</x:v>
      </x:c>
      <x:c r="R57" s="41" t="n">
        <x:f>IFERROR(L57-P57,"")</x:f>
        <x:v>0.23092151220910584</x:v>
      </x:c>
      <x:c r="S57" s="41" t="n">
        <x:f>IFERROR(H57-P57,"")</x:f>
        <x:v>0.2717672563452023</x:v>
      </x:c>
      <x:c r="T57" s="41" t="n">
        <x:f>IFERROR(I57-M57,"")</x:f>
        <x:v>-0.1922839999999999</x:v>
      </x:c>
      <x:c r="U57" s="41" t="n">
        <x:f>IFERROR(E57-M57,"")</x:f>
        <x:v>3.0930720000000003</x:v>
      </x:c>
      <x:c r="V57" s="41" t="str">
        <x:f>IF(AND(I57&gt;M57,J57&gt;N57),"Sí","No")</x:f>
        <x:v>No</x:v>
      </x:c>
      <x:c r="W57" s="41" t="str">
        <x:f>IF(AND(E57&gt;M57,F57&gt;N57),"Sí","No")</x:f>
        <x:v>Sí</x:v>
      </x:c>
      <x:c r="X57" s="41" t="str">
        <x:f>IF(L57&gt;=H57,"Weekly","No weekly")</x:f>
        <x:v>No weekly</x:v>
      </x:c>
      <x:c r="Y57" s="41" t="n">
        <x:f>IFERROR(I57-E57,"")</x:f>
        <x:v>-3.285356</x:v>
      </x:c>
      <x:c r="Z57" s="41" t="n">
        <x:f>IFERROR(J57-F57,"")</x:f>
        <x:v>6.417176000000001</x:v>
      </x:c>
      <x:c r="AA57" s="41" t="n">
        <x:v>8704</x:v>
      </x:c>
      <x:c r="AB57" s="41" t="n">
        <x:v>3841</x:v>
      </x:c>
    </x:row>
    <x:row r="58">
      <x:c r="A58" s="41" t="str">
        <x:v>HYP_DD20_SPY_DYN_60_45_30_10_PARTIAL_20_33_V1</x:v>
      </x:c>
      <x:c r="B58" s="41" t="str">
        <x:v>dd20_spy_beater</x:v>
      </x:c>
      <x:c r="C58" s="41" t="str">
        <x:v>1999-01-04</x:v>
      </x:c>
      <x:c r="D58" s="41" t="str">
        <x:v>2026-05-22</x:v>
      </x:c>
      <x:c r="E58" s="41" t="n">
        <x:v>8.214499</x:v>
      </x:c>
      <x:c r="F58" s="41" t="n">
        <x:v>-21.757319</x:v>
      </x:c>
      <x:c r="G58" s="41" t="n">
        <x:v>768.329563</x:v>
      </x:c>
      <x:c r="H58" s="41" t="n">
        <x:f>IFERROR(E58/ABS(F58),"")</x:f>
        <x:v>0.3775510668387038</x:v>
      </x:c>
      <x:c r="I58" s="41" t="n">
        <x:v>7.000561</x:v>
      </x:c>
      <x:c r="J58" s="41" t="n">
        <x:v>-18.849894</x:v>
      </x:c>
      <x:c r="K58" s="41" t="n">
        <x:v>537.597096</x:v>
      </x:c>
      <x:c r="L58" s="41" t="n">
        <x:f>IFERROR(I58/ABS(J58),"")</x:f>
        <x:v>0.3713846348419785</x:v>
      </x:c>
      <x:c r="M58" s="41" t="n">
        <x:v>6.802475</x:v>
      </x:c>
      <x:c r="N58" s="41" t="n">
        <x:v>-56.473669</x:v>
      </x:c>
      <x:c r="O58" s="41" t="n">
        <x:v>506.057416</x:v>
      </x:c>
      <x:c r="P58" s="41" t="n">
        <x:f>IFERROR(M58/ABS(N58),"")</x:f>
        <x:v>0.12045392340278087</x:v>
      </x:c>
      <x:c r="Q58" s="41" t="str">
        <x:f>IF(L58&gt;=MAX(H58,P58),"Weekly",IF(H58&gt;=MAX(L58,P58),"No weekly","SPY"))</x:f>
        <x:v>No weekly</x:v>
      </x:c>
      <x:c r="R58" s="41" t="n">
        <x:f>IFERROR(L58-P58,"")</x:f>
        <x:v>0.2509307114391976</x:v>
      </x:c>
      <x:c r="S58" s="41" t="n">
        <x:f>IFERROR(H58-P58,"")</x:f>
        <x:v>0.25709714343592294</x:v>
      </x:c>
      <x:c r="T58" s="41" t="n">
        <x:f>IFERROR(I58-M58,"")</x:f>
        <x:v>0.19808599999999998</x:v>
      </x:c>
      <x:c r="U58" s="41" t="n">
        <x:f>IFERROR(E58-M58,"")</x:f>
        <x:v>1.4120239999999997</x:v>
      </x:c>
      <x:c r="V58" s="41" t="str">
        <x:f>IF(AND(I58&gt;M58,J58&gt;N58),"Sí","No")</x:f>
        <x:v>Sí</x:v>
      </x:c>
      <x:c r="W58" s="41" t="str">
        <x:f>IF(AND(E58&gt;M58,F58&gt;N58),"Sí","No")</x:f>
        <x:v>Sí</x:v>
      </x:c>
      <x:c r="X58" s="41" t="str">
        <x:f>IF(L58&gt;=H58,"Weekly","No weekly")</x:f>
        <x:v>No weekly</x:v>
      </x:c>
      <x:c r="Y58" s="41" t="n">
        <x:f>IFERROR(I58-E58,"")</x:f>
        <x:v>-1.2139379999999997</x:v>
      </x:c>
      <x:c r="Z58" s="41" t="n">
        <x:f>IFERROR(J58-F58,"")</x:f>
        <x:v>2.907425</x:v>
      </x:c>
      <x:c r="AA58" s="41" t="n">
        <x:v>8803</x:v>
      </x:c>
      <x:c r="AB58" s="41" t="n">
        <x:v>3926</x:v>
      </x:c>
    </x:row>
    <x:row r="59">
      <x:c r="A59" s="41" t="str">
        <x:v>HYP_DD20_SPY_DYN_60_45_30_10_V1</x:v>
      </x:c>
      <x:c r="B59" s="41" t="str">
        <x:v>dd20_spy_beater</x:v>
      </x:c>
      <x:c r="C59" s="41" t="str">
        <x:v>1999-01-04</x:v>
      </x:c>
      <x:c r="D59" s="41" t="str">
        <x:v>2026-05-22</x:v>
      </x:c>
      <x:c r="E59" s="41" t="n">
        <x:v>8.490997</x:v>
      </x:c>
      <x:c r="F59" s="41" t="n">
        <x:v>-21.969435</x:v>
      </x:c>
      <x:c r="G59" s="41" t="n">
        <x:v>831.165116</x:v>
      </x:c>
      <x:c r="H59" s="41" t="n">
        <x:f>IFERROR(E59/ABS(F59),"")</x:f>
        <x:v>0.38649136857638805</x:v>
      </x:c>
      <x:c r="I59" s="41" t="n">
        <x:v>7.143958</x:v>
      </x:c>
      <x:c r="J59" s="41" t="n">
        <x:v>-18.754027</x:v>
      </x:c>
      <x:c r="K59" s="41" t="n">
        <x:v>561.409704</x:v>
      </x:c>
      <x:c r="L59" s="41" t="n">
        <x:f>IFERROR(I59/ABS(J59),"")</x:f>
        <x:v>0.38092927988212877</x:v>
      </x:c>
      <x:c r="M59" s="41" t="n">
        <x:v>6.802475</x:v>
      </x:c>
      <x:c r="N59" s="41" t="n">
        <x:v>-56.473669</x:v>
      </x:c>
      <x:c r="O59" s="41" t="n">
        <x:v>506.057416</x:v>
      </x:c>
      <x:c r="P59" s="41" t="n">
        <x:f>IFERROR(M59/ABS(N59),"")</x:f>
        <x:v>0.12045392340278087</x:v>
      </x:c>
      <x:c r="Q59" s="41" t="str">
        <x:f>IF(L59&gt;=MAX(H59,P59),"Weekly",IF(H59&gt;=MAX(L59,P59),"No weekly","SPY"))</x:f>
        <x:v>No weekly</x:v>
      </x:c>
      <x:c r="R59" s="41" t="n">
        <x:f>IFERROR(L59-P59,"")</x:f>
        <x:v>0.2604753564793479</x:v>
      </x:c>
      <x:c r="S59" s="41" t="n">
        <x:f>IFERROR(H59-P59,"")</x:f>
        <x:v>0.26603744517360717</x:v>
      </x:c>
      <x:c r="T59" s="41" t="n">
        <x:f>IFERROR(I59-M59,"")</x:f>
        <x:v>0.3414829999999993</x:v>
      </x:c>
      <x:c r="U59" s="41" t="n">
        <x:f>IFERROR(E59-M59,"")</x:f>
        <x:v>1.6885219999999999</x:v>
      </x:c>
      <x:c r="V59" s="41" t="str">
        <x:f>IF(AND(I59&gt;M59,J59&gt;N59),"Sí","No")</x:f>
        <x:v>Sí</x:v>
      </x:c>
      <x:c r="W59" s="41" t="str">
        <x:f>IF(AND(E59&gt;M59,F59&gt;N59),"Sí","No")</x:f>
        <x:v>Sí</x:v>
      </x:c>
      <x:c r="X59" s="41" t="str">
        <x:f>IF(L59&gt;=H59,"Weekly","No weekly")</x:f>
        <x:v>No weekly</x:v>
      </x:c>
      <x:c r="Y59" s="41" t="n">
        <x:f>IFERROR(I59-E59,"")</x:f>
        <x:v>-1.3470390000000005</x:v>
      </x:c>
      <x:c r="Z59" s="41" t="n">
        <x:f>IFERROR(J59-F59,"")</x:f>
        <x:v>3.215408</x:v>
      </x:c>
      <x:c r="AA59" s="41" t="n">
        <x:v>8666</x:v>
      </x:c>
      <x:c r="AB59" s="41" t="n">
        <x:v>3847</x:v>
      </x:c>
    </x:row>
    <x:row r="60">
      <x:c r="A60" s="41" t="str">
        <x:v>HYP_DD20_SPY_DYN_65_45_25_0_PARTIAL_25_33_V1</x:v>
      </x:c>
      <x:c r="B60" s="41" t="str">
        <x:v>dd20_spy_beater</x:v>
      </x:c>
      <x:c r="C60" s="41" t="str">
        <x:v>1999-01-04</x:v>
      </x:c>
      <x:c r="D60" s="41" t="str">
        <x:v>2026-05-22</x:v>
      </x:c>
      <x:c r="E60" s="41" t="n">
        <x:v>6.910865</x:v>
      </x:c>
      <x:c r="F60" s="41" t="n">
        <x:v>-18.386071</x:v>
      </x:c>
      <x:c r="G60" s="41" t="n">
        <x:v>523.124489</x:v>
      </x:c>
      <x:c r="H60" s="41" t="n">
        <x:f>IFERROR(E60/ABS(F60),"")</x:f>
        <x:v>0.3758750306142079</x:v>
      </x:c>
      <x:c r="I60" s="41" t="n">
        <x:v>7.555696</x:v>
      </x:c>
      <x:c r="J60" s="41" t="n">
        <x:v>-18.888964</x:v>
      </x:c>
      <x:c r="K60" s="41" t="n">
        <x:v>634.641867</x:v>
      </x:c>
      <x:c r="L60" s="41" t="n">
        <x:f>IFERROR(I60/ABS(J60),"")</x:f>
        <x:v>0.4000058446826411</x:v>
      </x:c>
      <x:c r="M60" s="41" t="n">
        <x:v>6.802475</x:v>
      </x:c>
      <x:c r="N60" s="41" t="n">
        <x:v>-56.473669</x:v>
      </x:c>
      <x:c r="O60" s="41" t="n">
        <x:v>506.057416</x:v>
      </x:c>
      <x:c r="P60" s="41" t="n">
        <x:f>IFERROR(M60/ABS(N60),"")</x:f>
        <x:v>0.12045392340278087</x:v>
      </x:c>
      <x:c r="Q60" s="41" t="str">
        <x:f>IF(L60&gt;=MAX(H60,P60),"Weekly",IF(H60&gt;=MAX(L60,P60),"No weekly","SPY"))</x:f>
        <x:v>Weekly</x:v>
      </x:c>
      <x:c r="R60" s="41" t="n">
        <x:f>IFERROR(L60-P60,"")</x:f>
        <x:v>0.2795519212798602</x:v>
      </x:c>
      <x:c r="S60" s="41" t="n">
        <x:f>IFERROR(H60-P60,"")</x:f>
        <x:v>0.255421107211427</x:v>
      </x:c>
      <x:c r="T60" s="41" t="n">
        <x:f>IFERROR(I60-M60,"")</x:f>
        <x:v>0.7532209999999999</x:v>
      </x:c>
      <x:c r="U60" s="41" t="n">
        <x:f>IFERROR(E60-M60,"")</x:f>
        <x:v>0.10838999999999999</x:v>
      </x:c>
      <x:c r="V60" s="41" t="str">
        <x:f>IF(AND(I60&gt;M60,J60&gt;N60),"Sí","No")</x:f>
        <x:v>Sí</x:v>
      </x:c>
      <x:c r="W60" s="41" t="str">
        <x:f>IF(AND(E60&gt;M60,F60&gt;N60),"Sí","No")</x:f>
        <x:v>Sí</x:v>
      </x:c>
      <x:c r="X60" s="41" t="str">
        <x:f>IF(L60&gt;=H60,"Weekly","No weekly")</x:f>
        <x:v>Weekly</x:v>
      </x:c>
      <x:c r="Y60" s="41" t="n">
        <x:f>IFERROR(I60-E60,"")</x:f>
        <x:v>0.6448309999999999</x:v>
      </x:c>
      <x:c r="Z60" s="41" t="n">
        <x:f>IFERROR(J60-F60,"")</x:f>
        <x:v>-0.5028930000000003</x:v>
      </x:c>
      <x:c r="AA60" s="41" t="n">
        <x:v>8762</x:v>
      </x:c>
      <x:c r="AB60" s="41" t="n">
        <x:v>3929</x:v>
      </x:c>
    </x:row>
    <x:row r="61">
      <x:c r="A61" s="41" t="str">
        <x:v>HYP_DD20_SPY_DYN_65_45_25_0_V1</x:v>
      </x:c>
      <x:c r="B61" s="41" t="str">
        <x:v>dd20_spy_beater</x:v>
      </x:c>
      <x:c r="C61" s="41" t="str">
        <x:v>1999-01-04</x:v>
      </x:c>
      <x:c r="D61" s="41" t="str">
        <x:v>2026-05-22</x:v>
      </x:c>
      <x:c r="E61" s="41" t="n">
        <x:v>7.082725</x:v>
      </x:c>
      <x:c r="F61" s="41" t="n">
        <x:v>-18.599343</x:v>
      </x:c>
      <x:c r="G61" s="41" t="n">
        <x:v>551.138218</x:v>
      </x:c>
      <x:c r="H61" s="41" t="n">
        <x:f>IFERROR(E61/ABS(F61),"")</x:f>
        <x:v>0.3808051176861462</x:v>
      </x:c>
      <x:c r="I61" s="41" t="n">
        <x:v>7.670179</x:v>
      </x:c>
      <x:c r="J61" s="41" t="n">
        <x:v>-18.71027</x:v>
      </x:c>
      <x:c r="K61" s="41" t="n">
        <x:v>656.354009</x:v>
      </x:c>
      <x:c r="L61" s="41" t="n">
        <x:f>IFERROR(I61/ABS(J61),"")</x:f>
        <x:v>0.4099448591602366</x:v>
      </x:c>
      <x:c r="M61" s="41" t="n">
        <x:v>6.802475</x:v>
      </x:c>
      <x:c r="N61" s="41" t="n">
        <x:v>-56.473669</x:v>
      </x:c>
      <x:c r="O61" s="41" t="n">
        <x:v>506.057416</x:v>
      </x:c>
      <x:c r="P61" s="41" t="n">
        <x:f>IFERROR(M61/ABS(N61),"")</x:f>
        <x:v>0.12045392340278087</x:v>
      </x:c>
      <x:c r="Q61" s="41" t="str">
        <x:f>IF(L61&gt;=MAX(H61,P61),"Weekly",IF(H61&gt;=MAX(L61,P61),"No weekly","SPY"))</x:f>
        <x:v>Weekly</x:v>
      </x:c>
      <x:c r="R61" s="41" t="n">
        <x:f>IFERROR(L61-P61,"")</x:f>
        <x:v>0.2894909357574557</x:v>
      </x:c>
      <x:c r="S61" s="41" t="n">
        <x:f>IFERROR(H61-P61,"")</x:f>
        <x:v>0.26035119428336534</x:v>
      </x:c>
      <x:c r="T61" s="41" t="n">
        <x:f>IFERROR(I61-M61,"")</x:f>
        <x:v>0.8677039999999998</x:v>
      </x:c>
      <x:c r="U61" s="41" t="n">
        <x:f>IFERROR(E61-M61,"")</x:f>
        <x:v>0.28024999999999967</x:v>
      </x:c>
      <x:c r="V61" s="41" t="str">
        <x:f>IF(AND(I61&gt;M61,J61&gt;N61),"Sí","No")</x:f>
        <x:v>Sí</x:v>
      </x:c>
      <x:c r="W61" s="41" t="str">
        <x:f>IF(AND(E61&gt;M61,F61&gt;N61),"Sí","No")</x:f>
        <x:v>Sí</x:v>
      </x:c>
      <x:c r="X61" s="41" t="str">
        <x:f>IF(L61&gt;=H61,"Weekly","No weekly")</x:f>
        <x:v>Weekly</x:v>
      </x:c>
      <x:c r="Y61" s="41" t="n">
        <x:f>IFERROR(I61-E61,"")</x:f>
        <x:v>0.5874540000000001</x:v>
      </x:c>
      <x:c r="Z61" s="41" t="n">
        <x:f>IFERROR(J61-F61,"")</x:f>
        <x:v>-0.11092700000000022</x:v>
      </x:c>
      <x:c r="AA61" s="41" t="n">
        <x:v>8650</x:v>
      </x:c>
      <x:c r="AB61" s="41" t="n">
        <x:v>3845</x:v>
      </x:c>
    </x:row>
    <x:row r="62">
      <x:c r="A62" s="41" t="str">
        <x:v>HYP_DD20_SPY_DYN_65_50_25_0_V1</x:v>
      </x:c>
      <x:c r="B62" s="41" t="str">
        <x:v>dd20_spy_consistency_repair</x:v>
      </x:c>
      <x:c r="C62" s="41" t="str">
        <x:v>1999-01-04</x:v>
      </x:c>
      <x:c r="D62" s="41" t="str">
        <x:v>2026-05-22</x:v>
      </x:c>
      <x:c r="E62" s="41" t="n">
        <x:v>7.082725</x:v>
      </x:c>
      <x:c r="F62" s="41" t="n">
        <x:v>-18.599343</x:v>
      </x:c>
      <x:c r="G62" s="41" t="n">
        <x:v>551.138218</x:v>
      </x:c>
      <x:c r="H62" s="41" t="n">
        <x:f>IFERROR(E62/ABS(F62),"")</x:f>
        <x:v>0.3808051176861462</x:v>
      </x:c>
      <x:c r="I62" s="41" t="n">
        <x:v>7.691012</x:v>
      </x:c>
      <x:c r="J62" s="41" t="n">
        <x:v>-18.402588</x:v>
      </x:c>
      <x:c r="K62" s="41" t="n">
        <x:v>660.370927</x:v>
      </x:c>
      <x:c r="L62" s="41" t="n">
        <x:f>IFERROR(I62/ABS(J62),"")</x:f>
        <x:v>0.41793099970504144</x:v>
      </x:c>
      <x:c r="M62" s="41" t="n">
        <x:v>6.802475</x:v>
      </x:c>
      <x:c r="N62" s="41" t="n">
        <x:v>-56.473669</x:v>
      </x:c>
      <x:c r="O62" s="41" t="n">
        <x:v>506.057416</x:v>
      </x:c>
      <x:c r="P62" s="41" t="n">
        <x:f>IFERROR(M62/ABS(N62),"")</x:f>
        <x:v>0.12045392340278087</x:v>
      </x:c>
      <x:c r="Q62" s="41" t="str">
        <x:f>IF(L62&gt;=MAX(H62,P62),"Weekly",IF(H62&gt;=MAX(L62,P62),"No weekly","SPY"))</x:f>
        <x:v>Weekly</x:v>
      </x:c>
      <x:c r="R62" s="41" t="n">
        <x:f>IFERROR(L62-P62,"")</x:f>
        <x:v>0.29747707630226056</x:v>
      </x:c>
      <x:c r="S62" s="41" t="n">
        <x:f>IFERROR(H62-P62,"")</x:f>
        <x:v>0.26035119428336534</x:v>
      </x:c>
      <x:c r="T62" s="41" t="n">
        <x:f>IFERROR(I62-M62,"")</x:f>
        <x:v>0.8885369999999995</x:v>
      </x:c>
      <x:c r="U62" s="41" t="n">
        <x:f>IFERROR(E62-M62,"")</x:f>
        <x:v>0.28024999999999967</x:v>
      </x:c>
      <x:c r="V62" s="41" t="str">
        <x:f>IF(AND(I62&gt;M62,J62&gt;N62),"Sí","No")</x:f>
        <x:v>Sí</x:v>
      </x:c>
      <x:c r="W62" s="41" t="str">
        <x:f>IF(AND(E62&gt;M62,F62&gt;N62),"Sí","No")</x:f>
        <x:v>Sí</x:v>
      </x:c>
      <x:c r="X62" s="41" t="str">
        <x:f>IF(L62&gt;=H62,"Weekly","No weekly")</x:f>
        <x:v>Weekly</x:v>
      </x:c>
      <x:c r="Y62" s="41" t="n">
        <x:f>IFERROR(I62-E62,"")</x:f>
        <x:v>0.6082869999999998</x:v>
      </x:c>
      <x:c r="Z62" s="41" t="n">
        <x:f>IFERROR(J62-F62,"")</x:f>
        <x:v>0.19675499999999957</x:v>
      </x:c>
      <x:c r="AA62" s="41" t="n">
        <x:v>8653</x:v>
      </x:c>
      <x:c r="AB62" s="41" t="n">
        <x:v>3845</x:v>
      </x:c>
    </x:row>
    <x:row r="63">
      <x:c r="A63" s="41" t="str">
        <x:v>HYP_DD20_SPY_DYN_65_55_45_25_EQUITY_GUARD_15_8_V1</x:v>
      </x:c>
      <x:c r="B63" s="41" t="str">
        <x:v>dd20_spy_beater</x:v>
      </x:c>
      <x:c r="C63" s="41" t="str">
        <x:v>1999-01-04</x:v>
      </x:c>
      <x:c r="D63" s="41" t="str">
        <x:v>2026-05-22</x:v>
      </x:c>
      <x:c r="E63" s="41" t="n">
        <x:v>3.795805</x:v>
      </x:c>
      <x:c r="F63" s="41" t="n">
        <x:v>-20.665231</x:v>
      </x:c>
      <x:c r="G63" s="41" t="n">
        <x:v>177.318457</x:v>
      </x:c>
      <x:c r="H63" s="41" t="n">
        <x:f>IFERROR(E63/ABS(F63),"")</x:f>
        <x:v>0.18368074375747362</x:v>
      </x:c>
      <x:c r="I63" s="41" t="n">
        <x:v>2.081117</x:v>
      </x:c>
      <x:c r="J63" s="41" t="n">
        <x:v>-18.303087</x:v>
      </x:c>
      <x:c r="K63" s="41" t="n">
        <x:v>75.756797</x:v>
      </x:c>
      <x:c r="L63" s="41" t="n">
        <x:f>IFERROR(I63/ABS(J63),"")</x:f>
        <x:v>0.11370306003571964</x:v>
      </x:c>
      <x:c r="M63" s="41" t="n">
        <x:v>6.802475</x:v>
      </x:c>
      <x:c r="N63" s="41" t="n">
        <x:v>-56.473669</x:v>
      </x:c>
      <x:c r="O63" s="41" t="n">
        <x:v>506.057416</x:v>
      </x:c>
      <x:c r="P63" s="41" t="n">
        <x:f>IFERROR(M63/ABS(N63),"")</x:f>
        <x:v>0.12045392340278087</x:v>
      </x:c>
      <x:c r="Q63" s="41" t="str">
        <x:f>IF(L63&gt;=MAX(H63,P63),"Weekly",IF(H63&gt;=MAX(L63,P63),"No weekly","SPY"))</x:f>
        <x:v>No weekly</x:v>
      </x:c>
      <x:c r="R63" s="41" t="n">
        <x:f>IFERROR(L63-P63,"")</x:f>
        <x:v>-0.0067508633670612245</x:v>
      </x:c>
      <x:c r="S63" s="41" t="n">
        <x:f>IFERROR(H63-P63,"")</x:f>
        <x:v>0.06322682035469275</x:v>
      </x:c>
      <x:c r="T63" s="41" t="n">
        <x:f>IFERROR(I63-M63,"")</x:f>
        <x:v>-4.721358</x:v>
      </x:c>
      <x:c r="U63" s="41" t="n">
        <x:f>IFERROR(E63-M63,"")</x:f>
        <x:v>-3.00667</x:v>
      </x:c>
      <x:c r="V63" s="41" t="str">
        <x:f>IF(AND(I63&gt;M63,J63&gt;N63),"Sí","No")</x:f>
        <x:v>No</x:v>
      </x:c>
      <x:c r="W63" s="41" t="str">
        <x:f>IF(AND(E63&gt;M63,F63&gt;N63),"Sí","No")</x:f>
        <x:v>No</x:v>
      </x:c>
      <x:c r="X63" s="41" t="str">
        <x:f>IF(L63&gt;=H63,"Weekly","No weekly")</x:f>
        <x:v>No weekly</x:v>
      </x:c>
      <x:c r="Y63" s="41" t="n">
        <x:f>IFERROR(I63-E63,"")</x:f>
        <x:v>-1.7146880000000002</x:v>
      </x:c>
      <x:c r="Z63" s="41" t="n">
        <x:f>IFERROR(J63-F63,"")</x:f>
        <x:v>2.362143999999997</x:v>
      </x:c>
      <x:c r="AA63" s="41" t="n">
        <x:v>2069</x:v>
      </x:c>
      <x:c r="AB63" s="41" t="n">
        <x:v>1069</x:v>
      </x:c>
    </x:row>
    <x:row r="64">
      <x:c r="A64" s="41" t="str">
        <x:v>HYP_DD20_SPY_DYN_65_55_45_25_NO_NEW_CRISIS_V1</x:v>
      </x:c>
      <x:c r="B64" s="41" t="str">
        <x:v>dd20_spy_beater</x:v>
      </x:c>
      <x:c r="C64" s="41" t="str">
        <x:v>1999-01-04</x:v>
      </x:c>
      <x:c r="D64" s="41" t="str">
        <x:v>2026-05-22</x:v>
      </x:c>
      <x:c r="E64" s="41" t="n">
        <x:v>12.691642</x:v>
      </x:c>
      <x:c r="F64" s="41" t="n">
        <x:v>-31.430181</x:v>
      </x:c>
      <x:c r="G64" s="41" t="n">
        <x:v>2534.617048</x:v>
      </x:c>
      <x:c r="H64" s="41" t="n">
        <x:f>IFERROR(E64/ABS(F64),"")</x:f>
        <x:v>0.4038042924410776</x:v>
      </x:c>
      <x:c r="I64" s="41" t="n">
        <x:v>7.731135</x:v>
      </x:c>
      <x:c r="J64" s="41" t="n">
        <x:v>-22.658537</x:v>
      </x:c>
      <x:c r="K64" s="41" t="n">
        <x:v>668.165541</x:v>
      </x:c>
      <x:c r="L64" s="41" t="n">
        <x:f>IFERROR(I64/ABS(J64),"")</x:f>
        <x:v>0.34120186135583247</x:v>
      </x:c>
      <x:c r="M64" s="41" t="n">
        <x:v>6.802475</x:v>
      </x:c>
      <x:c r="N64" s="41" t="n">
        <x:v>-56.473669</x:v>
      </x:c>
      <x:c r="O64" s="41" t="n">
        <x:v>506.057416</x:v>
      </x:c>
      <x:c r="P64" s="41" t="n">
        <x:f>IFERROR(M64/ABS(N64),"")</x:f>
        <x:v>0.12045392340278087</x:v>
      </x:c>
      <x:c r="Q64" s="41" t="str">
        <x:f>IF(L64&gt;=MAX(H64,P64),"Weekly",IF(H64&gt;=MAX(L64,P64),"No weekly","SPY"))</x:f>
        <x:v>No weekly</x:v>
      </x:c>
      <x:c r="R64" s="41" t="n">
        <x:f>IFERROR(L64-P64,"")</x:f>
        <x:v>0.2207479379530516</x:v>
      </x:c>
      <x:c r="S64" s="41" t="n">
        <x:f>IFERROR(H64-P64,"")</x:f>
        <x:v>0.2833503690382967</x:v>
      </x:c>
      <x:c r="T64" s="41" t="n">
        <x:f>IFERROR(I64-M64,"")</x:f>
        <x:v>0.9286599999999998</x:v>
      </x:c>
      <x:c r="U64" s="41" t="n">
        <x:f>IFERROR(E64-M64,"")</x:f>
        <x:v>5.889167</x:v>
      </x:c>
      <x:c r="V64" s="41" t="str">
        <x:f>IF(AND(I64&gt;M64,J64&gt;N64),"Sí","No")</x:f>
        <x:v>Sí</x:v>
      </x:c>
      <x:c r="W64" s="41" t="str">
        <x:f>IF(AND(E64&gt;M64,F64&gt;N64),"Sí","No")</x:f>
        <x:v>Sí</x:v>
      </x:c>
      <x:c r="X64" s="41" t="str">
        <x:f>IF(L64&gt;=H64,"Weekly","No weekly")</x:f>
        <x:v>No weekly</x:v>
      </x:c>
      <x:c r="Y64" s="41" t="n">
        <x:f>IFERROR(I64-E64,"")</x:f>
        <x:v>-4.960507</x:v>
      </x:c>
      <x:c r="Z64" s="41" t="n">
        <x:f>IFERROR(J64-F64,"")</x:f>
        <x:v>8.771644000000002</x:v>
      </x:c>
      <x:c r="AA64" s="41" t="n">
        <x:v>8484</x:v>
      </x:c>
      <x:c r="AB64" s="41" t="n">
        <x:v>3819</x:v>
      </x:c>
    </x:row>
    <x:row r="65">
      <x:c r="A65" s="41" t="str">
        <x:v>HYP_DD20_SPY_DYN_70_45_25_0_PARTIAL_25_33_V1</x:v>
      </x:c>
      <x:c r="B65" s="41" t="str">
        <x:v>dd20_spy_consistency_repair</x:v>
      </x:c>
      <x:c r="C65" s="41" t="str">
        <x:v>1999-01-04</x:v>
      </x:c>
      <x:c r="D65" s="41" t="str">
        <x:v>2026-05-22</x:v>
      </x:c>
      <x:c r="E65" s="41" t="n">
        <x:v>6.910865</x:v>
      </x:c>
      <x:c r="F65" s="41" t="n">
        <x:v>-18.386071</x:v>
      </x:c>
      <x:c r="G65" s="41" t="n">
        <x:v>523.124489</x:v>
      </x:c>
      <x:c r="H65" s="41" t="n">
        <x:f>IFERROR(E65/ABS(F65),"")</x:f>
        <x:v>0.3758750306142079</x:v>
      </x:c>
      <x:c r="I65" s="41" t="n">
        <x:v>8.082867</x:v>
      </x:c>
      <x:c r="J65" s="41" t="n">
        <x:v>-19.961735</x:v>
      </x:c>
      <x:c r="K65" s="41" t="n">
        <x:v>739.870565</x:v>
      </x:c>
      <x:c r="L65" s="41" t="n">
        <x:f>IFERROR(I65/ABS(J65),"")</x:f>
        <x:v>0.4049180594772949</x:v>
      </x:c>
      <x:c r="M65" s="41" t="n">
        <x:v>6.802475</x:v>
      </x:c>
      <x:c r="N65" s="41" t="n">
        <x:v>-56.473669</x:v>
      </x:c>
      <x:c r="O65" s="41" t="n">
        <x:v>506.057416</x:v>
      </x:c>
      <x:c r="P65" s="41" t="n">
        <x:f>IFERROR(M65/ABS(N65),"")</x:f>
        <x:v>0.12045392340278087</x:v>
      </x:c>
      <x:c r="Q65" s="41" t="str">
        <x:f>IF(L65&gt;=MAX(H65,P65),"Weekly",IF(H65&gt;=MAX(L65,P65),"No weekly","SPY"))</x:f>
        <x:v>Weekly</x:v>
      </x:c>
      <x:c r="R65" s="41" t="n">
        <x:f>IFERROR(L65-P65,"")</x:f>
        <x:v>0.28446413607451404</x:v>
      </x:c>
      <x:c r="S65" s="41" t="n">
        <x:f>IFERROR(H65-P65,"")</x:f>
        <x:v>0.255421107211427</x:v>
      </x:c>
      <x:c r="T65" s="41" t="n">
        <x:f>IFERROR(I65-M65,"")</x:f>
        <x:v>1.280392</x:v>
      </x:c>
      <x:c r="U65" s="41" t="n">
        <x:f>IFERROR(E65-M65,"")</x:f>
        <x:v>0.10838999999999999</x:v>
      </x:c>
      <x:c r="V65" s="41" t="str">
        <x:f>IF(AND(I65&gt;M65,J65&gt;N65),"Sí","No")</x:f>
        <x:v>Sí</x:v>
      </x:c>
      <x:c r="W65" s="41" t="str">
        <x:f>IF(AND(E65&gt;M65,F65&gt;N65),"Sí","No")</x:f>
        <x:v>Sí</x:v>
      </x:c>
      <x:c r="X65" s="41" t="str">
        <x:f>IF(L65&gt;=H65,"Weekly","No weekly")</x:f>
        <x:v>Weekly</x:v>
      </x:c>
      <x:c r="Y65" s="41" t="n">
        <x:f>IFERROR(I65-E65,"")</x:f>
        <x:v>1.172002</x:v>
      </x:c>
      <x:c r="Z65" s="41" t="n">
        <x:f>IFERROR(J65-F65,"")</x:f>
        <x:v>-1.5756639999999997</x:v>
      </x:c>
      <x:c r="AA65" s="41" t="n">
        <x:v>8740</x:v>
      </x:c>
      <x:c r="AB65" s="41" t="n">
        <x:v>3929</x:v>
      </x:c>
    </x:row>
    <x:row r="66">
      <x:c r="A66" s="41" t="str">
        <x:v>HYP_DD20_SPY_DYN_70_45_25_0_V1</x:v>
      </x:c>
      <x:c r="B66" s="41" t="str">
        <x:v>dd20_spy_consistency_repair</x:v>
      </x:c>
      <x:c r="C66" s="41" t="str">
        <x:v>1999-01-04</x:v>
      </x:c>
      <x:c r="D66" s="41" t="str">
        <x:v>2026-05-22</x:v>
      </x:c>
      <x:c r="E66" s="41" t="n">
        <x:v>7.082725</x:v>
      </x:c>
      <x:c r="F66" s="41" t="n">
        <x:v>-18.599343</x:v>
      </x:c>
      <x:c r="G66" s="41" t="n">
        <x:v>551.138218</x:v>
      </x:c>
      <x:c r="H66" s="41" t="n">
        <x:f>IFERROR(E66/ABS(F66),"")</x:f>
        <x:v>0.3808051176861462</x:v>
      </x:c>
      <x:c r="I66" s="41" t="n">
        <x:v>8.20028</x:v>
      </x:c>
      <x:c r="J66" s="41" t="n">
        <x:v>-19.814012</x:v>
      </x:c>
      <x:c r="K66" s="41" t="n">
        <x:v>765.211233</x:v>
      </x:c>
      <x:c r="L66" s="41" t="n">
        <x:f>IFERROR(I66/ABS(J66),"")</x:f>
        <x:v>0.4138626745557638</x:v>
      </x:c>
      <x:c r="M66" s="41" t="n">
        <x:v>6.802475</x:v>
      </x:c>
      <x:c r="N66" s="41" t="n">
        <x:v>-56.473669</x:v>
      </x:c>
      <x:c r="O66" s="41" t="n">
        <x:v>506.057416</x:v>
      </x:c>
      <x:c r="P66" s="41" t="n">
        <x:f>IFERROR(M66/ABS(N66),"")</x:f>
        <x:v>0.12045392340278087</x:v>
      </x:c>
      <x:c r="Q66" s="41" t="str">
        <x:f>IF(L66&gt;=MAX(H66,P66),"Weekly",IF(H66&gt;=MAX(L66,P66),"No weekly","SPY"))</x:f>
        <x:v>Weekly</x:v>
      </x:c>
      <x:c r="R66" s="41" t="n">
        <x:f>IFERROR(L66-P66,"")</x:f>
        <x:v>0.2934087511529829</x:v>
      </x:c>
      <x:c r="S66" s="41" t="n">
        <x:f>IFERROR(H66-P66,"")</x:f>
        <x:v>0.26035119428336534</x:v>
      </x:c>
      <x:c r="T66" s="41" t="n">
        <x:f>IFERROR(I66-M66,"")</x:f>
        <x:v>1.397804999999999</x:v>
      </x:c>
      <x:c r="U66" s="41" t="n">
        <x:f>IFERROR(E66-M66,"")</x:f>
        <x:v>0.28024999999999967</x:v>
      </x:c>
      <x:c r="V66" s="41" t="str">
        <x:f>IF(AND(I66&gt;M66,J66&gt;N66),"Sí","No")</x:f>
        <x:v>Sí</x:v>
      </x:c>
      <x:c r="W66" s="41" t="str">
        <x:f>IF(AND(E66&gt;M66,F66&gt;N66),"Sí","No")</x:f>
        <x:v>Sí</x:v>
      </x:c>
      <x:c r="X66" s="41" t="str">
        <x:f>IF(L66&gt;=H66,"Weekly","No weekly")</x:f>
        <x:v>Weekly</x:v>
      </x:c>
      <x:c r="Y66" s="41" t="n">
        <x:f>IFERROR(I66-E66,"")</x:f>
        <x:v>1.1175549999999994</x:v>
      </x:c>
      <x:c r="Z66" s="41" t="n">
        <x:f>IFERROR(J66-F66,"")</x:f>
        <x:v>-1.2146690000000007</x:v>
      </x:c>
      <x:c r="AA66" s="41" t="n">
        <x:v>8632</x:v>
      </x:c>
      <x:c r="AB66" s="41" t="n">
        <x:v>3845</x:v>
      </x:c>
    </x:row>
    <x:row r="67">
      <x:c r="A67" s="41" t="str">
        <x:v>HYP_DD20_SPY_DYN_70_50_20_0_V1</x:v>
      </x:c>
      <x:c r="B67" s="41" t="str">
        <x:v>dd20_spy_consistency_repair</x:v>
      </x:c>
      <x:c r="C67" s="41" t="str">
        <x:v>1999-01-04</x:v>
      </x:c>
      <x:c r="D67" s="41" t="str">
        <x:v>2026-05-22</x:v>
      </x:c>
      <x:c r="E67" s="41" t="n">
        <x:v>5.671146</x:v>
      </x:c>
      <x:c r="F67" s="41" t="n">
        <x:v>-15.11644</x:v>
      </x:c>
      <x:c r="G67" s="41" t="n">
        <x:v>352.783839</x:v>
      </x:c>
      <x:c r="H67" s="41" t="n">
        <x:f>IFERROR(E67/ABS(F67),"")</x:f>
        <x:v>0.37516412594499765</x:v>
      </x:c>
      <x:c r="I67" s="41" t="n">
        <x:v>8.210095</x:v>
      </x:c>
      <x:c r="J67" s="41" t="n">
        <x:v>-19.661544</x:v>
      </x:c>
      <x:c r="K67" s="41" t="n">
        <x:v>767.362582</x:v>
      </x:c>
      <x:c r="L67" s="41" t="n">
        <x:f>IFERROR(I67/ABS(J67),"")</x:f>
        <x:v>0.4175712243148351</x:v>
      </x:c>
      <x:c r="M67" s="41" t="n">
        <x:v>6.802475</x:v>
      </x:c>
      <x:c r="N67" s="41" t="n">
        <x:v>-56.473669</x:v>
      </x:c>
      <x:c r="O67" s="41" t="n">
        <x:v>506.057416</x:v>
      </x:c>
      <x:c r="P67" s="41" t="n">
        <x:f>IFERROR(M67/ABS(N67),"")</x:f>
        <x:v>0.12045392340278087</x:v>
      </x:c>
      <x:c r="Q67" s="41" t="str">
        <x:f>IF(L67&gt;=MAX(H67,P67),"Weekly",IF(H67&gt;=MAX(L67,P67),"No weekly","SPY"))</x:f>
        <x:v>Weekly</x:v>
      </x:c>
      <x:c r="R67" s="41" t="n">
        <x:f>IFERROR(L67-P67,"")</x:f>
        <x:v>0.29711730091205424</x:v>
      </x:c>
      <x:c r="S67" s="41" t="n">
        <x:f>IFERROR(H67-P67,"")</x:f>
        <x:v>0.25471020254221677</x:v>
      </x:c>
      <x:c r="T67" s="41" t="n">
        <x:f>IFERROR(I67-M67,"")</x:f>
        <x:v>1.4076200000000005</x:v>
      </x:c>
      <x:c r="U67" s="41" t="n">
        <x:f>IFERROR(E67-M67,"")</x:f>
        <x:v>-1.131329</x:v>
      </x:c>
      <x:c r="V67" s="41" t="str">
        <x:f>IF(AND(I67&gt;M67,J67&gt;N67),"Sí","No")</x:f>
        <x:v>Sí</x:v>
      </x:c>
      <x:c r="W67" s="41" t="str">
        <x:f>IF(AND(E67&gt;M67,F67&gt;N67),"Sí","No")</x:f>
        <x:v>No</x:v>
      </x:c>
      <x:c r="X67" s="41" t="str">
        <x:f>IF(L67&gt;=H67,"Weekly","No weekly")</x:f>
        <x:v>Weekly</x:v>
      </x:c>
      <x:c r="Y67" s="41" t="n">
        <x:f>IFERROR(I67-E67,"")</x:f>
        <x:v>2.5389490000000006</x:v>
      </x:c>
      <x:c r="Z67" s="41" t="n">
        <x:f>IFERROR(J67-F67,"")</x:f>
        <x:v>-4.5451039999999985</x:v>
      </x:c>
      <x:c r="AA67" s="41" t="n">
        <x:v>8632</x:v>
      </x:c>
      <x:c r="AB67" s="41" t="n">
        <x:v>3844</x:v>
      </x:c>
    </x:row>
    <x:row r="68">
      <x:c r="A68" s="41" t="str">
        <x:v>HYP_DD20_SPY_DYN_70_50_25_0_V1</x:v>
      </x:c>
      <x:c r="B68" s="41" t="str">
        <x:v>dd20_spy_consistency_repair</x:v>
      </x:c>
      <x:c r="C68" s="41" t="str">
        <x:v>1999-01-04</x:v>
      </x:c>
      <x:c r="D68" s="41" t="str">
        <x:v>2026-05-22</x:v>
      </x:c>
      <x:c r="E68" s="41" t="n">
        <x:v>7.082725</x:v>
      </x:c>
      <x:c r="F68" s="41" t="n">
        <x:v>-18.599343</x:v>
      </x:c>
      <x:c r="G68" s="41" t="n">
        <x:v>551.138218</x:v>
      </x:c>
      <x:c r="H68" s="41" t="n">
        <x:f>IFERROR(E68/ABS(F68),"")</x:f>
        <x:v>0.3808051176861462</x:v>
      </x:c>
      <x:c r="I68" s="41" t="n">
        <x:v>8.22131</x:v>
      </x:c>
      <x:c r="J68" s="41" t="n">
        <x:v>-19.661544</x:v>
      </x:c>
      <x:c r="K68" s="41" t="n">
        <x:v>769.826995</x:v>
      </x:c>
      <x:c r="L68" s="41" t="n">
        <x:f>IFERROR(I68/ABS(J68),"")</x:f>
        <x:v>0.4181416271275542</x:v>
      </x:c>
      <x:c r="M68" s="41" t="n">
        <x:v>6.802475</x:v>
      </x:c>
      <x:c r="N68" s="41" t="n">
        <x:v>-56.473669</x:v>
      </x:c>
      <x:c r="O68" s="41" t="n">
        <x:v>506.057416</x:v>
      </x:c>
      <x:c r="P68" s="41" t="n">
        <x:f>IFERROR(M68/ABS(N68),"")</x:f>
        <x:v>0.12045392340278087</x:v>
      </x:c>
      <x:c r="Q68" s="41" t="str">
        <x:f>IF(L68&gt;=MAX(H68,P68),"Weekly",IF(H68&gt;=MAX(L68,P68),"No weekly","SPY"))</x:f>
        <x:v>Weekly</x:v>
      </x:c>
      <x:c r="R68" s="41" t="n">
        <x:f>IFERROR(L68-P68,"")</x:f>
        <x:v>0.2976877037247733</x:v>
      </x:c>
      <x:c r="S68" s="41" t="n">
        <x:f>IFERROR(H68-P68,"")</x:f>
        <x:v>0.26035119428336534</x:v>
      </x:c>
      <x:c r="T68" s="41" t="n">
        <x:f>IFERROR(I68-M68,"")</x:f>
        <x:v>1.4188350000000005</x:v>
      </x:c>
      <x:c r="U68" s="41" t="n">
        <x:f>IFERROR(E68-M68,"")</x:f>
        <x:v>0.28024999999999967</x:v>
      </x:c>
      <x:c r="V68" s="41" t="str">
        <x:f>IF(AND(I68&gt;M68,J68&gt;N68),"Sí","No")</x:f>
        <x:v>Sí</x:v>
      </x:c>
      <x:c r="W68" s="41" t="str">
        <x:f>IF(AND(E68&gt;M68,F68&gt;N68),"Sí","No")</x:f>
        <x:v>Sí</x:v>
      </x:c>
      <x:c r="X68" s="41" t="str">
        <x:f>IF(L68&gt;=H68,"Weekly","No weekly")</x:f>
        <x:v>Weekly</x:v>
      </x:c>
      <x:c r="Y68" s="41" t="n">
        <x:f>IFERROR(I68-E68,"")</x:f>
        <x:v>1.1385850000000008</x:v>
      </x:c>
      <x:c r="Z68" s="41" t="n">
        <x:f>IFERROR(J68-F68,"")</x:f>
        <x:v>-1.0622009999999982</x:v>
      </x:c>
      <x:c r="AA68" s="41" t="n">
        <x:v>8631</x:v>
      </x:c>
      <x:c r="AB68" s="41" t="n">
        <x:v>3845</x:v>
      </x:c>
    </x:row>
    <x:row r="69">
      <x:c r="A69" s="41" t="str">
        <x:v>HYP_DD20_SPY_DYN_70_50_30_0_V1</x:v>
      </x:c>
      <x:c r="B69" s="41" t="str">
        <x:v>dd20_spy_beater</x:v>
      </x:c>
      <x:c r="C69" s="41" t="str">
        <x:v>1999-01-04</x:v>
      </x:c>
      <x:c r="D69" s="41" t="str">
        <x:v>2026-05-22</x:v>
      </x:c>
      <x:c r="E69" s="41" t="n">
        <x:v>8.490997</x:v>
      </x:c>
      <x:c r="F69" s="41" t="n">
        <x:v>-21.969435</x:v>
      </x:c>
      <x:c r="G69" s="41" t="n">
        <x:v>831.165116</x:v>
      </x:c>
      <x:c r="H69" s="41" t="n">
        <x:f>IFERROR(E69/ABS(F69),"")</x:f>
        <x:v>0.38649136857638805</x:v>
      </x:c>
      <x:c r="I69" s="41" t="n">
        <x:v>8.230996</x:v>
      </x:c>
      <x:c r="J69" s="41" t="n">
        <x:v>-20.641395</x:v>
      </x:c>
      <x:c r="K69" s="41" t="n">
        <x:v>771.960984</x:v>
      </x:c>
      <x:c r="L69" s="41" t="n">
        <x:f>IFERROR(I69/ABS(J69),"")</x:f>
        <x:v>0.3987616147067579</x:v>
      </x:c>
      <x:c r="M69" s="41" t="n">
        <x:v>6.802475</x:v>
      </x:c>
      <x:c r="N69" s="41" t="n">
        <x:v>-56.473669</x:v>
      </x:c>
      <x:c r="O69" s="41" t="n">
        <x:v>506.057416</x:v>
      </x:c>
      <x:c r="P69" s="41" t="n">
        <x:f>IFERROR(M69/ABS(N69),"")</x:f>
        <x:v>0.12045392340278087</x:v>
      </x:c>
      <x:c r="Q69" s="41" t="str">
        <x:f>IF(L69&gt;=MAX(H69,P69),"Weekly",IF(H69&gt;=MAX(L69,P69),"No weekly","SPY"))</x:f>
        <x:v>Weekly</x:v>
      </x:c>
      <x:c r="R69" s="41" t="n">
        <x:f>IFERROR(L69-P69,"")</x:f>
        <x:v>0.27830769130397703</x:v>
      </x:c>
      <x:c r="S69" s="41" t="n">
        <x:f>IFERROR(H69-P69,"")</x:f>
        <x:v>0.26603744517360717</x:v>
      </x:c>
      <x:c r="T69" s="41" t="n">
        <x:f>IFERROR(I69-M69,"")</x:f>
        <x:v>1.428520999999999</x:v>
      </x:c>
      <x:c r="U69" s="41" t="n">
        <x:f>IFERROR(E69-M69,"")</x:f>
        <x:v>1.6885219999999999</x:v>
      </x:c>
      <x:c r="V69" s="41" t="str">
        <x:f>IF(AND(I69&gt;M69,J69&gt;N69),"Sí","No")</x:f>
        <x:v>Sí</x:v>
      </x:c>
      <x:c r="W69" s="41" t="str">
        <x:f>IF(AND(E69&gt;M69,F69&gt;N69),"Sí","No")</x:f>
        <x:v>Sí</x:v>
      </x:c>
      <x:c r="X69" s="41" t="str">
        <x:f>IF(L69&gt;=H69,"Weekly","No weekly")</x:f>
        <x:v>Weekly</x:v>
      </x:c>
      <x:c r="Y69" s="41" t="n">
        <x:f>IFERROR(I69-E69,"")</x:f>
        <x:v>-0.2600010000000008</x:v>
      </x:c>
      <x:c r="Z69" s="41" t="n">
        <x:f>IFERROR(J69-F69,"")</x:f>
        <x:v>1.3280400000000014</x:v>
      </x:c>
      <x:c r="AA69" s="41" t="n">
        <x:v>8630</x:v>
      </x:c>
      <x:c r="AB69" s="41" t="n">
        <x:v>3847</x:v>
      </x:c>
    </x:row>
    <x:row r="70">
      <x:c r="A70" s="41" t="str">
        <x:v>HYP_DD20_SPY_DYN_70_55_40_15_EQUITY_GUARD_18_10_V1</x:v>
      </x:c>
      <x:c r="B70" s="41" t="str">
        <x:v>dd20_spy_beater</x:v>
      </x:c>
      <x:c r="C70" s="41" t="str">
        <x:v>1999-01-04</x:v>
      </x:c>
      <x:c r="D70" s="41" t="str">
        <x:v>2026-05-22</x:v>
      </x:c>
      <x:c r="E70" s="41" t="n">
        <x:v>0.399815</x:v>
      </x:c>
      <x:c r="F70" s="41" t="n">
        <x:v>-18.734925</x:v>
      </x:c>
      <x:c r="G70" s="41" t="n">
        <x:v>11.543581</x:v>
      </x:c>
      <x:c r="H70" s="41" t="n">
        <x:f>IFERROR(E70/ABS(F70),"")</x:f>
        <x:v>0.02134062452878781</x:v>
      </x:c>
      <x:c r="I70" s="41" t="n">
        <x:v>2.209716</x:v>
      </x:c>
      <x:c r="J70" s="41" t="n">
        <x:v>-20.582266</x:v>
      </x:c>
      <x:c r="K70" s="41" t="n">
        <x:v>81.920533</x:v>
      </x:c>
      <x:c r="L70" s="41" t="n">
        <x:f>IFERROR(I70/ABS(J70),"")</x:f>
        <x:v>0.10736019056405158</x:v>
      </x:c>
      <x:c r="M70" s="41" t="n">
        <x:v>6.802475</x:v>
      </x:c>
      <x:c r="N70" s="41" t="n">
        <x:v>-56.473669</x:v>
      </x:c>
      <x:c r="O70" s="41" t="n">
        <x:v>506.057416</x:v>
      </x:c>
      <x:c r="P70" s="41" t="n">
        <x:f>IFERROR(M70/ABS(N70),"")</x:f>
        <x:v>0.12045392340278087</x:v>
      </x:c>
      <x:c r="Q70" s="41" t="str">
        <x:f>IF(L70&gt;=MAX(H70,P70),"Weekly",IF(H70&gt;=MAX(L70,P70),"No weekly","SPY"))</x:f>
        <x:v>SPY</x:v>
      </x:c>
      <x:c r="R70" s="41" t="n">
        <x:f>IFERROR(L70-P70,"")</x:f>
        <x:v>-0.013093732838729291</x:v>
      </x:c>
      <x:c r="S70" s="41" t="n">
        <x:f>IFERROR(H70-P70,"")</x:f>
        <x:v>-0.09911329887399306</x:v>
      </x:c>
      <x:c r="T70" s="41" t="n">
        <x:f>IFERROR(I70-M70,"")</x:f>
        <x:v>-4.592759000000001</x:v>
      </x:c>
      <x:c r="U70" s="41" t="n">
        <x:f>IFERROR(E70-M70,"")</x:f>
        <x:v>-6.40266</x:v>
      </x:c>
      <x:c r="V70" s="41" t="str">
        <x:f>IF(AND(I70&gt;M70,J70&gt;N70),"Sí","No")</x:f>
        <x:v>No</x:v>
      </x:c>
      <x:c r="W70" s="41" t="str">
        <x:f>IF(AND(E70&gt;M70,F70&gt;N70),"Sí","No")</x:f>
        <x:v>No</x:v>
      </x:c>
      <x:c r="X70" s="41" t="str">
        <x:f>IF(L70&gt;=H70,"Weekly","No weekly")</x:f>
        <x:v>Weekly</x:v>
      </x:c>
      <x:c r="Y70" s="41" t="n">
        <x:f>IFERROR(I70-E70,"")</x:f>
        <x:v>1.8099009999999998</x:v>
      </x:c>
      <x:c r="Z70" s="41" t="n">
        <x:f>IFERROR(J70-F70,"")</x:f>
        <x:v>-1.8473410000000001</x:v>
      </x:c>
      <x:c r="AA70" s="41" t="n">
        <x:v>2287</x:v>
      </x:c>
      <x:c r="AB70" s="41" t="n">
        <x:v>312</x:v>
      </x:c>
    </x:row>
    <x:row r="71">
      <x:c r="A71" s="41" t="str">
        <x:v>HYP_DD20_SPY_DYN_70_55_40_15_NO_NEW_CRISIS_V1</x:v>
      </x:c>
      <x:c r="B71" s="41" t="str">
        <x:v>dd20_spy_beater</x:v>
      </x:c>
      <x:c r="C71" s="41" t="str">
        <x:v>1999-01-04</x:v>
      </x:c>
      <x:c r="D71" s="41" t="str">
        <x:v>2026-05-22</x:v>
      </x:c>
      <x:c r="E71" s="41" t="n">
        <x:v>11.29591</x:v>
      </x:c>
      <x:c r="F71" s="41" t="n">
        <x:v>-28.382272</x:v>
      </x:c>
      <x:c r="G71" s="41" t="n">
        <x:v>1772.971938</x:v>
      </x:c>
      <x:c r="H71" s="41" t="n">
        <x:f>IFERROR(E71/ABS(F71),"")</x:f>
        <x:v>0.3979917463971876</x:v>
      </x:c>
      <x:c r="I71" s="41" t="n">
        <x:v>8.280126</x:v>
      </x:c>
      <x:c r="J71" s="41" t="n">
        <x:v>-22.592758</x:v>
      </x:c>
      <x:c r="K71" s="41" t="n">
        <x:v>782.862971</x:v>
      </x:c>
      <x:c r="L71" s="41" t="n">
        <x:f>IFERROR(I71/ABS(J71),"")</x:f>
        <x:v>0.3664946971060372</x:v>
      </x:c>
      <x:c r="M71" s="41" t="n">
        <x:v>6.802475</x:v>
      </x:c>
      <x:c r="N71" s="41" t="n">
        <x:v>-56.473669</x:v>
      </x:c>
      <x:c r="O71" s="41" t="n">
        <x:v>506.057416</x:v>
      </x:c>
      <x:c r="P71" s="41" t="n">
        <x:f>IFERROR(M71/ABS(N71),"")</x:f>
        <x:v>0.12045392340278087</x:v>
      </x:c>
      <x:c r="Q71" s="41" t="str">
        <x:f>IF(L71&gt;=MAX(H71,P71),"Weekly",IF(H71&gt;=MAX(L71,P71),"No weekly","SPY"))</x:f>
        <x:v>No weekly</x:v>
      </x:c>
      <x:c r="R71" s="41" t="n">
        <x:f>IFERROR(L71-P71,"")</x:f>
        <x:v>0.24604077370325633</x:v>
      </x:c>
      <x:c r="S71" s="41" t="n">
        <x:f>IFERROR(H71-P71,"")</x:f>
        <x:v>0.2775378229944067</x:v>
      </x:c>
      <x:c r="T71" s="41" t="n">
        <x:f>IFERROR(I71-M71,"")</x:f>
        <x:v>1.477650999999999</x:v>
      </x:c>
      <x:c r="U71" s="41" t="n">
        <x:f>IFERROR(E71-M71,"")</x:f>
        <x:v>4.493434999999999</x:v>
      </x:c>
      <x:c r="V71" s="41" t="str">
        <x:f>IF(AND(I71&gt;M71,J71&gt;N71),"Sí","No")</x:f>
        <x:v>Sí</x:v>
      </x:c>
      <x:c r="W71" s="41" t="str">
        <x:f>IF(AND(E71&gt;M71,F71&gt;N71),"Sí","No")</x:f>
        <x:v>Sí</x:v>
      </x:c>
      <x:c r="X71" s="41" t="str">
        <x:f>IF(L71&gt;=H71,"Weekly","No weekly")</x:f>
        <x:v>No weekly</x:v>
      </x:c>
      <x:c r="Y71" s="41" t="n">
        <x:f>IFERROR(I71-E71,"")</x:f>
        <x:v>-3.015784</x:v>
      </x:c>
      <x:c r="Z71" s="41" t="n">
        <x:f>IFERROR(J71-F71,"")</x:f>
        <x:v>5.7895140000000005</x:v>
      </x:c>
      <x:c r="AA71" s="41" t="n">
        <x:v>8469</x:v>
      </x:c>
      <x:c r="AB71" s="41" t="n">
        <x:v>3826</x:v>
      </x:c>
    </x:row>
    <x:row r="72">
      <x:c r="A72" s="41" t="str">
        <x:v>HYP_DD20_SPY_DYN_75_45_25_0_PARTIAL_25_33_V1</x:v>
      </x:c>
      <x:c r="B72" s="41" t="str">
        <x:v>dd20_spy_consistency_repair</x:v>
      </x:c>
      <x:c r="C72" s="41" t="str">
        <x:v>1999-01-04</x:v>
      </x:c>
      <x:c r="D72" s="41" t="str">
        <x:v>2026-05-22</x:v>
      </x:c>
      <x:c r="E72" s="41" t="n">
        <x:v>6.910865</x:v>
      </x:c>
      <x:c r="F72" s="41" t="n">
        <x:v>-18.386071</x:v>
      </x:c>
      <x:c r="G72" s="41" t="n">
        <x:v>523.124489</x:v>
      </x:c>
      <x:c r="H72" s="41" t="n">
        <x:f>IFERROR(E72/ABS(F72),"")</x:f>
        <x:v>0.3758750306142079</x:v>
      </x:c>
      <x:c r="I72" s="41" t="n">
        <x:v>8.609354</x:v>
      </x:c>
      <x:c r="J72" s="41" t="n">
        <x:v>-21.053113</x:v>
      </x:c>
      <x:c r="K72" s="41" t="n">
        <x:v>859.381271</x:v>
      </x:c>
      <x:c r="L72" s="41" t="n">
        <x:f>IFERROR(I72/ABS(J72),"")</x:f>
        <x:v>0.40893496367971804</x:v>
      </x:c>
      <x:c r="M72" s="41" t="n">
        <x:v>6.802475</x:v>
      </x:c>
      <x:c r="N72" s="41" t="n">
        <x:v>-56.473669</x:v>
      </x:c>
      <x:c r="O72" s="41" t="n">
        <x:v>506.057416</x:v>
      </x:c>
      <x:c r="P72" s="41" t="n">
        <x:f>IFERROR(M72/ABS(N72),"")</x:f>
        <x:v>0.12045392340278087</x:v>
      </x:c>
      <x:c r="Q72" s="41" t="str">
        <x:f>IF(L72&gt;=MAX(H72,P72),"Weekly",IF(H72&gt;=MAX(L72,P72),"No weekly","SPY"))</x:f>
        <x:v>Weekly</x:v>
      </x:c>
      <x:c r="R72" s="41" t="n">
        <x:f>IFERROR(L72-P72,"")</x:f>
        <x:v>0.28848104027693716</x:v>
      </x:c>
      <x:c r="S72" s="41" t="n">
        <x:f>IFERROR(H72-P72,"")</x:f>
        <x:v>0.255421107211427</x:v>
      </x:c>
      <x:c r="T72" s="41" t="n">
        <x:f>IFERROR(I72-M72,"")</x:f>
        <x:v>1.8068789999999995</x:v>
      </x:c>
      <x:c r="U72" s="41" t="n">
        <x:f>IFERROR(E72-M72,"")</x:f>
        <x:v>0.10838999999999999</x:v>
      </x:c>
      <x:c r="V72" s="41" t="str">
        <x:f>IF(AND(I72&gt;M72,J72&gt;N72),"Sí","No")</x:f>
        <x:v>Sí</x:v>
      </x:c>
      <x:c r="W72" s="41" t="str">
        <x:f>IF(AND(E72&gt;M72,F72&gt;N72),"Sí","No")</x:f>
        <x:v>Sí</x:v>
      </x:c>
      <x:c r="X72" s="41" t="str">
        <x:f>IF(L72&gt;=H72,"Weekly","No weekly")</x:f>
        <x:v>Weekly</x:v>
      </x:c>
      <x:c r="Y72" s="41" t="n">
        <x:f>IFERROR(I72-E72,"")</x:f>
        <x:v>1.6984889999999995</x:v>
      </x:c>
      <x:c r="Z72" s="41" t="n">
        <x:f>IFERROR(J72-F72,"")</x:f>
        <x:v>-2.6670419999999986</x:v>
      </x:c>
      <x:c r="AA72" s="41" t="n">
        <x:v>8717</x:v>
      </x:c>
      <x:c r="AB72" s="41" t="n">
        <x:v>3929</x:v>
      </x:c>
    </x:row>
    <x:row r="73">
      <x:c r="A73" s="41" t="str">
        <x:v>HYP_DD20_SPY_DYN_75_45_25_0_V1</x:v>
      </x:c>
      <x:c r="B73" s="41" t="str">
        <x:v>dd20_spy_consistency_repair</x:v>
      </x:c>
      <x:c r="C73" s="41" t="str">
        <x:v>1999-01-04</x:v>
      </x:c>
      <x:c r="D73" s="41" t="str">
        <x:v>2026-05-22</x:v>
      </x:c>
      <x:c r="E73" s="41" t="n">
        <x:v>7.082725</x:v>
      </x:c>
      <x:c r="F73" s="41" t="n">
        <x:v>-18.599343</x:v>
      </x:c>
      <x:c r="G73" s="41" t="n">
        <x:v>551.138218</x:v>
      </x:c>
      <x:c r="H73" s="41" t="n">
        <x:f>IFERROR(E73/ABS(F73),"")</x:f>
        <x:v>0.3808051176861462</x:v>
      </x:c>
      <x:c r="I73" s="41" t="n">
        <x:v>8.724606</x:v>
      </x:c>
      <x:c r="J73" s="41" t="n">
        <x:v>-21.012502</x:v>
      </x:c>
      <x:c r="K73" s="41" t="n">
        <x:v>887.647913</x:v>
      </x:c>
      <x:c r="L73" s="41" t="n">
        <x:f>IFERROR(I73/ABS(J73),"")</x:f>
        <x:v>0.41521024007517043</x:v>
      </x:c>
      <x:c r="M73" s="41" t="n">
        <x:v>6.802475</x:v>
      </x:c>
      <x:c r="N73" s="41" t="n">
        <x:v>-56.473669</x:v>
      </x:c>
      <x:c r="O73" s="41" t="n">
        <x:v>506.057416</x:v>
      </x:c>
      <x:c r="P73" s="41" t="n">
        <x:f>IFERROR(M73/ABS(N73),"")</x:f>
        <x:v>0.12045392340278087</x:v>
      </x:c>
      <x:c r="Q73" s="41" t="str">
        <x:f>IF(L73&gt;=MAX(H73,P73),"Weekly",IF(H73&gt;=MAX(L73,P73),"No weekly","SPY"))</x:f>
        <x:v>Weekly</x:v>
      </x:c>
      <x:c r="R73" s="41" t="n">
        <x:f>IFERROR(L73-P73,"")</x:f>
        <x:v>0.29475631667238955</x:v>
      </x:c>
      <x:c r="S73" s="41" t="n">
        <x:f>IFERROR(H73-P73,"")</x:f>
        <x:v>0.26035119428336534</x:v>
      </x:c>
      <x:c r="T73" s="41" t="n">
        <x:f>IFERROR(I73-M73,"")</x:f>
        <x:v>1.9221309999999994</x:v>
      </x:c>
      <x:c r="U73" s="41" t="n">
        <x:f>IFERROR(E73-M73,"")</x:f>
        <x:v>0.28024999999999967</x:v>
      </x:c>
      <x:c r="V73" s="41" t="str">
        <x:f>IF(AND(I73&gt;M73,J73&gt;N73),"Sí","No")</x:f>
        <x:v>Sí</x:v>
      </x:c>
      <x:c r="W73" s="41" t="str">
        <x:f>IF(AND(E73&gt;M73,F73&gt;N73),"Sí","No")</x:f>
        <x:v>Sí</x:v>
      </x:c>
      <x:c r="X73" s="41" t="str">
        <x:f>IF(L73&gt;=H73,"Weekly","No weekly")</x:f>
        <x:v>Weekly</x:v>
      </x:c>
      <x:c r="Y73" s="41" t="n">
        <x:f>IFERROR(I73-E73,"")</x:f>
        <x:v>1.6418809999999997</x:v>
      </x:c>
      <x:c r="Z73" s="41" t="n">
        <x:f>IFERROR(J73-F73,"")</x:f>
        <x:v>-2.4131590000000003</x:v>
      </x:c>
      <x:c r="AA73" s="41" t="n">
        <x:v>8609</x:v>
      </x:c>
      <x:c r="AB73" s="41" t="n">
        <x:v>3845</x:v>
      </x:c>
    </x:row>
    <x:row r="74">
      <x:c r="A74" s="41" t="str">
        <x:v>HYP_DD20_SPY_DYN_75_50_25_0_EQUITY_GUARD_18_10_V1</x:v>
      </x:c>
      <x:c r="B74" s="41" t="str">
        <x:v>dd20_spy_consistency_repair</x:v>
      </x:c>
      <x:c r="C74" s="41" t="str">
        <x:v>1999-01-04</x:v>
      </x:c>
      <x:c r="D74" s="41" t="str">
        <x:v>2026-05-22</x:v>
      </x:c>
      <x:c r="E74" s="41" t="n">
        <x:v>1.579468</x:v>
      </x:c>
      <x:c r="F74" s="41" t="n">
        <x:v>-18.369476</x:v>
      </x:c>
      <x:c r="G74" s="41" t="n">
        <x:v>53.580596</x:v>
      </x:c>
      <x:c r="H74" s="41" t="n">
        <x:f>IFERROR(E74/ABS(F74),"")</x:f>
        <x:v>0.08598329097683571</x:v>
      </x:c>
      <x:c r="I74" s="41" t="n">
        <x:v>2.174993</x:v>
      </x:c>
      <x:c r="J74" s="41" t="n">
        <x:v>-21.012397</x:v>
      </x:c>
      <x:c r="K74" s="41" t="n">
        <x:v>80.236056</x:v>
      </x:c>
      <x:c r="L74" s="41" t="n">
        <x:f>IFERROR(I74/ABS(J74),"")</x:f>
        <x:v>0.10350998984075925</x:v>
      </x:c>
      <x:c r="M74" s="41" t="n">
        <x:v>6.802475</x:v>
      </x:c>
      <x:c r="N74" s="41" t="n">
        <x:v>-56.473669</x:v>
      </x:c>
      <x:c r="O74" s="41" t="n">
        <x:v>506.057416</x:v>
      </x:c>
      <x:c r="P74" s="41" t="n">
        <x:f>IFERROR(M74/ABS(N74),"")</x:f>
        <x:v>0.12045392340278087</x:v>
      </x:c>
      <x:c r="Q74" s="41" t="str">
        <x:f>IF(L74&gt;=MAX(H74,P74),"Weekly",IF(H74&gt;=MAX(L74,P74),"No weekly","SPY"))</x:f>
        <x:v>SPY</x:v>
      </x:c>
      <x:c r="R74" s="41" t="n">
        <x:f>IFERROR(L74-P74,"")</x:f>
        <x:v>-0.016943933562021618</x:v>
      </x:c>
      <x:c r="S74" s="41" t="n">
        <x:f>IFERROR(H74-P74,"")</x:f>
        <x:v>-0.034470632425945155</x:v>
      </x:c>
      <x:c r="T74" s="41" t="n">
        <x:f>IFERROR(I74-M74,"")</x:f>
        <x:v>-4.6274820000000005</x:v>
      </x:c>
      <x:c r="U74" s="41" t="n">
        <x:f>IFERROR(E74-M74,"")</x:f>
        <x:v>-5.223007</x:v>
      </x:c>
      <x:c r="V74" s="41" t="str">
        <x:f>IF(AND(I74&gt;M74,J74&gt;N74),"Sí","No")</x:f>
        <x:v>No</x:v>
      </x:c>
      <x:c r="W74" s="41" t="str">
        <x:f>IF(AND(E74&gt;M74,F74&gt;N74),"Sí","No")</x:f>
        <x:v>No</x:v>
      </x:c>
      <x:c r="X74" s="41" t="str">
        <x:f>IF(L74&gt;=H74,"Weekly","No weekly")</x:f>
        <x:v>Weekly</x:v>
      </x:c>
      <x:c r="Y74" s="41" t="n">
        <x:f>IFERROR(I74-E74,"")</x:f>
        <x:v>0.5955250000000001</x:v>
      </x:c>
      <x:c r="Z74" s="41" t="n">
        <x:f>IFERROR(J74-F74,"")</x:f>
        <x:v>-2.642921000000001</x:v>
      </x:c>
      <x:c r="AA74" s="41" t="n">
        <x:v>2246</x:v>
      </x:c>
      <x:c r="AB74" s="41" t="n">
        <x:v>1311</x:v>
      </x:c>
    </x:row>
    <x:row r="75">
      <x:c r="A75" s="41" t="str">
        <x:v>HYP_DD20_SPY_DYN_80_45_25_0_V1</x:v>
      </x:c>
      <x:c r="B75" s="41" t="str">
        <x:v>dd20_spy_consistency_repair</x:v>
      </x:c>
      <x:c r="C75" s="41" t="str">
        <x:v>1999-01-04</x:v>
      </x:c>
      <x:c r="D75" s="41" t="str">
        <x:v>2026-05-22</x:v>
      </x:c>
      <x:c r="E75" s="41" t="n">
        <x:v>7.082725</x:v>
      </x:c>
      <x:c r="F75" s="41" t="n">
        <x:v>-18.599343</x:v>
      </x:c>
      <x:c r="G75" s="41" t="n">
        <x:v>551.138218</x:v>
      </x:c>
      <x:c r="H75" s="41" t="n">
        <x:f>IFERROR(E75/ABS(F75),"")</x:f>
        <x:v>0.3808051176861462</x:v>
      </x:c>
      <x:c r="I75" s="41" t="n">
        <x:v>9.243033</x:v>
      </x:c>
      <x:c r="J75" s="41" t="n">
        <x:v>-22.356075</x:v>
      </x:c>
      <x:c r="K75" s="41" t="n">
        <x:v>1025.028598</x:v>
      </x:c>
      <x:c r="L75" s="41" t="n">
        <x:f>IFERROR(I75/ABS(J75),"")</x:f>
        <x:v>0.41344614383338757</x:v>
      </x:c>
      <x:c r="M75" s="41" t="n">
        <x:v>6.802475</x:v>
      </x:c>
      <x:c r="N75" s="41" t="n">
        <x:v>-56.473669</x:v>
      </x:c>
      <x:c r="O75" s="41" t="n">
        <x:v>506.057416</x:v>
      </x:c>
      <x:c r="P75" s="41" t="n">
        <x:f>IFERROR(M75/ABS(N75),"")</x:f>
        <x:v>0.12045392340278087</x:v>
      </x:c>
      <x:c r="Q75" s="41" t="str">
        <x:f>IF(L75&gt;=MAX(H75,P75),"Weekly",IF(H75&gt;=MAX(L75,P75),"No weekly","SPY"))</x:f>
        <x:v>Weekly</x:v>
      </x:c>
      <x:c r="R75" s="41" t="n">
        <x:f>IFERROR(L75-P75,"")</x:f>
        <x:v>0.2929922204306067</x:v>
      </x:c>
      <x:c r="S75" s="41" t="n">
        <x:f>IFERROR(H75-P75,"")</x:f>
        <x:v>0.26035119428336534</x:v>
      </x:c>
      <x:c r="T75" s="41" t="n">
        <x:f>IFERROR(I75-M75,"")</x:f>
        <x:v>2.4405580000000002</x:v>
      </x:c>
      <x:c r="U75" s="41" t="n">
        <x:f>IFERROR(E75-M75,"")</x:f>
        <x:v>0.28024999999999967</x:v>
      </x:c>
      <x:c r="V75" s="41" t="str">
        <x:f>IF(AND(I75&gt;M75,J75&gt;N75),"Sí","No")</x:f>
        <x:v>Sí</x:v>
      </x:c>
      <x:c r="W75" s="41" t="str">
        <x:f>IF(AND(E75&gt;M75,F75&gt;N75),"Sí","No")</x:f>
        <x:v>Sí</x:v>
      </x:c>
      <x:c r="X75" s="41" t="str">
        <x:f>IF(L75&gt;=H75,"Weekly","No weekly")</x:f>
        <x:v>Weekly</x:v>
      </x:c>
      <x:c r="Y75" s="41" t="n">
        <x:f>IFERROR(I75-E75,"")</x:f>
        <x:v>2.1603080000000006</x:v>
      </x:c>
      <x:c r="Z75" s="41" t="n">
        <x:f>IFERROR(J75-F75,"")</x:f>
        <x:v>-3.7567319999999995</x:v>
      </x:c>
      <x:c r="AA75" s="41" t="n">
        <x:v>8590</x:v>
      </x:c>
      <x:c r="AB75" s="41" t="n">
        <x:v>3845</x:v>
      </x:c>
    </x:row>
    <x:row r="76">
      <x:c r="A76" s="41" t="str">
        <x:v>HYP_DD20_SPY_DYN_80_50_20_0_EQUITY_GUARD_18_10_V1</x:v>
      </x:c>
      <x:c r="B76" s="41" t="str">
        <x:v>dd20_spy_consistency_repair</x:v>
      </x:c>
      <x:c r="C76" s="41" t="str">
        <x:v>1999-01-04</x:v>
      </x:c>
      <x:c r="D76" s="41" t="str">
        <x:v>2026-05-22</x:v>
      </x:c>
      <x:c r="E76" s="41" t="n">
        <x:v>5.671146</x:v>
      </x:c>
      <x:c r="F76" s="41" t="n">
        <x:v>-15.11644</x:v>
      </x:c>
      <x:c r="G76" s="41" t="n">
        <x:v>352.783839</x:v>
      </x:c>
      <x:c r="H76" s="41" t="n">
        <x:f>IFERROR(E76/ABS(F76),"")</x:f>
        <x:v>0.37516412594499765</x:v>
      </x:c>
      <x:c r="I76" s="41" t="n">
        <x:v>1.946668</x:v>
      </x:c>
      <x:c r="J76" s="41" t="n">
        <x:v>-22.355967</x:v>
      </x:c>
      <x:c r="K76" s="41" t="n">
        <x:v>69.527905</x:v>
      </x:c>
      <x:c r="L76" s="41" t="n">
        <x:f>IFERROR(I76/ABS(J76),"")</x:f>
        <x:v>0.0870759918369892</x:v>
      </x:c>
      <x:c r="M76" s="41" t="n">
        <x:v>6.802475</x:v>
      </x:c>
      <x:c r="N76" s="41" t="n">
        <x:v>-56.473669</x:v>
      </x:c>
      <x:c r="O76" s="41" t="n">
        <x:v>506.057416</x:v>
      </x:c>
      <x:c r="P76" s="41" t="n">
        <x:f>IFERROR(M76/ABS(N76),"")</x:f>
        <x:v>0.12045392340278087</x:v>
      </x:c>
      <x:c r="Q76" s="41" t="str">
        <x:f>IF(L76&gt;=MAX(H76,P76),"Weekly",IF(H76&gt;=MAX(L76,P76),"No weekly","SPY"))</x:f>
        <x:v>No weekly</x:v>
      </x:c>
      <x:c r="R76" s="41" t="n">
        <x:f>IFERROR(L76-P76,"")</x:f>
        <x:v>-0.03337793156579166</x:v>
      </x:c>
      <x:c r="S76" s="41" t="n">
        <x:f>IFERROR(H76-P76,"")</x:f>
        <x:v>0.25471020254221677</x:v>
      </x:c>
      <x:c r="T76" s="41" t="n">
        <x:f>IFERROR(I76-M76,"")</x:f>
        <x:v>-4.855807</x:v>
      </x:c>
      <x:c r="U76" s="41" t="n">
        <x:f>IFERROR(E76-M76,"")</x:f>
        <x:v>-1.131329</x:v>
      </x:c>
      <x:c r="V76" s="41" t="str">
        <x:f>IF(AND(I76&gt;M76,J76&gt;N76),"Sí","No")</x:f>
        <x:v>No</x:v>
      </x:c>
      <x:c r="W76" s="41" t="str">
        <x:f>IF(AND(E76&gt;M76,F76&gt;N76),"Sí","No")</x:f>
        <x:v>No</x:v>
      </x:c>
      <x:c r="X76" s="41" t="str">
        <x:f>IF(L76&gt;=H76,"Weekly","No weekly")</x:f>
        <x:v>No weekly</x:v>
      </x:c>
      <x:c r="Y76" s="41" t="n">
        <x:f>IFERROR(I76-E76,"")</x:f>
        <x:v>-3.7244780000000004</x:v>
      </x:c>
      <x:c r="Z76" s="41" t="n">
        <x:f>IFERROR(J76-F76,"")</x:f>
        <x:v>-7.239526999999999</x:v>
      </x:c>
      <x:c r="AA76" s="41" t="n">
        <x:v>2173</x:v>
      </x:c>
      <x:c r="AB76" s="41" t="n">
        <x:v>3844</x:v>
      </x:c>
    </x:row>
    <x:row r="77">
      <x:c r="A77" s="41" t="str">
        <x:v>HYP_DD20_STOPTRAIL_DYN8050200_GUARD1810_SL12_TR18_ACT10_V1</x:v>
      </x:c>
      <x:c r="B77" s="41" t="str">
        <x:v>dd20_stop_trailing_repair</x:v>
      </x:c>
      <x:c r="C77" s="41" t="str">
        <x:v>1999-01-04</x:v>
      </x:c>
      <x:c r="D77" s="41" t="str">
        <x:v>2026-05-22</x:v>
      </x:c>
      <x:c r="E77" s="41" t="n">
        <x:v>0.090526</x:v>
      </x:c>
      <x:c r="F77" s="41" t="n">
        <x:v>-19.487662</x:v>
      </x:c>
      <x:c r="G77" s="41" t="n">
        <x:v>2.508275</x:v>
      </x:c>
      <x:c r="H77" s="41" t="n">
        <x:f>IFERROR(E77/ABS(F77),"")</x:f>
        <x:v>0.004645298137867949</x:v>
      </x:c>
      <x:c r="I77" s="41" t="n">
        <x:v>-0.101073</x:v>
      </x:c>
      <x:c r="J77" s="41" t="n">
        <x:v>-19.284113</x:v>
      </x:c>
      <x:c r="K77" s="41" t="n">
        <x:v>-2.730655</x:v>
      </x:c>
      <x:c r="L77" s="41" t="n">
        <x:f>IFERROR(I77/ABS(J77),"")</x:f>
        <x:v>-0.005241257401883094</x:v>
      </x:c>
      <x:c r="M77" s="41" t="n">
        <x:v>6.802475</x:v>
      </x:c>
      <x:c r="N77" s="41" t="n">
        <x:v>-56.473669</x:v>
      </x:c>
      <x:c r="O77" s="41" t="n">
        <x:v>506.057416</x:v>
      </x:c>
      <x:c r="P77" s="41" t="n">
        <x:f>IFERROR(M77/ABS(N77),"")</x:f>
        <x:v>0.12045392340278087</x:v>
      </x:c>
      <x:c r="Q77" s="41" t="str">
        <x:f>IF(L77&gt;=MAX(H77,P77),"Weekly",IF(H77&gt;=MAX(L77,P77),"No weekly","SPY"))</x:f>
        <x:v>SPY</x:v>
      </x:c>
      <x:c r="R77" s="41" t="n">
        <x:f>IFERROR(L77-P77,"")</x:f>
        <x:v>-0.12569518080466396</x:v>
      </x:c>
      <x:c r="S77" s="41" t="n">
        <x:f>IFERROR(H77-P77,"")</x:f>
        <x:v>-0.11580862526491292</x:v>
      </x:c>
      <x:c r="T77" s="41" t="n">
        <x:f>IFERROR(I77-M77,"")</x:f>
        <x:v>-6.903548000000001</x:v>
      </x:c>
      <x:c r="U77" s="41" t="n">
        <x:f>IFERROR(E77-M77,"")</x:f>
        <x:v>-6.711949000000001</x:v>
      </x:c>
      <x:c r="V77" s="41" t="str">
        <x:f>IF(AND(I77&gt;M77,J77&gt;N77),"Sí","No")</x:f>
        <x:v>No</x:v>
      </x:c>
      <x:c r="W77" s="41" t="str">
        <x:f>IF(AND(E77&gt;M77,F77&gt;N77),"Sí","No")</x:f>
        <x:v>No</x:v>
      </x:c>
      <x:c r="X77" s="41" t="str">
        <x:f>IF(L77&gt;=H77,"Weekly","No weekly")</x:f>
        <x:v>No weekly</x:v>
      </x:c>
      <x:c r="Y77" s="41" t="n">
        <x:f>IFERROR(I77-E77,"")</x:f>
        <x:v>-0.191599</x:v>
      </x:c>
      <x:c r="Z77" s="41" t="n">
        <x:f>IFERROR(J77-F77,"")</x:f>
        <x:v>0.20354899999999887</x:v>
      </x:c>
      <x:c r="AA77" s="41" t="n">
        <x:v>177</x:v>
      </x:c>
      <x:c r="AB77" s="41" t="n">
        <x:v>99</x:v>
      </x:c>
    </x:row>
    <x:row r="78">
      <x:c r="A78" s="41" t="str">
        <x:v>HYP_DD20_STOPTRAIL_DYN8050200_GUARD1810_SL15_TR18_ACT10_V1</x:v>
      </x:c>
      <x:c r="B78" s="41" t="str">
        <x:v>dd20_stop_trailing_repair</x:v>
      </x:c>
      <x:c r="C78" s="41" t="str">
        <x:v>1999-01-04</x:v>
      </x:c>
      <x:c r="D78" s="41" t="str">
        <x:v>2026-05-22</x:v>
      </x:c>
      <x:c r="E78" s="41" t="n">
        <x:v>0.171931</x:v>
      </x:c>
      <x:c r="F78" s="41" t="n">
        <x:v>-19.674526</x:v>
      </x:c>
      <x:c r="G78" s="41" t="n">
        <x:v>4.815524</x:v>
      </x:c>
      <x:c r="H78" s="41" t="n">
        <x:f>IFERROR(E78/ABS(F78),"")</x:f>
        <x:v>0.008738761991013151</x:v>
      </x:c>
      <x:c r="I78" s="41" t="n">
        <x:v>-0.007913</x:v>
      </x:c>
      <x:c r="J78" s="41" t="n">
        <x:v>-20.209983</x:v>
      </x:c>
      <x:c r="K78" s="41" t="n">
        <x:v>-0.216419</x:v>
      </x:c>
      <x:c r="L78" s="41" t="n">
        <x:f>IFERROR(I78/ABS(J78),"")</x:f>
        <x:v>-0.00039153917150746735</x:v>
      </x:c>
      <x:c r="M78" s="41" t="n">
        <x:v>6.802475</x:v>
      </x:c>
      <x:c r="N78" s="41" t="n">
        <x:v>-56.473669</x:v>
      </x:c>
      <x:c r="O78" s="41" t="n">
        <x:v>506.057416</x:v>
      </x:c>
      <x:c r="P78" s="41" t="n">
        <x:f>IFERROR(M78/ABS(N78),"")</x:f>
        <x:v>0.12045392340278087</x:v>
      </x:c>
      <x:c r="Q78" s="41" t="str">
        <x:f>IF(L78&gt;=MAX(H78,P78),"Weekly",IF(H78&gt;=MAX(L78,P78),"No weekly","SPY"))</x:f>
        <x:v>SPY</x:v>
      </x:c>
      <x:c r="R78" s="41" t="n">
        <x:f>IFERROR(L78-P78,"")</x:f>
        <x:v>-0.12084546257428834</x:v>
      </x:c>
      <x:c r="S78" s="41" t="n">
        <x:f>IFERROR(H78-P78,"")</x:f>
        <x:v>-0.11171516141176771</x:v>
      </x:c>
      <x:c r="T78" s="41" t="n">
        <x:f>IFERROR(I78-M78,"")</x:f>
        <x:v>-6.8103880000000006</x:v>
      </x:c>
      <x:c r="U78" s="41" t="n">
        <x:f>IFERROR(E78-M78,"")</x:f>
        <x:v>-6.630544</x:v>
      </x:c>
      <x:c r="V78" s="41" t="str">
        <x:f>IF(AND(I78&gt;M78,J78&gt;N78),"Sí","No")</x:f>
        <x:v>No</x:v>
      </x:c>
      <x:c r="W78" s="41" t="str">
        <x:f>IF(AND(E78&gt;M78,F78&gt;N78),"Sí","No")</x:f>
        <x:v>No</x:v>
      </x:c>
      <x:c r="X78" s="41" t="str">
        <x:f>IF(L78&gt;=H78,"Weekly","No weekly")</x:f>
        <x:v>No weekly</x:v>
      </x:c>
      <x:c r="Y78" s="41" t="n">
        <x:f>IFERROR(I78-E78,"")</x:f>
        <x:v>-0.179844</x:v>
      </x:c>
      <x:c r="Z78" s="41" t="n">
        <x:f>IFERROR(J78-F78,"")</x:f>
        <x:v>-0.535457000000001</x:v>
      </x:c>
      <x:c r="AA78" s="41" t="n">
        <x:v>172</x:v>
      </x:c>
      <x:c r="AB78" s="41" t="n">
        <x:v>99</x:v>
      </x:c>
    </x:row>
    <x:row r="79">
      <x:c r="A79" s="41" t="str">
        <x:v>HYP_DD20_STOPTRAIL_DYN8050200_GUARD18_12_SL12_TR18_ACT10_V1</x:v>
      </x:c>
      <x:c r="B79" s="41" t="str">
        <x:v>dd20_stop_trailing_repair</x:v>
      </x:c>
      <x:c r="C79" s="41" t="str">
        <x:v>1999-01-04</x:v>
      </x:c>
      <x:c r="D79" s="41" t="str">
        <x:v>2026-05-22</x:v>
      </x:c>
      <x:c r="E79" s="41" t="n">
        <x:v>0.090526</x:v>
      </x:c>
      <x:c r="F79" s="41" t="n">
        <x:v>-19.487662</x:v>
      </x:c>
      <x:c r="G79" s="41" t="n">
        <x:v>2.508275</x:v>
      </x:c>
      <x:c r="H79" s="41" t="n">
        <x:f>IFERROR(E79/ABS(F79),"")</x:f>
        <x:v>0.004645298137867949</x:v>
      </x:c>
      <x:c r="I79" s="41" t="n">
        <x:v>-0.101073</x:v>
      </x:c>
      <x:c r="J79" s="41" t="n">
        <x:v>-19.284113</x:v>
      </x:c>
      <x:c r="K79" s="41" t="n">
        <x:v>-2.730655</x:v>
      </x:c>
      <x:c r="L79" s="41" t="n">
        <x:f>IFERROR(I79/ABS(J79),"")</x:f>
        <x:v>-0.005241257401883094</x:v>
      </x:c>
      <x:c r="M79" s="41" t="n">
        <x:v>6.802475</x:v>
      </x:c>
      <x:c r="N79" s="41" t="n">
        <x:v>-56.473669</x:v>
      </x:c>
      <x:c r="O79" s="41" t="n">
        <x:v>506.057416</x:v>
      </x:c>
      <x:c r="P79" s="41" t="n">
        <x:f>IFERROR(M79/ABS(N79),"")</x:f>
        <x:v>0.12045392340278087</x:v>
      </x:c>
      <x:c r="Q79" s="41" t="str">
        <x:f>IF(L79&gt;=MAX(H79,P79),"Weekly",IF(H79&gt;=MAX(L79,P79),"No weekly","SPY"))</x:f>
        <x:v>SPY</x:v>
      </x:c>
      <x:c r="R79" s="41" t="n">
        <x:f>IFERROR(L79-P79,"")</x:f>
        <x:v>-0.12569518080466396</x:v>
      </x:c>
      <x:c r="S79" s="41" t="n">
        <x:f>IFERROR(H79-P79,"")</x:f>
        <x:v>-0.11580862526491292</x:v>
      </x:c>
      <x:c r="T79" s="41" t="n">
        <x:f>IFERROR(I79-M79,"")</x:f>
        <x:v>-6.903548000000001</x:v>
      </x:c>
      <x:c r="U79" s="41" t="n">
        <x:f>IFERROR(E79-M79,"")</x:f>
        <x:v>-6.711949000000001</x:v>
      </x:c>
      <x:c r="V79" s="41" t="str">
        <x:f>IF(AND(I79&gt;M79,J79&gt;N79),"Sí","No")</x:f>
        <x:v>No</x:v>
      </x:c>
      <x:c r="W79" s="41" t="str">
        <x:f>IF(AND(E79&gt;M79,F79&gt;N79),"Sí","No")</x:f>
        <x:v>No</x:v>
      </x:c>
      <x:c r="X79" s="41" t="str">
        <x:f>IF(L79&gt;=H79,"Weekly","No weekly")</x:f>
        <x:v>No weekly</x:v>
      </x:c>
      <x:c r="Y79" s="41" t="n">
        <x:f>IFERROR(I79-E79,"")</x:f>
        <x:v>-0.191599</x:v>
      </x:c>
      <x:c r="Z79" s="41" t="n">
        <x:f>IFERROR(J79-F79,"")</x:f>
        <x:v>0.20354899999999887</x:v>
      </x:c>
      <x:c r="AA79" s="41" t="n">
        <x:v>177</x:v>
      </x:c>
      <x:c r="AB79" s="41" t="n">
        <x:v>99</x:v>
      </x:c>
    </x:row>
    <x:row r="80">
      <x:c r="A80" s="41" t="str">
        <x:v>HYP_DD20_STOPTRAIL_DYN8050200_NO_GUARD_SL12_TR18_ACT10_V1</x:v>
      </x:c>
      <x:c r="B80" s="41" t="str">
        <x:v>dd20_stop_trailing_repair</x:v>
      </x:c>
      <x:c r="C80" s="41" t="str">
        <x:v>1999-01-04</x:v>
      </x:c>
      <x:c r="D80" s="41" t="str">
        <x:v>2026-05-22</x:v>
      </x:c>
      <x:c r="E80" s="41" t="n">
        <x:v>8.142017</x:v>
      </x:c>
      <x:c r="F80" s="41" t="n">
        <x:v>-22.927612</x:v>
      </x:c>
      <x:c r="G80" s="41" t="n">
        <x:v>752.545841</x:v>
      </x:c>
      <x:c r="H80" s="41" t="n">
        <x:f>IFERROR(E80/ABS(F80),"")</x:f>
        <x:v>0.3551184048299491</x:v>
      </x:c>
      <x:c r="I80" s="41" t="n">
        <x:v>7.645765</x:v>
      </x:c>
      <x:c r="J80" s="41" t="n">
        <x:v>-24.69991</x:v>
      </x:c>
      <x:c r="K80" s="41" t="n">
        <x:v>651.672574</x:v>
      </x:c>
      <x:c r="L80" s="41" t="n">
        <x:f>IFERROR(I80/ABS(J80),"")</x:f>
        <x:v>0.3095462696017921</x:v>
      </x:c>
      <x:c r="M80" s="41" t="n">
        <x:v>6.802475</x:v>
      </x:c>
      <x:c r="N80" s="41" t="n">
        <x:v>-56.473669</x:v>
      </x:c>
      <x:c r="O80" s="41" t="n">
        <x:v>506.057416</x:v>
      </x:c>
      <x:c r="P80" s="41" t="n">
        <x:f>IFERROR(M80/ABS(N80),"")</x:f>
        <x:v>0.12045392340278087</x:v>
      </x:c>
      <x:c r="Q80" s="41" t="str">
        <x:f>IF(L80&gt;=MAX(H80,P80),"Weekly",IF(H80&gt;=MAX(L80,P80),"No weekly","SPY"))</x:f>
        <x:v>No weekly</x:v>
      </x:c>
      <x:c r="R80" s="41" t="n">
        <x:f>IFERROR(L80-P80,"")</x:f>
        <x:v>0.18909234619901122</x:v>
      </x:c>
      <x:c r="S80" s="41" t="n">
        <x:f>IFERROR(H80-P80,"")</x:f>
        <x:v>0.23466448142716823</x:v>
      </x:c>
      <x:c r="T80" s="41" t="n">
        <x:f>IFERROR(I80-M80,"")</x:f>
        <x:v>0.8432899999999997</x:v>
      </x:c>
      <x:c r="U80" s="41" t="n">
        <x:f>IFERROR(E80-M80,"")</x:f>
        <x:v>1.339541999999999</x:v>
      </x:c>
      <x:c r="V80" s="41" t="str">
        <x:f>IF(AND(I80&gt;M80,J80&gt;N80),"Sí","No")</x:f>
        <x:v>Sí</x:v>
      </x:c>
      <x:c r="W80" s="41" t="str">
        <x:f>IF(AND(E80&gt;M80,F80&gt;N80),"Sí","No")</x:f>
        <x:v>Sí</x:v>
      </x:c>
      <x:c r="X80" s="41" t="str">
        <x:f>IF(L80&gt;=H80,"Weekly","No weekly")</x:f>
        <x:v>No weekly</x:v>
      </x:c>
      <x:c r="Y80" s="41" t="n">
        <x:f>IFERROR(I80-E80,"")</x:f>
        <x:v>-0.49625199999999925</x:v>
      </x:c>
      <x:c r="Z80" s="41" t="n">
        <x:f>IFERROR(J80-F80,"")</x:f>
        <x:v>-1.7722979999999993</x:v>
      </x:c>
      <x:c r="AA80" s="41" t="n">
        <x:v>8768</x:v>
      </x:c>
      <x:c r="AB80" s="41" t="n">
        <x:v>2469</x:v>
      </x:c>
    </x:row>
    <x:row r="81">
      <x:c r="A81" s="41" t="str">
        <x:v>HYP_DD20_STOP_DYN8050200_GUARD1810_SL10_V1</x:v>
      </x:c>
      <x:c r="B81" s="41" t="str">
        <x:v>dd20_stop_trailing_repair</x:v>
      </x:c>
      <x:c r="C81" s="41" t="str">
        <x:v>1999-01-04</x:v>
      </x:c>
      <x:c r="D81" s="41" t="str">
        <x:v>2026-05-22</x:v>
      </x:c>
      <x:c r="E81" s="41" t="n">
        <x:v>9.675868</x:v>
      </x:c>
      <x:c r="F81" s="41" t="n">
        <x:v>-19.325183</x:v>
      </x:c>
      <x:c r="G81" s="41" t="n">
        <x:v>1153.665178</x:v>
      </x:c>
      <x:c r="H81" s="41" t="n">
        <x:f>IFERROR(E81/ABS(F81),"")</x:f>
        <x:v>0.5006870051372864</x:v>
      </x:c>
      <x:c r="I81" s="41" t="n">
        <x:v>-0.286745</x:v>
      </x:c>
      <x:c r="J81" s="41" t="n">
        <x:v>-18.660891</x:v>
      </x:c>
      <x:c r="K81" s="41" t="n">
        <x:v>-7.560819</x:v>
      </x:c>
      <x:c r="L81" s="41" t="n">
        <x:f>IFERROR(I81/ABS(J81),"")</x:f>
        <x:v>-0.015366093719747896</x:v>
      </x:c>
      <x:c r="M81" s="41" t="n">
        <x:v>6.802475</x:v>
      </x:c>
      <x:c r="N81" s="41" t="n">
        <x:v>-56.473669</x:v>
      </x:c>
      <x:c r="O81" s="41" t="n">
        <x:v>506.057416</x:v>
      </x:c>
      <x:c r="P81" s="41" t="n">
        <x:f>IFERROR(M81/ABS(N81),"")</x:f>
        <x:v>0.12045392340278087</x:v>
      </x:c>
      <x:c r="Q81" s="41" t="str">
        <x:f>IF(L81&gt;=MAX(H81,P81),"Weekly",IF(H81&gt;=MAX(L81,P81),"No weekly","SPY"))</x:f>
        <x:v>No weekly</x:v>
      </x:c>
      <x:c r="R81" s="41" t="n">
        <x:f>IFERROR(L81-P81,"")</x:f>
        <x:v>-0.13582001712252875</x:v>
      </x:c>
      <x:c r="S81" s="41" t="n">
        <x:f>IFERROR(H81-P81,"")</x:f>
        <x:v>0.3802330817345055</x:v>
      </x:c>
      <x:c r="T81" s="41" t="n">
        <x:f>IFERROR(I81-M81,"")</x:f>
        <x:v>-7.08922</x:v>
      </x:c>
      <x:c r="U81" s="41" t="n">
        <x:f>IFERROR(E81-M81,"")</x:f>
        <x:v>2.873392999999999</x:v>
      </x:c>
      <x:c r="V81" s="41" t="str">
        <x:f>IF(AND(I81&gt;M81,J81&gt;N81),"Sí","No")</x:f>
        <x:v>No</x:v>
      </x:c>
      <x:c r="W81" s="41" t="str">
        <x:f>IF(AND(E81&gt;M81,F81&gt;N81),"Sí","No")</x:f>
        <x:v>Sí</x:v>
      </x:c>
      <x:c r="X81" s="41" t="str">
        <x:f>IF(L81&gt;=H81,"Weekly","No weekly")</x:f>
        <x:v>No weekly</x:v>
      </x:c>
      <x:c r="Y81" s="41" t="n">
        <x:f>IFERROR(I81-E81,"")</x:f>
        <x:v>-9.962613</x:v>
      </x:c>
      <x:c r="Z81" s="41" t="n">
        <x:f>IFERROR(J81-F81,"")</x:f>
        <x:v>0.6642919999999997</x:v>
      </x:c>
      <x:c r="AA81" s="41" t="n">
        <x:v>173</x:v>
      </x:c>
      <x:c r="AB81" s="41" t="n">
        <x:v>2345</x:v>
      </x:c>
    </x:row>
    <x:row r="82">
      <x:c r="A82" s="41" t="str">
        <x:v>HYP_DD20_STOP_DYN8050200_GUARD1810_SL12_V1</x:v>
      </x:c>
      <x:c r="B82" s="41" t="str">
        <x:v>dd20_stop_trailing_repair</x:v>
      </x:c>
      <x:c r="C82" s="41" t="str">
        <x:v>1999-01-04</x:v>
      </x:c>
      <x:c r="D82" s="41" t="str">
        <x:v>2026-05-22</x:v>
      </x:c>
      <x:c r="E82" s="41" t="n">
        <x:v>6.918508</x:v>
      </x:c>
      <x:c r="F82" s="41" t="n">
        <x:v>-19.540517</x:v>
      </x:c>
      <x:c r="G82" s="41" t="n">
        <x:v>524.345191</x:v>
      </x:c>
      <x:c r="H82" s="41" t="n">
        <x:f>IFERROR(E82/ABS(F82),"")</x:f>
        <x:v>0.35405961879104836</x:v>
      </x:c>
      <x:c r="I82" s="41" t="n">
        <x:v>-0.142894</x:v>
      </x:c>
      <x:c r="J82" s="41" t="n">
        <x:v>-19.540457</x:v>
      </x:c>
      <x:c r="K82" s="41" t="n">
        <x:v>-3.839374</x:v>
      </x:c>
      <x:c r="L82" s="41" t="n">
        <x:f>IFERROR(I82/ABS(J82),"")</x:f>
        <x:v>-0.0073127255928558885</x:v>
      </x:c>
      <x:c r="M82" s="41" t="n">
        <x:v>6.802475</x:v>
      </x:c>
      <x:c r="N82" s="41" t="n">
        <x:v>-56.473669</x:v>
      </x:c>
      <x:c r="O82" s="41" t="n">
        <x:v>506.057416</x:v>
      </x:c>
      <x:c r="P82" s="41" t="n">
        <x:f>IFERROR(M82/ABS(N82),"")</x:f>
        <x:v>0.12045392340278087</x:v>
      </x:c>
      <x:c r="Q82" s="41" t="str">
        <x:f>IF(L82&gt;=MAX(H82,P82),"Weekly",IF(H82&gt;=MAX(L82,P82),"No weekly","SPY"))</x:f>
        <x:v>No weekly</x:v>
      </x:c>
      <x:c r="R82" s="41" t="n">
        <x:f>IFERROR(L82-P82,"")</x:f>
        <x:v>-0.12776664899563675</x:v>
      </x:c>
      <x:c r="S82" s="41" t="n">
        <x:f>IFERROR(H82-P82,"")</x:f>
        <x:v>0.23360569538826748</x:v>
      </x:c>
      <x:c r="T82" s="41" t="n">
        <x:f>IFERROR(I82-M82,"")</x:f>
        <x:v>-6.945369</x:v>
      </x:c>
      <x:c r="U82" s="41" t="n">
        <x:f>IFERROR(E82-M82,"")</x:f>
        <x:v>0.11603299999999983</x:v>
      </x:c>
      <x:c r="V82" s="41" t="str">
        <x:f>IF(AND(I82&gt;M82,J82&gt;N82),"Sí","No")</x:f>
        <x:v>No</x:v>
      </x:c>
      <x:c r="W82" s="41" t="str">
        <x:f>IF(AND(E82&gt;M82,F82&gt;N82),"Sí","No")</x:f>
        <x:v>Sí</x:v>
      </x:c>
      <x:c r="X82" s="41" t="str">
        <x:f>IF(L82&gt;=H82,"Weekly","No weekly")</x:f>
        <x:v>No weekly</x:v>
      </x:c>
      <x:c r="Y82" s="41" t="n">
        <x:f>IFERROR(I82-E82,"")</x:f>
        <x:v>-7.061402</x:v>
      </x:c>
      <x:c r="Z82" s="41" t="n">
        <x:f>IFERROR(J82-F82,"")</x:f>
        <x:v>0.00006000000000128125</x:v>
      </x:c>
      <x:c r="AA82" s="41" t="n">
        <x:v>172</x:v>
      </x:c>
      <x:c r="AB82" s="41" t="n">
        <x:v>1729</x:v>
      </x:c>
    </x:row>
    <x:row r="83">
      <x:c r="A83" s="41" t="str">
        <x:v>HYP_DD20_STOP_DYN8050200_GUARD1810_SL15_V1</x:v>
      </x:c>
      <x:c r="B83" s="41" t="str">
        <x:v>dd20_stop_trailing_repair</x:v>
      </x:c>
      <x:c r="C83" s="41" t="str">
        <x:v>1999-01-04</x:v>
      </x:c>
      <x:c r="D83" s="41" t="str">
        <x:v>2026-05-22</x:v>
      </x:c>
      <x:c r="E83" s="41" t="n">
        <x:v>7.200479</x:v>
      </x:c>
      <x:c r="F83" s="41" t="n">
        <x:v>-20.773255</x:v>
      </x:c>
      <x:c r="G83" s="41" t="n">
        <x:v>571.028958</x:v>
      </x:c>
      <x:c r="H83" s="41" t="n">
        <x:f>IFERROR(E83/ABS(F83),"")</x:f>
        <x:v>0.3466225682975538</x:v>
      </x:c>
      <x:c r="I83" s="41" t="n">
        <x:v>1.857565</x:v>
      </x:c>
      <x:c r="J83" s="41" t="n">
        <x:v>-20.899604</x:v>
      </x:c>
      <x:c r="K83" s="41" t="n">
        <x:v>65.517649</x:v>
      </x:c>
      <x:c r="L83" s="41" t="n">
        <x:f>IFERROR(I83/ABS(J83),"")</x:f>
        <x:v>0.08888039218350739</x:v>
      </x:c>
      <x:c r="M83" s="41" t="n">
        <x:v>6.802475</x:v>
      </x:c>
      <x:c r="N83" s="41" t="n">
        <x:v>-56.473669</x:v>
      </x:c>
      <x:c r="O83" s="41" t="n">
        <x:v>506.057416</x:v>
      </x:c>
      <x:c r="P83" s="41" t="n">
        <x:f>IFERROR(M83/ABS(N83),"")</x:f>
        <x:v>0.12045392340278087</x:v>
      </x:c>
      <x:c r="Q83" s="41" t="str">
        <x:f>IF(L83&gt;=MAX(H83,P83),"Weekly",IF(H83&gt;=MAX(L83,P83),"No weekly","SPY"))</x:f>
        <x:v>No weekly</x:v>
      </x:c>
      <x:c r="R83" s="41" t="n">
        <x:f>IFERROR(L83-P83,"")</x:f>
        <x:v>-0.031573531219273476</x:v>
      </x:c>
      <x:c r="S83" s="41" t="n">
        <x:f>IFERROR(H83-P83,"")</x:f>
        <x:v>0.2261686448947729</x:v>
      </x:c>
      <x:c r="T83" s="41" t="n">
        <x:f>IFERROR(I83-M83,"")</x:f>
        <x:v>-4.94491</x:v>
      </x:c>
      <x:c r="U83" s="41" t="n">
        <x:f>IFERROR(E83-M83,"")</x:f>
        <x:v>0.39800399999999936</x:v>
      </x:c>
      <x:c r="V83" s="41" t="str">
        <x:f>IF(AND(I83&gt;M83,J83&gt;N83),"Sí","No")</x:f>
        <x:v>No</x:v>
      </x:c>
      <x:c r="W83" s="41" t="str">
        <x:f>IF(AND(E83&gt;M83,F83&gt;N83),"Sí","No")</x:f>
        <x:v>Sí</x:v>
      </x:c>
      <x:c r="X83" s="41" t="str">
        <x:f>IF(L83&gt;=H83,"Weekly","No weekly")</x:f>
        <x:v>No weekly</x:v>
      </x:c>
      <x:c r="Y83" s="41" t="n">
        <x:f>IFERROR(I83-E83,"")</x:f>
        <x:v>-5.3429139999999995</x:v>
      </x:c>
      <x:c r="Z83" s="41" t="n">
        <x:f>IFERROR(J83-F83,"")</x:f>
        <x:v>-0.12634900000000115</x:v>
      </x:c>
      <x:c r="AA83" s="41" t="n">
        <x:v>2155</x:v>
      </x:c>
      <x:c r="AB83" s="41" t="n">
        <x:v>1725</x:v>
      </x:c>
    </x:row>
    <x:row r="84">
      <x:c r="A84" s="41" t="str">
        <x:v>HYP_DD20_TRAIL_DYN8050200_GUARD1810_TR15_ACT10_V1</x:v>
      </x:c>
      <x:c r="B84" s="41" t="str">
        <x:v>dd20_stop_trailing_repair</x:v>
      </x:c>
      <x:c r="C84" s="41" t="str">
        <x:v>1999-01-04</x:v>
      </x:c>
      <x:c r="D84" s="41" t="str">
        <x:v>2026-05-22</x:v>
      </x:c>
      <x:c r="E84" s="41" t="n">
        <x:v>5.784462</x:v>
      </x:c>
      <x:c r="F84" s="41" t="n">
        <x:v>-18.66882</x:v>
      </x:c>
      <x:c r="G84" s="41" t="n">
        <x:v>366.266977</x:v>
      </x:c>
      <x:c r="H84" s="41" t="n">
        <x:f>IFERROR(E84/ABS(F84),"")</x:f>
        <x:v>0.3098461498905662</x:v>
      </x:c>
      <x:c r="I84" s="41" t="n">
        <x:v>0.350545</x:v>
      </x:c>
      <x:c r="J84" s="41" t="n">
        <x:v>-22.101703</x:v>
      </x:c>
      <x:c r="K84" s="41" t="n">
        <x:v>10.054586</x:v>
      </x:c>
      <x:c r="L84" s="41" t="n">
        <x:f>IFERROR(I84/ABS(J84),"")</x:f>
        <x:v>0.015860542511135906</x:v>
      </x:c>
      <x:c r="M84" s="41" t="n">
        <x:v>6.802475</x:v>
      </x:c>
      <x:c r="N84" s="41" t="n">
        <x:v>-56.473669</x:v>
      </x:c>
      <x:c r="O84" s="41" t="n">
        <x:v>506.057416</x:v>
      </x:c>
      <x:c r="P84" s="41" t="n">
        <x:f>IFERROR(M84/ABS(N84),"")</x:f>
        <x:v>0.12045392340278087</x:v>
      </x:c>
      <x:c r="Q84" s="41" t="str">
        <x:f>IF(L84&gt;=MAX(H84,P84),"Weekly",IF(H84&gt;=MAX(L84,P84),"No weekly","SPY"))</x:f>
        <x:v>No weekly</x:v>
      </x:c>
      <x:c r="R84" s="41" t="n">
        <x:f>IFERROR(L84-P84,"")</x:f>
        <x:v>-0.10459338089164497</x:v>
      </x:c>
      <x:c r="S84" s="41" t="n">
        <x:f>IFERROR(H84-P84,"")</x:f>
        <x:v>0.1893922264877853</x:v>
      </x:c>
      <x:c r="T84" s="41" t="n">
        <x:f>IFERROR(I84-M84,"")</x:f>
        <x:v>-6.45193</x:v>
      </x:c>
      <x:c r="U84" s="41" t="n">
        <x:f>IFERROR(E84-M84,"")</x:f>
        <x:v>-1.0180129999999998</x:v>
      </x:c>
      <x:c r="V84" s="41" t="str">
        <x:f>IF(AND(I84&gt;M84,J84&gt;N84),"Sí","No")</x:f>
        <x:v>No</x:v>
      </x:c>
      <x:c r="W84" s="41" t="str">
        <x:f>IF(AND(E84&gt;M84,F84&gt;N84),"Sí","No")</x:f>
        <x:v>No</x:v>
      </x:c>
      <x:c r="X84" s="41" t="str">
        <x:f>IF(L84&gt;=H84,"Weekly","No weekly")</x:f>
        <x:v>No weekly</x:v>
      </x:c>
      <x:c r="Y84" s="41" t="n">
        <x:f>IFERROR(I84-E84,"")</x:f>
        <x:v>-5.433917</x:v>
      </x:c>
      <x:c r="Z84" s="41" t="n">
        <x:f>IFERROR(J84-F84,"")</x:f>
        <x:v>-3.4328830000000004</x:v>
      </x:c>
      <x:c r="AA84" s="41" t="n">
        <x:v>164</x:v>
      </x:c>
      <x:c r="AB84" s="41" t="n">
        <x:v>1757</x:v>
      </x:c>
    </x:row>
    <x:row r="85">
      <x:c r="A85" s="41" t="str">
        <x:v>HYP_DD20_TRAIL_DYN8050200_GUARD1810_TR18_ACT10_V1</x:v>
      </x:c>
      <x:c r="B85" s="41" t="str">
        <x:v>dd20_stop_trailing_repair</x:v>
      </x:c>
      <x:c r="C85" s="41" t="str">
        <x:v>1999-01-04</x:v>
      </x:c>
      <x:c r="D85" s="41" t="str">
        <x:v>2026-05-22</x:v>
      </x:c>
      <x:c r="E85" s="41" t="n">
        <x:v>1.591486</x:v>
      </x:c>
      <x:c r="F85" s="41" t="n">
        <x:v>-19.886031</x:v>
      </x:c>
      <x:c r="G85" s="41" t="n">
        <x:v>54.07882</x:v>
      </x:c>
      <x:c r="H85" s="41" t="n">
        <x:f>IFERROR(E85/ABS(F85),"")</x:f>
        <x:v>0.08003034894192813</x:v>
      </x:c>
      <x:c r="I85" s="41" t="n">
        <x:v>0.017475</x:v>
      </x:c>
      <x:c r="J85" s="41" t="n">
        <x:v>-21.333825</x:v>
      </x:c>
      <x:c r="K85" s="41" t="n">
        <x:v>0.479553</x:v>
      </x:c>
      <x:c r="L85" s="41" t="n">
        <x:f>IFERROR(I85/ABS(J85),"")</x:f>
        <x:v>0.0008191217468034917</x:v>
      </x:c>
      <x:c r="M85" s="41" t="n">
        <x:v>6.802475</x:v>
      </x:c>
      <x:c r="N85" s="41" t="n">
        <x:v>-56.473669</x:v>
      </x:c>
      <x:c r="O85" s="41" t="n">
        <x:v>506.057416</x:v>
      </x:c>
      <x:c r="P85" s="41" t="n">
        <x:f>IFERROR(M85/ABS(N85),"")</x:f>
        <x:v>0.12045392340278087</x:v>
      </x:c>
      <x:c r="Q85" s="41" t="str">
        <x:f>IF(L85&gt;=MAX(H85,P85),"Weekly",IF(H85&gt;=MAX(L85,P85),"No weekly","SPY"))</x:f>
        <x:v>SPY</x:v>
      </x:c>
      <x:c r="R85" s="41" t="n">
        <x:f>IFERROR(L85-P85,"")</x:f>
        <x:v>-0.11963480165597738</x:v>
      </x:c>
      <x:c r="S85" s="41" t="n">
        <x:f>IFERROR(H85-P85,"")</x:f>
        <x:v>-0.040423574460852735</x:v>
      </x:c>
      <x:c r="T85" s="41" t="n">
        <x:f>IFERROR(I85-M85,"")</x:f>
        <x:v>-6.785</x:v>
      </x:c>
      <x:c r="U85" s="41" t="n">
        <x:f>IFERROR(E85-M85,"")</x:f>
        <x:v>-5.2109890000000005</x:v>
      </x:c>
      <x:c r="V85" s="41" t="str">
        <x:f>IF(AND(I85&gt;M85,J85&gt;N85),"Sí","No")</x:f>
        <x:v>No</x:v>
      </x:c>
      <x:c r="W85" s="41" t="str">
        <x:f>IF(AND(E85&gt;M85,F85&gt;N85),"Sí","No")</x:f>
        <x:v>No</x:v>
      </x:c>
      <x:c r="X85" s="41" t="str">
        <x:f>IF(L85&gt;=H85,"Weekly","No weekly")</x:f>
        <x:v>No weekly</x:v>
      </x:c>
      <x:c r="Y85" s="41" t="n">
        <x:f>IFERROR(I85-E85,"")</x:f>
        <x:v>-1.574011</x:v>
      </x:c>
      <x:c r="Z85" s="41" t="n">
        <x:f>IFERROR(J85-F85,"")</x:f>
        <x:v>-1.4477940000000018</x:v>
      </x:c>
      <x:c r="AA85" s="41" t="n">
        <x:v>306</x:v>
      </x:c>
      <x:c r="AB85" s="41" t="n">
        <x:v>313</x:v>
      </x:c>
    </x:row>
    <x:row r="86">
      <x:c r="A86" s="41" t="str">
        <x:v>HYP_DD20_TRAIL_DYN8050200_GUARD1810_TR20_ACT15_V1</x:v>
      </x:c>
      <x:c r="B86" s="41" t="str">
        <x:v>dd20_stop_trailing_repair</x:v>
      </x:c>
      <x:c r="C86" s="41" t="str">
        <x:v>1999-01-04</x:v>
      </x:c>
      <x:c r="D86" s="41" t="str">
        <x:v>2026-05-22</x:v>
      </x:c>
      <x:c r="E86" s="41" t="n">
        <x:v>1.916251</x:v>
      </x:c>
      <x:c r="F86" s="41" t="n">
        <x:v>-18.931854</x:v>
      </x:c>
      <x:c r="G86" s="41" t="n">
        <x:v>68.148529</x:v>
      </x:c>
      <x:c r="H86" s="41" t="n">
        <x:f>IFERROR(E86/ABS(F86),"")</x:f>
        <x:v>0.10121834871534503</x:v>
      </x:c>
      <x:c r="I86" s="41" t="n">
        <x:v>0.205916</x:v>
      </x:c>
      <x:c r="J86" s="41" t="n">
        <x:v>-22.17922</x:v>
      </x:c>
      <x:c r="K86" s="41" t="n">
        <x:v>5.793472</x:v>
      </x:c>
      <x:c r="L86" s="41" t="n">
        <x:f>IFERROR(I86/ABS(J86),"")</x:f>
        <x:v>0.009284185827995754</x:v>
      </x:c>
      <x:c r="M86" s="41" t="n">
        <x:v>6.802475</x:v>
      </x:c>
      <x:c r="N86" s="41" t="n">
        <x:v>-56.473669</x:v>
      </x:c>
      <x:c r="O86" s="41" t="n">
        <x:v>506.057416</x:v>
      </x:c>
      <x:c r="P86" s="41" t="n">
        <x:f>IFERROR(M86/ABS(N86),"")</x:f>
        <x:v>0.12045392340278087</x:v>
      </x:c>
      <x:c r="Q86" s="41" t="str">
        <x:f>IF(L86&gt;=MAX(H86,P86),"Weekly",IF(H86&gt;=MAX(L86,P86),"No weekly","SPY"))</x:f>
        <x:v>SPY</x:v>
      </x:c>
      <x:c r="R86" s="41" t="n">
        <x:f>IFERROR(L86-P86,"")</x:f>
        <x:v>-0.11116973757478511</x:v>
      </x:c>
      <x:c r="S86" s="41" t="n">
        <x:f>IFERROR(H86-P86,"")</x:f>
        <x:v>-0.019235574687435836</x:v>
      </x:c>
      <x:c r="T86" s="41" t="n">
        <x:f>IFERROR(I86-M86,"")</x:f>
        <x:v>-6.596559</x:v>
      </x:c>
      <x:c r="U86" s="41" t="n">
        <x:f>IFERROR(E86-M86,"")</x:f>
        <x:v>-4.886224</x:v>
      </x:c>
      <x:c r="V86" s="41" t="str">
        <x:f>IF(AND(I86&gt;M86,J86&gt;N86),"Sí","No")</x:f>
        <x:v>No</x:v>
      </x:c>
      <x:c r="W86" s="41" t="str">
        <x:f>IF(AND(E86&gt;M86,F86&gt;N86),"Sí","No")</x:f>
        <x:v>No</x:v>
      </x:c>
      <x:c r="X86" s="41" t="str">
        <x:f>IF(L86&gt;=H86,"Weekly","No weekly")</x:f>
        <x:v>No weekly</x:v>
      </x:c>
      <x:c r="Y86" s="41" t="n">
        <x:f>IFERROR(I86-E86,"")</x:f>
        <x:v>-1.710335</x:v>
      </x:c>
      <x:c r="Z86" s="41" t="n">
        <x:f>IFERROR(J86-F86,"")</x:f>
        <x:v>-3.2473659999999995</x:v>
      </x:c>
      <x:c r="AA86" s="41" t="n">
        <x:v>311</x:v>
      </x:c>
      <x:c r="AB86" s="41" t="n">
        <x:v>308</x:v>
      </x:c>
    </x:row>
    <x:row r="87">
      <x:c r="A87" s="41" t="str">
        <x:v>HYP_DD_FIRST_AUTO002_ANTI_EXTENSION_SMA20W_60_V1</x:v>
      </x:c>
      <x:c r="B87" s="41" t="str">
        <x:v>dd_first_drawdown_control</x:v>
      </x:c>
      <x:c r="C87" s="41" t="str">
        <x:v>1999-01-04</x:v>
      </x:c>
      <x:c r="D87" s="41" t="str">
        <x:v>2026-05-22</x:v>
      </x:c>
      <x:c r="E87" s="41" t="n">
        <x:v>25.161374</x:v>
      </x:c>
      <x:c r="F87" s="41" t="n">
        <x:v>-54.053049</x:v>
      </x:c>
      <x:c r="G87" s="41" t="n">
        <x:v>46522.111403</x:v>
      </x:c>
      <x:c r="H87" s="41" t="n">
        <x:f>IFERROR(E87/ABS(F87),"")</x:f>
        <x:v>0.4654940741640679</x:v>
      </x:c>
      <x:c r="I87" s="41" t="n">
        <x:v>11.344298</x:v>
      </x:c>
      <x:c r="J87" s="41" t="n">
        <x:v>-38.814031</x:v>
      </x:c>
      <x:c r="K87" s="41" t="n">
        <x:v>1795.394917</x:v>
      </x:c>
      <x:c r="L87" s="41" t="n">
        <x:f>IFERROR(I87/ABS(J87),"")</x:f>
        <x:v>0.29227312154205265</x:v>
      </x:c>
      <x:c r="M87" s="41" t="n">
        <x:v>6.802475</x:v>
      </x:c>
      <x:c r="N87" s="41" t="n">
        <x:v>-56.473669</x:v>
      </x:c>
      <x:c r="O87" s="41" t="n">
        <x:v>506.057416</x:v>
      </x:c>
      <x:c r="P87" s="41" t="n">
        <x:f>IFERROR(M87/ABS(N87),"")</x:f>
        <x:v>0.12045392340278087</x:v>
      </x:c>
      <x:c r="Q87" s="41" t="str">
        <x:f>IF(L87&gt;=MAX(H87,P87),"Weekly",IF(H87&gt;=MAX(L87,P87),"No weekly","SPY"))</x:f>
        <x:v>No weekly</x:v>
      </x:c>
      <x:c r="R87" s="41" t="n">
        <x:f>IFERROR(L87-P87,"")</x:f>
        <x:v>0.17181919813927177</x:v>
      </x:c>
      <x:c r="S87" s="41" t="n">
        <x:f>IFERROR(H87-P87,"")</x:f>
        <x:v>0.345040150761287</x:v>
      </x:c>
      <x:c r="T87" s="41" t="n">
        <x:f>IFERROR(I87-M87,"")</x:f>
        <x:v>4.541823</x:v>
      </x:c>
      <x:c r="U87" s="41" t="n">
        <x:f>IFERROR(E87-M87,"")</x:f>
        <x:v>18.358898999999997</x:v>
      </x:c>
      <x:c r="V87" s="41" t="str">
        <x:f>IF(AND(I87&gt;M87,J87&gt;N87),"Sí","No")</x:f>
        <x:v>Sí</x:v>
      </x:c>
      <x:c r="W87" s="41" t="str">
        <x:f>IF(AND(E87&gt;M87,F87&gt;N87),"Sí","No")</x:f>
        <x:v>Sí</x:v>
      </x:c>
      <x:c r="X87" s="41" t="str">
        <x:f>IF(L87&gt;=H87,"Weekly","No weekly")</x:f>
        <x:v>No weekly</x:v>
      </x:c>
      <x:c r="Y87" s="41" t="n">
        <x:f>IFERROR(I87-E87,"")</x:f>
        <x:v>-13.817075999999998</x:v>
      </x:c>
      <x:c r="Z87" s="41" t="n">
        <x:f>IFERROR(J87-F87,"")</x:f>
        <x:v>15.239018000000002</x:v>
      </x:c>
      <x:c r="AA87" s="41" t="n">
        <x:v>8626</x:v>
      </x:c>
      <x:c r="AB87" s="41" t="n">
        <x:v>3700</x:v>
      </x:c>
    </x:row>
    <x:row r="88">
      <x:c r="A88" s="41" t="str">
        <x:v>HYP_DD_FIRST_AUTO002_ANTI_EXTENSION_SMA52_80_V1</x:v>
      </x:c>
      <x:c r="B88" s="41" t="str">
        <x:v>dd_first_drawdown_control</x:v>
      </x:c>
      <x:c r="C88" s="41" t="str">
        <x:v>1999-01-04</x:v>
      </x:c>
      <x:c r="D88" s="41" t="str">
        <x:v>2026-05-22</x:v>
      </x:c>
      <x:c r="E88" s="41" t="n">
        <x:v>22.846647</x:v>
      </x:c>
      <x:c r="F88" s="41" t="n">
        <x:v>-58.361365</x:v>
      </x:c>
      <x:c r="G88" s="41" t="n">
        <x:v>27866.236823</x:v>
      </x:c>
      <x:c r="H88" s="41" t="n">
        <x:f>IFERROR(E88/ABS(F88),"")</x:f>
        <x:v>0.3914686882323606</x:v>
      </x:c>
      <x:c r="I88" s="41" t="n">
        <x:v>8.806843</x:v>
      </x:c>
      <x:c r="J88" s="41" t="n">
        <x:v>-38.348952</x:v>
      </x:c>
      <x:c r="K88" s="41" t="n">
        <x:v>908.305862</x:v>
      </x:c>
      <x:c r="L88" s="41" t="n">
        <x:f>IFERROR(I88/ABS(J88),"")</x:f>
        <x:v>0.22965016097441207</x:v>
      </x:c>
      <x:c r="M88" s="41" t="n">
        <x:v>6.802475</x:v>
      </x:c>
      <x:c r="N88" s="41" t="n">
        <x:v>-56.473669</x:v>
      </x:c>
      <x:c r="O88" s="41" t="n">
        <x:v>506.057416</x:v>
      </x:c>
      <x:c r="P88" s="41" t="n">
        <x:f>IFERROR(M88/ABS(N88),"")</x:f>
        <x:v>0.12045392340278087</x:v>
      </x:c>
      <x:c r="Q88" s="41" t="str">
        <x:f>IF(L88&gt;=MAX(H88,P88),"Weekly",IF(H88&gt;=MAX(L88,P88),"No weekly","SPY"))</x:f>
        <x:v>No weekly</x:v>
      </x:c>
      <x:c r="R88" s="41" t="n">
        <x:f>IFERROR(L88-P88,"")</x:f>
        <x:v>0.1091962375716312</x:v>
      </x:c>
      <x:c r="S88" s="41" t="n">
        <x:f>IFERROR(H88-P88,"")</x:f>
        <x:v>0.2710147648295797</x:v>
      </x:c>
      <x:c r="T88" s="41" t="n">
        <x:f>IFERROR(I88-M88,"")</x:f>
        <x:v>2.0043680000000004</x:v>
      </x:c>
      <x:c r="U88" s="41" t="n">
        <x:f>IFERROR(E88-M88,"")</x:f>
        <x:v>16.044172</x:v>
      </x:c>
      <x:c r="V88" s="41" t="str">
        <x:f>IF(AND(I88&gt;M88,J88&gt;N88),"Sí","No")</x:f>
        <x:v>Sí</x:v>
      </x:c>
      <x:c r="W88" s="41" t="str">
        <x:f>IF(AND(E88&gt;M88,F88&gt;N88),"Sí","No")</x:f>
        <x:v>No</x:v>
      </x:c>
      <x:c r="X88" s="41" t="str">
        <x:f>IF(L88&gt;=H88,"Weekly","No weekly")</x:f>
        <x:v>No weekly</x:v>
      </x:c>
      <x:c r="Y88" s="41" t="n">
        <x:f>IFERROR(I88-E88,"")</x:f>
        <x:v>-14.039804</x:v>
      </x:c>
      <x:c r="Z88" s="41" t="n">
        <x:f>IFERROR(J88-F88,"")</x:f>
        <x:v>20.012413000000002</x:v>
      </x:c>
      <x:c r="AA88" s="41" t="n">
        <x:v>8589</x:v>
      </x:c>
      <x:c r="AB88" s="41" t="n">
        <x:v>3772</x:v>
      </x:c>
    </x:row>
    <x:row r="89">
      <x:c r="A89" s="41" t="str">
        <x:v>HYP_DD_FIRST_AUTO002_DD_PROXY_13W_V1</x:v>
      </x:c>
      <x:c r="B89" s="41" t="str">
        <x:v>dd_first_drawdown_control</x:v>
      </x:c>
      <x:c r="C89" s="41" t="str">
        <x:v>1999-01-04</x:v>
      </x:c>
      <x:c r="D89" s="41" t="str">
        <x:v>2026-05-22</x:v>
      </x:c>
      <x:c r="E89" s="41" t="n">
        <x:v>21.773932</x:v>
      </x:c>
      <x:c r="F89" s="41" t="n">
        <x:v>-54.874142</x:v>
      </x:c>
      <x:c r="G89" s="41" t="n">
        <x:v>21896.310822</x:v>
      </x:c>
      <x:c r="H89" s="41" t="n">
        <x:f>IFERROR(E89/ABS(F89),"")</x:f>
        <x:v>0.39679767567026375</x:v>
      </x:c>
      <x:c r="I89" s="41" t="n">
        <x:v>9.345128</x:v>
      </x:c>
      <x:c r="J89" s="41" t="n">
        <x:v>-36.423619</x:v>
      </x:c>
      <x:c r="K89" s="41" t="n">
        <x:v>1054.172498</x:v>
      </x:c>
      <x:c r="L89" s="41" t="n">
        <x:f>IFERROR(I89/ABS(J89),"")</x:f>
        <x:v>0.2565678056318347</x:v>
      </x:c>
      <x:c r="M89" s="41" t="n">
        <x:v>6.802475</x:v>
      </x:c>
      <x:c r="N89" s="41" t="n">
        <x:v>-56.473669</x:v>
      </x:c>
      <x:c r="O89" s="41" t="n">
        <x:v>506.057416</x:v>
      </x:c>
      <x:c r="P89" s="41" t="n">
        <x:f>IFERROR(M89/ABS(N89),"")</x:f>
        <x:v>0.12045392340278087</x:v>
      </x:c>
      <x:c r="Q89" s="41" t="str">
        <x:f>IF(L89&gt;=MAX(H89,P89),"Weekly",IF(H89&gt;=MAX(L89,P89),"No weekly","SPY"))</x:f>
        <x:v>No weekly</x:v>
      </x:c>
      <x:c r="R89" s="41" t="n">
        <x:f>IFERROR(L89-P89,"")</x:f>
        <x:v>0.1361138822290538</x:v>
      </x:c>
      <x:c r="S89" s="41" t="n">
        <x:f>IFERROR(H89-P89,"")</x:f>
        <x:v>0.27634375226748287</x:v>
      </x:c>
      <x:c r="T89" s="41" t="n">
        <x:f>IFERROR(I89-M89,"")</x:f>
        <x:v>2.5426530000000005</x:v>
      </x:c>
      <x:c r="U89" s="41" t="n">
        <x:f>IFERROR(E89-M89,"")</x:f>
        <x:v>14.971456999999997</x:v>
      </x:c>
      <x:c r="V89" s="41" t="str">
        <x:f>IF(AND(I89&gt;M89,J89&gt;N89),"Sí","No")</x:f>
        <x:v>Sí</x:v>
      </x:c>
      <x:c r="W89" s="41" t="str">
        <x:f>IF(AND(E89&gt;M89,F89&gt;N89),"Sí","No")</x:f>
        <x:v>Sí</x:v>
      </x:c>
      <x:c r="X89" s="41" t="str">
        <x:f>IF(L89&gt;=H89,"Weekly","No weekly")</x:f>
        <x:v>No weekly</x:v>
      </x:c>
      <x:c r="Y89" s="41" t="n">
        <x:f>IFERROR(I89-E89,"")</x:f>
        <x:v>-12.428803999999998</x:v>
      </x:c>
      <x:c r="Z89" s="41" t="n">
        <x:f>IFERROR(J89-F89,"")</x:f>
        <x:v>18.450522999999997</x:v>
      </x:c>
      <x:c r="AA89" s="41" t="n">
        <x:v>8739</x:v>
      </x:c>
      <x:c r="AB89" s="41" t="n">
        <x:v>3829</x:v>
      </x:c>
    </x:row>
    <x:row r="90">
      <x:c r="A90" s="41" t="str">
        <x:v>HYP_DD_FIRST_AUTO002_DD_PROXY_26W_V1</x:v>
      </x:c>
      <x:c r="B90" s="41" t="str">
        <x:v>dd_first_drawdown_control</x:v>
      </x:c>
      <x:c r="C90" s="41" t="str">
        <x:v>1999-01-04</x:v>
      </x:c>
      <x:c r="D90" s="41" t="str">
        <x:v>2026-05-22</x:v>
      </x:c>
      <x:c r="E90" s="41" t="n">
        <x:v>25.929269</x:v>
      </x:c>
      <x:c r="F90" s="41" t="n">
        <x:v>-54.644063</x:v>
      </x:c>
      <x:c r="G90" s="41" t="n">
        <x:v>55021.267681</x:v>
      </x:c>
      <x:c r="H90" s="41" t="n">
        <x:f>IFERROR(E90/ABS(F90),"")</x:f>
        <x:v>0.4745120984140583</x:v>
      </x:c>
      <x:c r="I90" s="41" t="n">
        <x:v>11.317081</x:v>
      </x:c>
      <x:c r="J90" s="41" t="n">
        <x:v>-38.654925</x:v>
      </x:c>
      <x:c r="K90" s="41" t="n">
        <x:v>1782.750805</x:v>
      </x:c>
      <x:c r="L90" s="41" t="n">
        <x:f>IFERROR(I90/ABS(J90),"")</x:f>
        <x:v>0.29277203357657533</x:v>
      </x:c>
      <x:c r="M90" s="41" t="n">
        <x:v>6.802475</x:v>
      </x:c>
      <x:c r="N90" s="41" t="n">
        <x:v>-56.473669</x:v>
      </x:c>
      <x:c r="O90" s="41" t="n">
        <x:v>506.057416</x:v>
      </x:c>
      <x:c r="P90" s="41" t="n">
        <x:f>IFERROR(M90/ABS(N90),"")</x:f>
        <x:v>0.12045392340278087</x:v>
      </x:c>
      <x:c r="Q90" s="41" t="str">
        <x:f>IF(L90&gt;=MAX(H90,P90),"Weekly",IF(H90&gt;=MAX(L90,P90),"No weekly","SPY"))</x:f>
        <x:v>No weekly</x:v>
      </x:c>
      <x:c r="R90" s="41" t="n">
        <x:f>IFERROR(L90-P90,"")</x:f>
        <x:v>0.17231811017379445</x:v>
      </x:c>
      <x:c r="S90" s="41" t="n">
        <x:f>IFERROR(H90-P90,"")</x:f>
        <x:v>0.3540581750112774</x:v>
      </x:c>
      <x:c r="T90" s="41" t="n">
        <x:f>IFERROR(I90-M90,"")</x:f>
        <x:v>4.514606</x:v>
      </x:c>
      <x:c r="U90" s="41" t="n">
        <x:f>IFERROR(E90-M90,"")</x:f>
        <x:v>19.126794</x:v>
      </x:c>
      <x:c r="V90" s="41" t="str">
        <x:f>IF(AND(I90&gt;M90,J90&gt;N90),"Sí","No")</x:f>
        <x:v>Sí</x:v>
      </x:c>
      <x:c r="W90" s="41" t="str">
        <x:f>IF(AND(E90&gt;M90,F90&gt;N90),"Sí","No")</x:f>
        <x:v>Sí</x:v>
      </x:c>
      <x:c r="X90" s="41" t="str">
        <x:f>IF(L90&gt;=H90,"Weekly","No weekly")</x:f>
        <x:v>No weekly</x:v>
      </x:c>
      <x:c r="Y90" s="41" t="n">
        <x:f>IFERROR(I90-E90,"")</x:f>
        <x:v>-14.612188000000002</x:v>
      </x:c>
      <x:c r="Z90" s="41" t="n">
        <x:f>IFERROR(J90-F90,"")</x:f>
        <x:v>15.989138000000004</x:v>
      </x:c>
      <x:c r="AA90" s="41" t="n">
        <x:v>8551</x:v>
      </x:c>
      <x:c r="AB90" s="41" t="n">
        <x:v>3706</x:v>
      </x:c>
    </x:row>
    <x:row r="91">
      <x:c r="A91" s="41" t="str">
        <x:v>HYP_DD_FIRST_AUTO002_DD_PROXY_26W_V2</x:v>
      </x:c>
      <x:c r="B91" s="41" t="str">
        <x:v>dd_first_drawdown_control</x:v>
      </x:c>
      <x:c r="C91" s="41" t="str">
        <x:v>1999-01-04</x:v>
      </x:c>
      <x:c r="D91" s="41" t="str">
        <x:v>2026-05-22</x:v>
      </x:c>
      <x:c r="E91" s="41" t="n">
        <x:v>24.462241</x:v>
      </x:c>
      <x:c r="F91" s="41" t="n">
        <x:v>-54.753286</x:v>
      </x:c>
      <x:c r="G91" s="41" t="n">
        <x:v>39893.381219</x:v>
      </x:c>
      <x:c r="H91" s="41" t="n">
        <x:f>IFERROR(E91/ABS(F91),"")</x:f>
        <x:v>0.44677210788773475</x:v>
      </x:c>
      <x:c r="I91" s="41" t="n">
        <x:v>10.929928</x:v>
      </x:c>
      <x:c r="J91" s="41" t="n">
        <x:v>-38.654925</x:v>
      </x:c>
      <x:c r="K91" s="41" t="n">
        <x:v>1611.460968</x:v>
      </x:c>
      <x:c r="L91" s="41" t="n">
        <x:f>IFERROR(I91/ABS(J91),"")</x:f>
        <x:v>0.2827564146095226</x:v>
      </x:c>
      <x:c r="M91" s="41" t="n">
        <x:v>6.802475</x:v>
      </x:c>
      <x:c r="N91" s="41" t="n">
        <x:v>-56.473669</x:v>
      </x:c>
      <x:c r="O91" s="41" t="n">
        <x:v>506.057416</x:v>
      </x:c>
      <x:c r="P91" s="41" t="n">
        <x:f>IFERROR(M91/ABS(N91),"")</x:f>
        <x:v>0.12045392340278087</x:v>
      </x:c>
      <x:c r="Q91" s="41" t="str">
        <x:f>IF(L91&gt;=MAX(H91,P91),"Weekly",IF(H91&gt;=MAX(L91,P91),"No weekly","SPY"))</x:f>
        <x:v>No weekly</x:v>
      </x:c>
      <x:c r="R91" s="41" t="n">
        <x:f>IFERROR(L91-P91,"")</x:f>
        <x:v>0.16230249120674173</x:v>
      </x:c>
      <x:c r="S91" s="41" t="n">
        <x:f>IFERROR(H91-P91,"")</x:f>
        <x:v>0.32631818448495387</x:v>
      </x:c>
      <x:c r="T91" s="41" t="n">
        <x:f>IFERROR(I91-M91,"")</x:f>
        <x:v>4.127453</x:v>
      </x:c>
      <x:c r="U91" s="41" t="n">
        <x:f>IFERROR(E91-M91,"")</x:f>
        <x:v>17.659765999999998</x:v>
      </x:c>
      <x:c r="V91" s="41" t="str">
        <x:f>IF(AND(I91&gt;M91,J91&gt;N91),"Sí","No")</x:f>
        <x:v>Sí</x:v>
      </x:c>
      <x:c r="W91" s="41" t="str">
        <x:f>IF(AND(E91&gt;M91,F91&gt;N91),"Sí","No")</x:f>
        <x:v>Sí</x:v>
      </x:c>
      <x:c r="X91" s="41" t="str">
        <x:f>IF(L91&gt;=H91,"Weekly","No weekly")</x:f>
        <x:v>No weekly</x:v>
      </x:c>
      <x:c r="Y91" s="41" t="n">
        <x:f>IFERROR(I91-E91,"")</x:f>
        <x:v>-13.532312999999998</x:v>
      </x:c>
      <x:c r="Z91" s="41" t="n">
        <x:f>IFERROR(J91-F91,"")</x:f>
        <x:v>16.098361000000004</x:v>
      </x:c>
      <x:c r="AA91" s="41" t="n">
        <x:v>8564</x:v>
      </x:c>
      <x:c r="AB91" s="41" t="n">
        <x:v>3741</x:v>
      </x:c>
    </x:row>
    <x:row r="92">
      <x:c r="A92" s="41" t="str">
        <x:v>HYP_DD_FIRST_AUTO002_DYN_EXPOSURE_65_55_45_25_V1</x:v>
      </x:c>
      <x:c r="B92" s="41" t="str">
        <x:v>dd_first_drawdown_control</x:v>
      </x:c>
      <x:c r="C92" s="41" t="str">
        <x:v>1999-01-04</x:v>
      </x:c>
      <x:c r="D92" s="41" t="str">
        <x:v>2026-05-22</x:v>
      </x:c>
      <x:c r="E92" s="41" t="n">
        <x:v>11.87758</x:v>
      </x:c>
      <x:c r="F92" s="41" t="n">
        <x:v>-28.804358</x:v>
      </x:c>
      <x:c r="G92" s="41" t="n">
        <x:v>2060.291582</x:v>
      </x:c>
      <x:c r="H92" s="41" t="n">
        <x:f>IFERROR(E92/ABS(F92),"")</x:f>
        <x:v>0.41235357510832216</x:v>
      </x:c>
      <x:c r="I92" s="41" t="n">
        <x:v>7.738179</x:v>
      </x:c>
      <x:c r="J92" s="41" t="n">
        <x:v>-22.658537</x:v>
      </x:c>
      <x:c r="K92" s="41" t="n">
        <x:v>669.541833</x:v>
      </x:c>
      <x:c r="L92" s="41" t="n">
        <x:f>IFERROR(I92/ABS(J92),"")</x:f>
        <x:v>0.3415127375611232</x:v>
      </x:c>
      <x:c r="M92" s="41" t="n">
        <x:v>6.802475</x:v>
      </x:c>
      <x:c r="N92" s="41" t="n">
        <x:v>-56.473669</x:v>
      </x:c>
      <x:c r="O92" s="41" t="n">
        <x:v>506.057416</x:v>
      </x:c>
      <x:c r="P92" s="41" t="n">
        <x:f>IFERROR(M92/ABS(N92),"")</x:f>
        <x:v>0.12045392340278087</x:v>
      </x:c>
      <x:c r="Q92" s="41" t="str">
        <x:f>IF(L92&gt;=MAX(H92,P92),"Weekly",IF(H92&gt;=MAX(L92,P92),"No weekly","SPY"))</x:f>
        <x:v>No weekly</x:v>
      </x:c>
      <x:c r="R92" s="41" t="n">
        <x:f>IFERROR(L92-P92,"")</x:f>
        <x:v>0.22105881415834233</x:v>
      </x:c>
      <x:c r="S92" s="41" t="n">
        <x:f>IFERROR(H92-P92,"")</x:f>
        <x:v>0.2918996517055413</x:v>
      </x:c>
      <x:c r="T92" s="41" t="n">
        <x:f>IFERROR(I92-M92,"")</x:f>
        <x:v>0.9357039999999994</x:v>
      </x:c>
      <x:c r="U92" s="41" t="n">
        <x:f>IFERROR(E92-M92,"")</x:f>
        <x:v>5.075105</x:v>
      </x:c>
      <x:c r="V92" s="41" t="str">
        <x:f>IF(AND(I92&gt;M92,J92&gt;N92),"Sí","No")</x:f>
        <x:v>Sí</x:v>
      </x:c>
      <x:c r="W92" s="41" t="str">
        <x:f>IF(AND(E92&gt;M92,F92&gt;N92),"Sí","No")</x:f>
        <x:v>Sí</x:v>
      </x:c>
      <x:c r="X92" s="41" t="str">
        <x:f>IF(L92&gt;=H92,"Weekly","No weekly")</x:f>
        <x:v>No weekly</x:v>
      </x:c>
      <x:c r="Y92" s="41" t="n">
        <x:f>IFERROR(I92-E92,"")</x:f>
        <x:v>-4.139401</x:v>
      </x:c>
      <x:c r="Z92" s="41" t="n">
        <x:f>IFERROR(J92-F92,"")</x:f>
        <x:v>6.1458210000000015</x:v>
      </x:c>
      <x:c r="AA92" s="41" t="n">
        <x:v>8658</x:v>
      </x:c>
      <x:c r="AB92" s="41" t="n">
        <x:v>3852</x:v>
      </x:c>
    </x:row>
    <x:row r="93">
      <x:c r="A93" s="41" t="str">
        <x:v>HYP_DD_FIRST_AUTO002_DYN_EXPOSURE_70_55_45_25_V1</x:v>
      </x:c>
      <x:c r="B93" s="41" t="str">
        <x:v>dd_first_drawdown_control</x:v>
      </x:c>
      <x:c r="C93" s="41" t="str">
        <x:v>1999-01-04</x:v>
      </x:c>
      <x:c r="D93" s="41" t="str">
        <x:v>2026-05-22</x:v>
      </x:c>
      <x:c r="E93" s="41" t="n">
        <x:v>11.87758</x:v>
      </x:c>
      <x:c r="F93" s="41" t="n">
        <x:v>-28.804358</x:v>
      </x:c>
      <x:c r="G93" s="41" t="n">
        <x:v>2060.291582</x:v>
      </x:c>
      <x:c r="H93" s="41" t="n">
        <x:f>IFERROR(E93/ABS(F93),"")</x:f>
        <x:v>0.41235357510832216</x:v>
      </x:c>
      <x:c r="I93" s="41" t="n">
        <x:v>8.269491</x:v>
      </x:c>
      <x:c r="J93" s="41" t="n">
        <x:v>-23.708233</x:v>
      </x:c>
      <x:c r="K93" s="41" t="n">
        <x:v>780.492055</x:v>
      </x:c>
      <x:c r="L93" s="41" t="n">
        <x:f>IFERROR(I93/ABS(J93),"")</x:f>
        <x:v>0.34880250248932515</x:v>
      </x:c>
      <x:c r="M93" s="41" t="n">
        <x:v>6.802475</x:v>
      </x:c>
      <x:c r="N93" s="41" t="n">
        <x:v>-56.473669</x:v>
      </x:c>
      <x:c r="O93" s="41" t="n">
        <x:v>506.057416</x:v>
      </x:c>
      <x:c r="P93" s="41" t="n">
        <x:f>IFERROR(M93/ABS(N93),"")</x:f>
        <x:v>0.12045392340278087</x:v>
      </x:c>
      <x:c r="Q93" s="41" t="str">
        <x:f>IF(L93&gt;=MAX(H93,P93),"Weekly",IF(H93&gt;=MAX(L93,P93),"No weekly","SPY"))</x:f>
        <x:v>No weekly</x:v>
      </x:c>
      <x:c r="R93" s="41" t="n">
        <x:f>IFERROR(L93-P93,"")</x:f>
        <x:v>0.22834857908654427</x:v>
      </x:c>
      <x:c r="S93" s="41" t="n">
        <x:f>IFERROR(H93-P93,"")</x:f>
        <x:v>0.2918996517055413</x:v>
      </x:c>
      <x:c r="T93" s="41" t="n">
        <x:f>IFERROR(I93-M93,"")</x:f>
        <x:v>1.467016</x:v>
      </x:c>
      <x:c r="U93" s="41" t="n">
        <x:f>IFERROR(E93-M93,"")</x:f>
        <x:v>5.075105</x:v>
      </x:c>
      <x:c r="V93" s="41" t="str">
        <x:f>IF(AND(I93&gt;M93,J93&gt;N93),"Sí","No")</x:f>
        <x:v>Sí</x:v>
      </x:c>
      <x:c r="W93" s="41" t="str">
        <x:f>IF(AND(E93&gt;M93,F93&gt;N93),"Sí","No")</x:f>
        <x:v>Sí</x:v>
      </x:c>
      <x:c r="X93" s="41" t="str">
        <x:f>IF(L93&gt;=H93,"Weekly","No weekly")</x:f>
        <x:v>No weekly</x:v>
      </x:c>
      <x:c r="Y93" s="41" t="n">
        <x:f>IFERROR(I93-E93,"")</x:f>
        <x:v>-3.6080889999999997</x:v>
      </x:c>
      <x:c r="Z93" s="41" t="n">
        <x:f>IFERROR(J93-F93,"")</x:f>
        <x:v>5.096125000000001</x:v>
      </x:c>
      <x:c r="AA93" s="41" t="n">
        <x:v>8636</x:v>
      </x:c>
      <x:c r="AB93" s="41" t="n">
        <x:v>3852</x:v>
      </x:c>
    </x:row>
    <x:row r="94">
      <x:c r="A94" s="41" t="str">
        <x:v>HYP_DD_FIRST_AUTO002_DYN_EXPOSURE_70_60_50_25_V1</x:v>
      </x:c>
      <x:c r="B94" s="41" t="str">
        <x:v>dd_first_drawdown_control</x:v>
      </x:c>
      <x:c r="C94" s="41" t="str">
        <x:v>1999-01-04</x:v>
      </x:c>
      <x:c r="D94" s="41" t="str">
        <x:v>2026-05-22</x:v>
      </x:c>
      <x:c r="E94" s="41" t="n">
        <x:v>13.183145</x:v>
      </x:c>
      <x:c r="F94" s="41" t="n">
        <x:v>-31.549424</x:v>
      </x:c>
      <x:c r="G94" s="41" t="n">
        <x:v>2868.002188</x:v>
      </x:c>
      <x:c r="H94" s="41" t="n">
        <x:f>IFERROR(E94/ABS(F94),"")</x:f>
        <x:v>0.41785691554939325</x:v>
      </x:c>
      <x:c r="I94" s="41" t="n">
        <x:v>8.289052</x:v>
      </x:c>
      <x:c r="J94" s="41" t="n">
        <x:v>-24.534442</x:v>
      </x:c>
      <x:c r="K94" s="41" t="n">
        <x:v>784.857606</x:v>
      </x:c>
      <x:c r="L94" s="41" t="n">
        <x:f>IFERROR(I94/ABS(J94),"")</x:f>
        <x:v>0.33785369970916806</x:v>
      </x:c>
      <x:c r="M94" s="41" t="n">
        <x:v>6.802475</x:v>
      </x:c>
      <x:c r="N94" s="41" t="n">
        <x:v>-56.473669</x:v>
      </x:c>
      <x:c r="O94" s="41" t="n">
        <x:v>506.057416</x:v>
      </x:c>
      <x:c r="P94" s="41" t="n">
        <x:f>IFERROR(M94/ABS(N94),"")</x:f>
        <x:v>0.12045392340278087</x:v>
      </x:c>
      <x:c r="Q94" s="41" t="str">
        <x:f>IF(L94&gt;=MAX(H94,P94),"Weekly",IF(H94&gt;=MAX(L94,P94),"No weekly","SPY"))</x:f>
        <x:v>No weekly</x:v>
      </x:c>
      <x:c r="R94" s="41" t="n">
        <x:f>IFERROR(L94-P94,"")</x:f>
        <x:v>0.21739977630638718</x:v>
      </x:c>
      <x:c r="S94" s="41" t="n">
        <x:f>IFERROR(H94-P94,"")</x:f>
        <x:v>0.29740299214661237</x:v>
      </x:c>
      <x:c r="T94" s="41" t="n">
        <x:f>IFERROR(I94-M94,"")</x:f>
        <x:v>1.4865769999999996</x:v>
      </x:c>
      <x:c r="U94" s="41" t="n">
        <x:f>IFERROR(E94-M94,"")</x:f>
        <x:v>6.380669999999999</x:v>
      </x:c>
      <x:c r="V94" s="41" t="str">
        <x:f>IF(AND(I94&gt;M94,J94&gt;N94),"Sí","No")</x:f>
        <x:v>Sí</x:v>
      </x:c>
      <x:c r="W94" s="41" t="str">
        <x:f>IF(AND(E94&gt;M94,F94&gt;N94),"Sí","No")</x:f>
        <x:v>Sí</x:v>
      </x:c>
      <x:c r="X94" s="41" t="str">
        <x:f>IF(L94&gt;=H94,"Weekly","No weekly")</x:f>
        <x:v>No weekly</x:v>
      </x:c>
      <x:c r="Y94" s="41" t="n">
        <x:f>IFERROR(I94-E94,"")</x:f>
        <x:v>-4.894093</x:v>
      </x:c>
      <x:c r="Z94" s="41" t="n">
        <x:f>IFERROR(J94-F94,"")</x:f>
        <x:v>7.014982</x:v>
      </x:c>
      <x:c r="AA94" s="41" t="n">
        <x:v>8646</x:v>
      </x:c>
      <x:c r="AB94" s="41" t="n">
        <x:v>3847</x:v>
      </x:c>
    </x:row>
    <x:row r="95">
      <x:c r="A95" s="41" t="str">
        <x:v>HYP_DD_FIRST_AUTO002_DYN_EXPOSURE_75_60_50_25_V1</x:v>
      </x:c>
      <x:c r="B95" s="41" t="str">
        <x:v>dd_first_drawdown_control</x:v>
      </x:c>
      <x:c r="C95" s="41" t="str">
        <x:v>1999-01-04</x:v>
      </x:c>
      <x:c r="D95" s="41" t="str">
        <x:v>2026-05-22</x:v>
      </x:c>
      <x:c r="E95" s="41" t="n">
        <x:v>13.183145</x:v>
      </x:c>
      <x:c r="F95" s="41" t="n">
        <x:v>-31.549424</x:v>
      </x:c>
      <x:c r="G95" s="41" t="n">
        <x:v>2868.002188</x:v>
      </x:c>
      <x:c r="H95" s="41" t="n">
        <x:f>IFERROR(E95/ABS(F95),"")</x:f>
        <x:v>0.41785691554939325</x:v>
      </x:c>
      <x:c r="I95" s="41" t="n">
        <x:v>8.814972</x:v>
      </x:c>
      <x:c r="J95" s="41" t="n">
        <x:v>-25.56285</x:v>
      </x:c>
      <x:c r="K95" s="41" t="n">
        <x:v>910.370372</x:v>
      </x:c>
      <x:c r="L95" s="41" t="n">
        <x:f>IFERROR(I95/ABS(J95),"")</x:f>
        <x:v>0.3448352589793391</x:v>
      </x:c>
      <x:c r="M95" s="41" t="n">
        <x:v>6.802475</x:v>
      </x:c>
      <x:c r="N95" s="41" t="n">
        <x:v>-56.473669</x:v>
      </x:c>
      <x:c r="O95" s="41" t="n">
        <x:v>506.057416</x:v>
      </x:c>
      <x:c r="P95" s="41" t="n">
        <x:f>IFERROR(M95/ABS(N95),"")</x:f>
        <x:v>0.12045392340278087</x:v>
      </x:c>
      <x:c r="Q95" s="41" t="str">
        <x:f>IF(L95&gt;=MAX(H95,P95),"Weekly",IF(H95&gt;=MAX(L95,P95),"No weekly","SPY"))</x:f>
        <x:v>No weekly</x:v>
      </x:c>
      <x:c r="R95" s="41" t="n">
        <x:f>IFERROR(L95-P95,"")</x:f>
        <x:v>0.2243813355765582</x:v>
      </x:c>
      <x:c r="S95" s="41" t="n">
        <x:f>IFERROR(H95-P95,"")</x:f>
        <x:v>0.29740299214661237</x:v>
      </x:c>
      <x:c r="T95" s="41" t="n">
        <x:f>IFERROR(I95-M95,"")</x:f>
        <x:v>2.012496999999999</x:v>
      </x:c>
      <x:c r="U95" s="41" t="n">
        <x:f>IFERROR(E95-M95,"")</x:f>
        <x:v>6.380669999999999</x:v>
      </x:c>
      <x:c r="V95" s="41" t="str">
        <x:f>IF(AND(I95&gt;M95,J95&gt;N95),"Sí","No")</x:f>
        <x:v>Sí</x:v>
      </x:c>
      <x:c r="W95" s="41" t="str">
        <x:f>IF(AND(E95&gt;M95,F95&gt;N95),"Sí","No")</x:f>
        <x:v>Sí</x:v>
      </x:c>
      <x:c r="X95" s="41" t="str">
        <x:f>IF(L95&gt;=H95,"Weekly","No weekly")</x:f>
        <x:v>No weekly</x:v>
      </x:c>
      <x:c r="Y95" s="41" t="n">
        <x:f>IFERROR(I95-E95,"")</x:f>
        <x:v>-4.3681730000000005</x:v>
      </x:c>
      <x:c r="Z95" s="41" t="n">
        <x:f>IFERROR(J95-F95,"")</x:f>
        <x:v>5.986573999999997</x:v>
      </x:c>
      <x:c r="AA95" s="41" t="n">
        <x:v>8614</x:v>
      </x:c>
      <x:c r="AB95" s="41" t="n">
        <x:v>3847</x:v>
      </x:c>
    </x:row>
    <x:row r="96">
      <x:c r="A96" s="41" t="str">
        <x:v>HYP_DD_FIRST_AUTO002_DYN_EXPOSURE_75_60_55_35_V1</x:v>
      </x:c>
      <x:c r="B96" s="41" t="str">
        <x:v>dd_first_drawdown_control</x:v>
      </x:c>
      <x:c r="C96" s="41" t="str">
        <x:v>1999-01-04</x:v>
      </x:c>
      <x:c r="D96" s="41" t="str">
        <x:v>2026-05-22</x:v>
      </x:c>
      <x:c r="E96" s="41" t="n">
        <x:v>14.484545</x:v>
      </x:c>
      <x:c r="F96" s="41" t="n">
        <x:v>-34.210675</x:v>
      </x:c>
      <x:c r="G96" s="41" t="n">
        <x:v>3958.835741</x:v>
      </x:c>
      <x:c r="H96" s="41" t="n">
        <x:f>IFERROR(E96/ABS(F96),"")</x:f>
        <x:v>0.42339255217852323</x:v>
      </x:c>
      <x:c r="I96" s="41" t="n">
        <x:v>8.815272</x:v>
      </x:c>
      <x:c r="J96" s="41" t="n">
        <x:v>-26.653723</x:v>
      </x:c>
      <x:c r="K96" s="41" t="n">
        <x:v>910.446636</x:v>
      </x:c>
      <x:c r="L96" s="41" t="n">
        <x:f>IFERROR(I96/ABS(J96),"")</x:f>
        <x:v>0.3307332337775102</x:v>
      </x:c>
      <x:c r="M96" s="41" t="n">
        <x:v>6.802475</x:v>
      </x:c>
      <x:c r="N96" s="41" t="n">
        <x:v>-56.473669</x:v>
      </x:c>
      <x:c r="O96" s="41" t="n">
        <x:v>506.057416</x:v>
      </x:c>
      <x:c r="P96" s="41" t="n">
        <x:f>IFERROR(M96/ABS(N96),"")</x:f>
        <x:v>0.12045392340278087</x:v>
      </x:c>
      <x:c r="Q96" s="41" t="str">
        <x:f>IF(L96&gt;=MAX(H96,P96),"Weekly",IF(H96&gt;=MAX(L96,P96),"No weekly","SPY"))</x:f>
        <x:v>No weekly</x:v>
      </x:c>
      <x:c r="R96" s="41" t="n">
        <x:f>IFERROR(L96-P96,"")</x:f>
        <x:v>0.2102793103747293</x:v>
      </x:c>
      <x:c r="S96" s="41" t="n">
        <x:f>IFERROR(H96-P96,"")</x:f>
        <x:v>0.30293862877574235</x:v>
      </x:c>
      <x:c r="T96" s="41" t="n">
        <x:f>IFERROR(I96-M96,"")</x:f>
        <x:v>2.012797</x:v>
      </x:c>
      <x:c r="U96" s="41" t="n">
        <x:f>IFERROR(E96-M96,"")</x:f>
        <x:v>7.68207</x:v>
      </x:c>
      <x:c r="V96" s="41" t="str">
        <x:f>IF(AND(I96&gt;M96,J96&gt;N96),"Sí","No")</x:f>
        <x:v>Sí</x:v>
      </x:c>
      <x:c r="W96" s="41" t="str">
        <x:f>IF(AND(E96&gt;M96,F96&gt;N96),"Sí","No")</x:f>
        <x:v>Sí</x:v>
      </x:c>
      <x:c r="X96" s="41" t="str">
        <x:f>IF(L96&gt;=H96,"Weekly","No weekly")</x:f>
        <x:v>No weekly</x:v>
      </x:c>
      <x:c r="Y96" s="41" t="n">
        <x:f>IFERROR(I96-E96,"")</x:f>
        <x:v>-5.6692730000000005</x:v>
      </x:c>
      <x:c r="Z96" s="41" t="n">
        <x:f>IFERROR(J96-F96,"")</x:f>
        <x:v>7.556952000000003</x:v>
      </x:c>
      <x:c r="AA96" s="41" t="n">
        <x:v>8605</x:v>
      </x:c>
      <x:c r="AB96" s="41" t="n">
        <x:v>3842</x:v>
      </x:c>
    </x:row>
    <x:row r="97">
      <x:c r="A97" s="41" t="str">
        <x:v>HYP_DD_FIRST_AUTO002_EXPOSURE60_ANTI_EXTENSION_CLOSE_VS_SMA52W_PCT_80_V1</x:v>
      </x:c>
      <x:c r="B97" s="41" t="str">
        <x:v>dd_first_drawdown_control</x:v>
      </x:c>
      <x:c r="C97" s="41" t="str">
        <x:v>1999-01-04</x:v>
      </x:c>
      <x:c r="D97" s="41" t="str">
        <x:v>2026-05-22</x:v>
      </x:c>
      <x:c r="E97" s="41" t="n">
        <x:v>13.942572</x:v>
      </x:c>
      <x:c r="F97" s="41" t="n">
        <x:v>-39.907508</x:v>
      </x:c>
      <x:c r="G97" s="41" t="n">
        <x:v>3464.336077</x:v>
      </x:c>
      <x:c r="H97" s="41" t="n">
        <x:f>IFERROR(E97/ABS(F97),"")</x:f>
        <x:v>0.34937215322991355</x:v>
      </x:c>
      <x:c r="I97" s="41" t="n">
        <x:v>5.64592</x:v>
      </x:c>
      <x:c r="J97" s="41" t="n">
        <x:v>-24.697706</x:v>
      </x:c>
      <x:c r="K97" s="41" t="n">
        <x:v>349.833856</x:v>
      </x:c>
      <x:c r="L97" s="41" t="n">
        <x:f>IFERROR(I97/ABS(J97),"")</x:f>
        <x:v>0.22860098828611858</x:v>
      </x:c>
      <x:c r="M97" s="41" t="n">
        <x:v>6.802475</x:v>
      </x:c>
      <x:c r="N97" s="41" t="n">
        <x:v>-56.473669</x:v>
      </x:c>
      <x:c r="O97" s="41" t="n">
        <x:v>506.057416</x:v>
      </x:c>
      <x:c r="P97" s="41" t="n">
        <x:f>IFERROR(M97/ABS(N97),"")</x:f>
        <x:v>0.12045392340278087</x:v>
      </x:c>
      <x:c r="Q97" s="41" t="str">
        <x:f>IF(L97&gt;=MAX(H97,P97),"Weekly",IF(H97&gt;=MAX(L97,P97),"No weekly","SPY"))</x:f>
        <x:v>No weekly</x:v>
      </x:c>
      <x:c r="R97" s="41" t="n">
        <x:f>IFERROR(L97-P97,"")</x:f>
        <x:v>0.10814706488333771</x:v>
      </x:c>
      <x:c r="S97" s="41" t="n">
        <x:f>IFERROR(H97-P97,"")</x:f>
        <x:v>0.22891822982713267</x:v>
      </x:c>
      <x:c r="T97" s="41" t="n">
        <x:f>IFERROR(I97-M97,"")</x:f>
        <x:v>-1.156555</x:v>
      </x:c>
      <x:c r="U97" s="41" t="n">
        <x:f>IFERROR(E97-M97,"")</x:f>
        <x:v>7.140097</x:v>
      </x:c>
      <x:c r="V97" s="41" t="str">
        <x:f>IF(AND(I97&gt;M97,J97&gt;N97),"Sí","No")</x:f>
        <x:v>No</x:v>
      </x:c>
      <x:c r="W97" s="41" t="str">
        <x:f>IF(AND(E97&gt;M97,F97&gt;N97),"Sí","No")</x:f>
        <x:v>Sí</x:v>
      </x:c>
      <x:c r="X97" s="41" t="str">
        <x:f>IF(L97&gt;=H97,"Weekly","No weekly")</x:f>
        <x:v>No weekly</x:v>
      </x:c>
      <x:c r="Y97" s="41" t="n">
        <x:f>IFERROR(I97-E97,"")</x:f>
        <x:v>-8.296652</x:v>
      </x:c>
      <x:c r="Z97" s="41" t="n">
        <x:f>IFERROR(J97-F97,"")</x:f>
        <x:v>15.209802</x:v>
      </x:c>
      <x:c r="AA97" s="41" t="n">
        <x:v>8719</x:v>
      </x:c>
      <x:c r="AB97" s="41" t="n">
        <x:v>3910</x:v>
      </x:c>
    </x:row>
    <x:row r="98">
      <x:c r="A98" s="41" t="str">
        <x:v>HYP_DD_FIRST_AUTO002_EXPOSURE60_BREAKEVEN_10_0_V1</x:v>
      </x:c>
      <x:c r="B98" s="41" t="str">
        <x:v>dd_first_drawdown_control</x:v>
      </x:c>
      <x:c r="C98" s="41" t="str">
        <x:v>1999-01-04</x:v>
      </x:c>
      <x:c r="D98" s="41" t="str">
        <x:v>2026-05-22</x:v>
      </x:c>
      <x:c r="E98" s="41" t="n">
        <x:v>13.954919</x:v>
      </x:c>
      <x:c r="F98" s="41" t="n">
        <x:v>-38.624925</x:v>
      </x:c>
      <x:c r="G98" s="41" t="n">
        <x:v>3474.925643</x:v>
      </x:c>
      <x:c r="H98" s="41" t="n">
        <x:f>IFERROR(E98/ABS(F98),"")</x:f>
        <x:v>0.36129310283450394</x:v>
      </x:c>
      <x:c r="I98" s="41" t="n">
        <x:v>6.931418</x:v>
      </x:c>
      <x:c r="J98" s="41" t="n">
        <x:v>-24.573086</x:v>
      </x:c>
      <x:c r="K98" s="41" t="n">
        <x:v>526.412522</x:v>
      </x:c>
      <x:c r="L98" s="41" t="n">
        <x:f>IFERROR(I98/ABS(J98),"")</x:f>
        <x:v>0.2820735661772396</x:v>
      </x:c>
      <x:c r="M98" s="41" t="n">
        <x:v>6.802475</x:v>
      </x:c>
      <x:c r="N98" s="41" t="n">
        <x:v>-56.473669</x:v>
      </x:c>
      <x:c r="O98" s="41" t="n">
        <x:v>506.057416</x:v>
      </x:c>
      <x:c r="P98" s="41" t="n">
        <x:f>IFERROR(M98/ABS(N98),"")</x:f>
        <x:v>0.12045392340278087</x:v>
      </x:c>
      <x:c r="Q98" s="41" t="str">
        <x:f>IF(L98&gt;=MAX(H98,P98),"Weekly",IF(H98&gt;=MAX(L98,P98),"No weekly","SPY"))</x:f>
        <x:v>No weekly</x:v>
      </x:c>
      <x:c r="R98" s="41" t="n">
        <x:f>IFERROR(L98-P98,"")</x:f>
        <x:v>0.16161964277445873</x:v>
      </x:c>
      <x:c r="S98" s="41" t="n">
        <x:f>IFERROR(H98-P98,"")</x:f>
        <x:v>0.24083917943172306</x:v>
      </x:c>
      <x:c r="T98" s="41" t="n">
        <x:f>IFERROR(I98-M98,"")</x:f>
        <x:v>0.12894299999999959</x:v>
      </x:c>
      <x:c r="U98" s="41" t="n">
        <x:f>IFERROR(E98-M98,"")</x:f>
        <x:v>7.152444</x:v>
      </x:c>
      <x:c r="V98" s="41" t="str">
        <x:f>IF(AND(I98&gt;M98,J98&gt;N98),"Sí","No")</x:f>
        <x:v>Sí</x:v>
      </x:c>
      <x:c r="W98" s="41" t="str">
        <x:f>IF(AND(E98&gt;M98,F98&gt;N98),"Sí","No")</x:f>
        <x:v>Sí</x:v>
      </x:c>
      <x:c r="X98" s="41" t="str">
        <x:f>IF(L98&gt;=H98,"Weekly","No weekly")</x:f>
        <x:v>No weekly</x:v>
      </x:c>
      <x:c r="Y98" s="41" t="n">
        <x:f>IFERROR(I98-E98,"")</x:f>
        <x:v>-7.023501</x:v>
      </x:c>
      <x:c r="Z98" s="41" t="n">
        <x:f>IFERROR(J98-F98,"")</x:f>
        <x:v>14.051838999999998</x:v>
      </x:c>
      <x:c r="AA98" s="41" t="n">
        <x:v>8767</x:v>
      </x:c>
      <x:c r="AB98" s="41" t="n">
        <x:v>3910</x:v>
      </x:c>
    </x:row>
    <x:row r="99">
      <x:c r="A99" s="41" t="str">
        <x:v>HYP_DD_FIRST_AUTO002_EXPOSURE60_BREAKEVEN_10_1_V1</x:v>
      </x:c>
      <x:c r="B99" s="41" t="str">
        <x:v>dd_first_drawdown_control</x:v>
      </x:c>
      <x:c r="C99" s="41" t="str">
        <x:v>1999-01-04</x:v>
      </x:c>
      <x:c r="D99" s="41" t="str">
        <x:v>2026-05-22</x:v>
      </x:c>
      <x:c r="E99" s="41" t="n">
        <x:v>13.839675</x:v>
      </x:c>
      <x:c r="F99" s="41" t="n">
        <x:v>-38.638339</x:v>
      </x:c>
      <x:c r="G99" s="41" t="n">
        <x:v>3377.251324</x:v>
      </x:c>
      <x:c r="H99" s="41" t="n">
        <x:f>IFERROR(E99/ABS(F99),"")</x:f>
        <x:v>0.358185039993567</x:v>
      </x:c>
      <x:c r="I99" s="41" t="n">
        <x:v>6.878787</x:v>
      </x:c>
      <x:c r="J99" s="41" t="n">
        <x:v>-24.994011</x:v>
      </x:c>
      <x:c r="K99" s="41" t="n">
        <x:v>518.025828</x:v>
      </x:c>
      <x:c r="L99" s="41" t="n">
        <x:f>IFERROR(I99/ABS(J99),"")</x:f>
        <x:v>0.275217411082999</x:v>
      </x:c>
      <x:c r="M99" s="41" t="n">
        <x:v>6.802475</x:v>
      </x:c>
      <x:c r="N99" s="41" t="n">
        <x:v>-56.473669</x:v>
      </x:c>
      <x:c r="O99" s="41" t="n">
        <x:v>506.057416</x:v>
      </x:c>
      <x:c r="P99" s="41" t="n">
        <x:f>IFERROR(M99/ABS(N99),"")</x:f>
        <x:v>0.12045392340278087</x:v>
      </x:c>
      <x:c r="Q99" s="41" t="str">
        <x:f>IF(L99&gt;=MAX(H99,P99),"Weekly",IF(H99&gt;=MAX(L99,P99),"No weekly","SPY"))</x:f>
        <x:v>No weekly</x:v>
      </x:c>
      <x:c r="R99" s="41" t="n">
        <x:f>IFERROR(L99-P99,"")</x:f>
        <x:v>0.15476348768021814</x:v>
      </x:c>
      <x:c r="S99" s="41" t="n">
        <x:f>IFERROR(H99-P99,"")</x:f>
        <x:v>0.2377311165907861</x:v>
      </x:c>
      <x:c r="T99" s="41" t="n">
        <x:f>IFERROR(I99-M99,"")</x:f>
        <x:v>0.07631199999999971</x:v>
      </x:c>
      <x:c r="U99" s="41" t="n">
        <x:f>IFERROR(E99-M99,"")</x:f>
        <x:v>7.0371999999999995</x:v>
      </x:c>
      <x:c r="V99" s="41" t="str">
        <x:f>IF(AND(I99&gt;M99,J99&gt;N99),"Sí","No")</x:f>
        <x:v>Sí</x:v>
      </x:c>
      <x:c r="W99" s="41" t="str">
        <x:f>IF(AND(E99&gt;M99,F99&gt;N99),"Sí","No")</x:f>
        <x:v>Sí</x:v>
      </x:c>
      <x:c r="X99" s="41" t="str">
        <x:f>IF(L99&gt;=H99,"Weekly","No weekly")</x:f>
        <x:v>No weekly</x:v>
      </x:c>
      <x:c r="Y99" s="41" t="n">
        <x:f>IFERROR(I99-E99,"")</x:f>
        <x:v>-6.960888</x:v>
      </x:c>
      <x:c r="Z99" s="41" t="n">
        <x:f>IFERROR(J99-F99,"")</x:f>
        <x:v>13.644328000000002</x:v>
      </x:c>
      <x:c r="AA99" s="41" t="n">
        <x:v>8770</x:v>
      </x:c>
      <x:c r="AB99" s="41" t="n">
        <x:v>3926</x:v>
      </x:c>
    </x:row>
    <x:row r="100">
      <x:c r="A100" s="41" t="str">
        <x:v>HYP_DD_FIRST_AUTO002_EXPOSURE60_BREAKEVEN_12_0_V1</x:v>
      </x:c>
      <x:c r="B100" s="41" t="str">
        <x:v>dd_first_drawdown_control</x:v>
      </x:c>
      <x:c r="C100" s="41" t="str">
        <x:v>1999-01-04</x:v>
      </x:c>
      <x:c r="D100" s="41" t="str">
        <x:v>2026-05-22</x:v>
      </x:c>
      <x:c r="E100" s="41" t="n">
        <x:v>14.47582</x:v>
      </x:c>
      <x:c r="F100" s="41" t="n">
        <x:v>-36.638505</x:v>
      </x:c>
      <x:c r="G100" s="41" t="n">
        <x:v>3950.375103</x:v>
      </x:c>
      <x:c r="H100" s="41" t="n">
        <x:f>IFERROR(E100/ABS(F100),"")</x:f>
        <x:v>0.39509854455033033</x:v>
      </x:c>
      <x:c r="I100" s="41" t="n">
        <x:v>6.79165</x:v>
      </x:c>
      <x:c r="J100" s="41" t="n">
        <x:v>-25.039368</x:v>
      </x:c>
      <x:c r="K100" s="41" t="n">
        <x:v>504.37796</x:v>
      </x:c>
      <x:c r="L100" s="41" t="n">
        <x:f>IFERROR(I100/ABS(J100),"")</x:f>
        <x:v>0.27123887471920216</x:v>
      </x:c>
      <x:c r="M100" s="41" t="n">
        <x:v>6.802475</x:v>
      </x:c>
      <x:c r="N100" s="41" t="n">
        <x:v>-56.473669</x:v>
      </x:c>
      <x:c r="O100" s="41" t="n">
        <x:v>506.057416</x:v>
      </x:c>
      <x:c r="P100" s="41" t="n">
        <x:f>IFERROR(M100/ABS(N100),"")</x:f>
        <x:v>0.12045392340278087</x:v>
      </x:c>
      <x:c r="Q100" s="41" t="str">
        <x:f>IF(L100&gt;=MAX(H100,P100),"Weekly",IF(H100&gt;=MAX(L100,P100),"No weekly","SPY"))</x:f>
        <x:v>No weekly</x:v>
      </x:c>
      <x:c r="R100" s="41" t="n">
        <x:f>IFERROR(L100-P100,"")</x:f>
        <x:v>0.15078495131642128</x:v>
      </x:c>
      <x:c r="S100" s="41" t="n">
        <x:f>IFERROR(H100-P100,"")</x:f>
        <x:v>0.27464462114754945</x:v>
      </x:c>
      <x:c r="T100" s="41" t="n">
        <x:f>IFERROR(I100-M100,"")</x:f>
        <x:v>-0.010825000000000529</x:v>
      </x:c>
      <x:c r="U100" s="41" t="n">
        <x:f>IFERROR(E100-M100,"")</x:f>
        <x:v>7.673345</x:v>
      </x:c>
      <x:c r="V100" s="41" t="str">
        <x:f>IF(AND(I100&gt;M100,J100&gt;N100),"Sí","No")</x:f>
        <x:v>No</x:v>
      </x:c>
      <x:c r="W100" s="41" t="str">
        <x:f>IF(AND(E100&gt;M100,F100&gt;N100),"Sí","No")</x:f>
        <x:v>Sí</x:v>
      </x:c>
      <x:c r="X100" s="41" t="str">
        <x:f>IF(L100&gt;=H100,"Weekly","No weekly")</x:f>
        <x:v>No weekly</x:v>
      </x:c>
      <x:c r="Y100" s="41" t="n">
        <x:f>IFERROR(I100-E100,"")</x:f>
        <x:v>-7.684170000000001</x:v>
      </x:c>
      <x:c r="Z100" s="41" t="n">
        <x:f>IFERROR(J100-F100,"")</x:f>
        <x:v>11.599137000000002</x:v>
      </x:c>
      <x:c r="AA100" s="41" t="n">
        <x:v>8761</x:v>
      </x:c>
      <x:c r="AB100" s="41" t="n">
        <x:v>3895</x:v>
      </x:c>
    </x:row>
    <x:row r="101">
      <x:c r="A101" s="41" t="str">
        <x:v>HYP_DD_FIRST_AUTO002_EXPOSURE60_LOWVOL_ATR_14W_PCT_W5_V1</x:v>
      </x:c>
      <x:c r="B101" s="41" t="str">
        <x:v>dd_first_drawdown_control</x:v>
      </x:c>
      <x:c r="C101" s="41" t="str">
        <x:v>1999-01-04</x:v>
      </x:c>
      <x:c r="D101" s="41" t="str">
        <x:v>2026-05-22</x:v>
      </x:c>
      <x:c r="E101" s="41" t="n">
        <x:v>15.59192</x:v>
      </x:c>
      <x:c r="F101" s="41" t="n">
        <x:v>-36.752606</x:v>
      </x:c>
      <x:c r="G101" s="41" t="n">
        <x:v>5182.753989</x:v>
      </x:c>
      <x:c r="H101" s="41" t="n">
        <x:f>IFERROR(E101/ABS(F101),"")</x:f>
        <x:v>0.4242398484613581</x:v>
      </x:c>
      <x:c r="I101" s="41" t="n">
        <x:v>7.126973</x:v>
      </x:c>
      <x:c r="J101" s="41" t="n">
        <x:v>-24.81656</x:v>
      </x:c>
      <x:c r="K101" s="41" t="n">
        <x:v>558.545047</x:v>
      </x:c>
      <x:c r="L101" s="41" t="n">
        <x:f>IFERROR(I101/ABS(J101),"")</x:f>
        <x:v>0.28718617729451623</x:v>
      </x:c>
      <x:c r="M101" s="41" t="n">
        <x:v>6.802475</x:v>
      </x:c>
      <x:c r="N101" s="41" t="n">
        <x:v>-56.473669</x:v>
      </x:c>
      <x:c r="O101" s="41" t="n">
        <x:v>506.057416</x:v>
      </x:c>
      <x:c r="P101" s="41" t="n">
        <x:f>IFERROR(M101/ABS(N101),"")</x:f>
        <x:v>0.12045392340278087</x:v>
      </x:c>
      <x:c r="Q101" s="41" t="str">
        <x:f>IF(L101&gt;=MAX(H101,P101),"Weekly",IF(H101&gt;=MAX(L101,P101),"No weekly","SPY"))</x:f>
        <x:v>No weekly</x:v>
      </x:c>
      <x:c r="R101" s="41" t="n">
        <x:f>IFERROR(L101-P101,"")</x:f>
        <x:v>0.16673225389173535</x:v>
      </x:c>
      <x:c r="S101" s="41" t="n">
        <x:f>IFERROR(H101-P101,"")</x:f>
        <x:v>0.3037859250585772</x:v>
      </x:c>
      <x:c r="T101" s="41" t="n">
        <x:f>IFERROR(I101-M101,"")</x:f>
        <x:v>0.3244979999999993</x:v>
      </x:c>
      <x:c r="U101" s="41" t="n">
        <x:f>IFERROR(E101-M101,"")</x:f>
        <x:v>8.789445</x:v>
      </x:c>
      <x:c r="V101" s="41" t="str">
        <x:f>IF(AND(I101&gt;M101,J101&gt;N101),"Sí","No")</x:f>
        <x:v>Sí</x:v>
      </x:c>
      <x:c r="W101" s="41" t="str">
        <x:f>IF(AND(E101&gt;M101,F101&gt;N101),"Sí","No")</x:f>
        <x:v>Sí</x:v>
      </x:c>
      <x:c r="X101" s="41" t="str">
        <x:f>IF(L101&gt;=H101,"Weekly","No weekly")</x:f>
        <x:v>No weekly</x:v>
      </x:c>
      <x:c r="Y101" s="41" t="n">
        <x:f>IFERROR(I101-E101,"")</x:f>
        <x:v>-8.464947</x:v>
      </x:c>
      <x:c r="Z101" s="41" t="n">
        <x:f>IFERROR(J101-F101,"")</x:f>
        <x:v>11.936046000000001</x:v>
      </x:c>
      <x:c r="AA101" s="41" t="n">
        <x:v>8754</x:v>
      </x:c>
      <x:c r="AB101" s="41" t="n">
        <x:v>3837</x:v>
      </x:c>
    </x:row>
    <x:row r="102">
      <x:c r="A102" s="41" t="str">
        <x:v>HYP_DD_FIRST_AUTO002_EXPOSURE60_LOWVOL_VOLATILITY_12W_PCT_W5_V1</x:v>
      </x:c>
      <x:c r="B102" s="41" t="str">
        <x:v>dd_first_drawdown_control</x:v>
      </x:c>
      <x:c r="C102" s="41" t="str">
        <x:v>1999-01-04</x:v>
      </x:c>
      <x:c r="D102" s="41" t="str">
        <x:v>2026-05-22</x:v>
      </x:c>
      <x:c r="E102" s="41" t="n">
        <x:v>15.060053</x:v>
      </x:c>
      <x:c r="F102" s="41" t="n">
        <x:v>-38.024291</x:v>
      </x:c>
      <x:c r="G102" s="41" t="n">
        <x:v>4556.116145</x:v>
      </x:c>
      <x:c r="H102" s="41" t="n">
        <x:f>IFERROR(E102/ABS(F102),"")</x:f>
        <x:v>0.3960640055063749</x:v>
      </x:c>
      <x:c r="I102" s="41" t="n">
        <x:v>7.203994</x:v>
      </x:c>
      <x:c r="J102" s="41" t="n">
        <x:v>-23.847565</x:v>
      </x:c>
      <x:c r="K102" s="41" t="n">
        <x:v>571.631582</x:v>
      </x:c>
      <x:c r="L102" s="41" t="n">
        <x:f>IFERROR(I102/ABS(J102),"")</x:f>
        <x:v>0.3020850975770482</x:v>
      </x:c>
      <x:c r="M102" s="41" t="n">
        <x:v>6.802475</x:v>
      </x:c>
      <x:c r="N102" s="41" t="n">
        <x:v>-56.473669</x:v>
      </x:c>
      <x:c r="O102" s="41" t="n">
        <x:v>506.057416</x:v>
      </x:c>
      <x:c r="P102" s="41" t="n">
        <x:f>IFERROR(M102/ABS(N102),"")</x:f>
        <x:v>0.12045392340278087</x:v>
      </x:c>
      <x:c r="Q102" s="41" t="str">
        <x:f>IF(L102&gt;=MAX(H102,P102),"Weekly",IF(H102&gt;=MAX(L102,P102),"No weekly","SPY"))</x:f>
        <x:v>No weekly</x:v>
      </x:c>
      <x:c r="R102" s="41" t="n">
        <x:f>IFERROR(L102-P102,"")</x:f>
        <x:v>0.18163117417426733</x:v>
      </x:c>
      <x:c r="S102" s="41" t="n">
        <x:f>IFERROR(H102-P102,"")</x:f>
        <x:v>0.275610082103594</x:v>
      </x:c>
      <x:c r="T102" s="41" t="n">
        <x:f>IFERROR(I102-M102,"")</x:f>
        <x:v>0.4015189999999995</x:v>
      </x:c>
      <x:c r="U102" s="41" t="n">
        <x:f>IFERROR(E102-M102,"")</x:f>
        <x:v>8.257577999999999</x:v>
      </x:c>
      <x:c r="V102" s="41" t="str">
        <x:f>IF(AND(I102&gt;M102,J102&gt;N102),"Sí","No")</x:f>
        <x:v>Sí</x:v>
      </x:c>
      <x:c r="W102" s="41" t="str">
        <x:f>IF(AND(E102&gt;M102,F102&gt;N102),"Sí","No")</x:f>
        <x:v>Sí</x:v>
      </x:c>
      <x:c r="X102" s="41" t="str">
        <x:f>IF(L102&gt;=H102,"Weekly","No weekly")</x:f>
        <x:v>No weekly</x:v>
      </x:c>
      <x:c r="Y102" s="41" t="n">
        <x:f>IFERROR(I102-E102,"")</x:f>
        <x:v>-7.856059</x:v>
      </x:c>
      <x:c r="Z102" s="41" t="n">
        <x:f>IFERROR(J102-F102,"")</x:f>
        <x:v>14.176725999999999</x:v>
      </x:c>
      <x:c r="AA102" s="41" t="n">
        <x:v>8746</x:v>
      </x:c>
      <x:c r="AB102" s="41" t="n">
        <x:v>3845</x:v>
      </x:c>
    </x:row>
    <x:row r="103">
      <x:c r="A103" s="41" t="str">
        <x:v>HYP_DD_FIRST_AUTO002_EXPOSURE60_LOWVOL_WEEKLY_RANGE_PCT_W5_V1</x:v>
      </x:c>
      <x:c r="B103" s="41" t="str">
        <x:v>dd_first_drawdown_control</x:v>
      </x:c>
      <x:c r="C103" s="41" t="str">
        <x:v>1999-01-04</x:v>
      </x:c>
      <x:c r="D103" s="41" t="str">
        <x:v>2026-05-22</x:v>
      </x:c>
      <x:c r="E103" s="41" t="n">
        <x:v>15.319796</x:v>
      </x:c>
      <x:c r="F103" s="41" t="n">
        <x:v>-36.713943</x:v>
      </x:c>
      <x:c r="G103" s="41" t="n">
        <x:v>4852.625629</x:v>
      </x:c>
      <x:c r="H103" s="41" t="n">
        <x:f>IFERROR(E103/ABS(F103),"")</x:f>
        <x:v>0.41727460327538235</x:v>
      </x:c>
      <x:c r="I103" s="41" t="n">
        <x:v>7.167045</x:v>
      </x:c>
      <x:c r="J103" s="41" t="n">
        <x:v>-24.622786</x:v>
      </x:c>
      <x:c r="K103" s="41" t="n">
        <x:v>565.322644</x:v>
      </x:c>
      <x:c r="L103" s="41" t="n">
        <x:f>IFERROR(I103/ABS(J103),"")</x:f>
        <x:v>0.29107368272623574</x:v>
      </x:c>
      <x:c r="M103" s="41" t="n">
        <x:v>6.802475</x:v>
      </x:c>
      <x:c r="N103" s="41" t="n">
        <x:v>-56.473669</x:v>
      </x:c>
      <x:c r="O103" s="41" t="n">
        <x:v>506.057416</x:v>
      </x:c>
      <x:c r="P103" s="41" t="n">
        <x:f>IFERROR(M103/ABS(N103),"")</x:f>
        <x:v>0.12045392340278087</x:v>
      </x:c>
      <x:c r="Q103" s="41" t="str">
        <x:f>IF(L103&gt;=MAX(H103,P103),"Weekly",IF(H103&gt;=MAX(L103,P103),"No weekly","SPY"))</x:f>
        <x:v>No weekly</x:v>
      </x:c>
      <x:c r="R103" s="41" t="n">
        <x:f>IFERROR(L103-P103,"")</x:f>
        <x:v>0.17061975932345486</x:v>
      </x:c>
      <x:c r="S103" s="41" t="n">
        <x:f>IFERROR(H103-P103,"")</x:f>
        <x:v>0.29682067987260147</x:v>
      </x:c>
      <x:c r="T103" s="41" t="n">
        <x:f>IFERROR(I103-M103,"")</x:f>
        <x:v>0.3645699999999996</x:v>
      </x:c>
      <x:c r="U103" s="41" t="n">
        <x:f>IFERROR(E103-M103,"")</x:f>
        <x:v>8.517320999999999</x:v>
      </x:c>
      <x:c r="V103" s="41" t="str">
        <x:f>IF(AND(I103&gt;M103,J103&gt;N103),"Sí","No")</x:f>
        <x:v>Sí</x:v>
      </x:c>
      <x:c r="W103" s="41" t="str">
        <x:f>IF(AND(E103&gt;M103,F103&gt;N103),"Sí","No")</x:f>
        <x:v>Sí</x:v>
      </x:c>
      <x:c r="X103" s="41" t="str">
        <x:f>IF(L103&gt;=H103,"Weekly","No weekly")</x:f>
        <x:v>No weekly</x:v>
      </x:c>
      <x:c r="Y103" s="41" t="n">
        <x:f>IFERROR(I103-E103,"")</x:f>
        <x:v>-8.152751</x:v>
      </x:c>
      <x:c r="Z103" s="41" t="n">
        <x:f>IFERROR(J103-F103,"")</x:f>
        <x:v>12.091156999999999</x:v>
      </x:c>
      <x:c r="AA103" s="41" t="n">
        <x:v>8693</x:v>
      </x:c>
      <x:c r="AB103" s="41" t="n">
        <x:v>3835</x:v>
      </x:c>
    </x:row>
    <x:row r="104">
      <x:c r="A104" s="41" t="str">
        <x:v>HYP_DD_FIRST_AUTO002_EXPOSURE60_SOFT_SPY_TOPN_10_V1</x:v>
      </x:c>
      <x:c r="B104" s="41" t="str">
        <x:v>dd_first_drawdown_control</x:v>
      </x:c>
      <x:c r="C104" s="41" t="str">
        <x:v>1999-01-04</x:v>
      </x:c>
      <x:c r="D104" s="41" t="str">
        <x:v>2026-05-22</x:v>
      </x:c>
      <x:c r="E104" s="41" t="n">
        <x:v>15.78141</x:v>
      </x:c>
      <x:c r="F104" s="41" t="n">
        <x:v>-36.789786</x:v>
      </x:c>
      <x:c r="G104" s="41" t="n">
        <x:v>5425.051671</x:v>
      </x:c>
      <x:c r="H104" s="41" t="n">
        <x:f>IFERROR(E104/ABS(F104),"")</x:f>
        <x:v>0.428961723234813</x:v>
      </x:c>
      <x:c r="I104" s="41" t="n">
        <x:v>14.564852</x:v>
      </x:c>
      <x:c r="J104" s="41" t="n">
        <x:v>-42.760297</x:v>
      </x:c>
      <x:c r="K104" s="41" t="n">
        <x:v>4037.510659</x:v>
      </x:c>
      <x:c r="L104" s="41" t="n">
        <x:f>IFERROR(I104/ABS(J104),"")</x:f>
        <x:v>0.34061624969536575</x:v>
      </x:c>
      <x:c r="M104" s="41" t="n">
        <x:v>6.802475</x:v>
      </x:c>
      <x:c r="N104" s="41" t="n">
        <x:v>-56.473669</x:v>
      </x:c>
      <x:c r="O104" s="41" t="n">
        <x:v>506.057416</x:v>
      </x:c>
      <x:c r="P104" s="41" t="n">
        <x:f>IFERROR(M104/ABS(N104),"")</x:f>
        <x:v>0.12045392340278087</x:v>
      </x:c>
      <x:c r="Q104" s="41" t="str">
        <x:f>IF(L104&gt;=MAX(H104,P104),"Weekly",IF(H104&gt;=MAX(L104,P104),"No weekly","SPY"))</x:f>
        <x:v>No weekly</x:v>
      </x:c>
      <x:c r="R104" s="41" t="n">
        <x:f>IFERROR(L104-P104,"")</x:f>
        <x:v>0.22016232629258486</x:v>
      </x:c>
      <x:c r="S104" s="41" t="n">
        <x:f>IFERROR(H104-P104,"")</x:f>
        <x:v>0.30850779983203214</x:v>
      </x:c>
      <x:c r="T104" s="41" t="n">
        <x:f>IFERROR(I104-M104,"")</x:f>
        <x:v>7.762377</x:v>
      </x:c>
      <x:c r="U104" s="41" t="n">
        <x:f>IFERROR(E104-M104,"")</x:f>
        <x:v>8.978935</x:v>
      </x:c>
      <x:c r="V104" s="41" t="str">
        <x:f>IF(AND(I104&gt;M104,J104&gt;N104),"Sí","No")</x:f>
        <x:v>Sí</x:v>
      </x:c>
      <x:c r="W104" s="41" t="str">
        <x:f>IF(AND(E104&gt;M104,F104&gt;N104),"Sí","No")</x:f>
        <x:v>Sí</x:v>
      </x:c>
      <x:c r="X104" s="41" t="str">
        <x:f>IF(L104&gt;=H104,"Weekly","No weekly")</x:f>
        <x:v>No weekly</x:v>
      </x:c>
      <x:c r="Y104" s="41" t="n">
        <x:f>IFERROR(I104-E104,"")</x:f>
        <x:v>-1.2165579999999991</x:v>
      </x:c>
      <x:c r="Z104" s="41" t="n">
        <x:f>IFERROR(J104-F104,"")</x:f>
        <x:v>-5.970511000000002</x:v>
      </x:c>
      <x:c r="AA104" s="41" t="n">
        <x:v>12435</x:v>
      </x:c>
      <x:c r="AB104" s="41" t="n">
        <x:v>3837</x:v>
      </x:c>
    </x:row>
    <x:row r="105">
      <x:c r="A105" s="41" t="str">
        <x:v>HYP_DD_FIRST_AUTO002_EXPOSURE60_SOFT_SPY_TOPN_5_V1</x:v>
      </x:c>
      <x:c r="B105" s="41" t="str">
        <x:v>dd_first_drawdown_control</x:v>
      </x:c>
      <x:c r="C105" s="41" t="str">
        <x:v>1999-01-04</x:v>
      </x:c>
      <x:c r="D105" s="41" t="str">
        <x:v>2026-05-22</x:v>
      </x:c>
      <x:c r="E105" s="41" t="n">
        <x:v>15.78141</x:v>
      </x:c>
      <x:c r="F105" s="41" t="n">
        <x:v>-36.789786</x:v>
      </x:c>
      <x:c r="G105" s="41" t="n">
        <x:v>5425.051671</x:v>
      </x:c>
      <x:c r="H105" s="41" t="n">
        <x:f>IFERROR(E105/ABS(F105),"")</x:f>
        <x:v>0.428961723234813</x:v>
      </x:c>
      <x:c r="I105" s="41" t="n">
        <x:v>15.794516</x:v>
      </x:c>
      <x:c r="J105" s="41" t="n">
        <x:v>-46.16049</x:v>
      </x:c>
      <x:c r="K105" s="41" t="n">
        <x:v>5442.199328</x:v>
      </x:c>
      <x:c r="L105" s="41" t="n">
        <x:f>IFERROR(I105/ABS(J105),"")</x:f>
        <x:v>0.34216525864435143</x:v>
      </x:c>
      <x:c r="M105" s="41" t="n">
        <x:v>6.802475</x:v>
      </x:c>
      <x:c r="N105" s="41" t="n">
        <x:v>-56.473669</x:v>
      </x:c>
      <x:c r="O105" s="41" t="n">
        <x:v>506.057416</x:v>
      </x:c>
      <x:c r="P105" s="41" t="n">
        <x:f>IFERROR(M105/ABS(N105),"")</x:f>
        <x:v>0.12045392340278087</x:v>
      </x:c>
      <x:c r="Q105" s="41" t="str">
        <x:f>IF(L105&gt;=MAX(H105,P105),"Weekly",IF(H105&gt;=MAX(L105,P105),"No weekly","SPY"))</x:f>
        <x:v>No weekly</x:v>
      </x:c>
      <x:c r="R105" s="41" t="n">
        <x:f>IFERROR(L105-P105,"")</x:f>
        <x:v>0.22171133524157055</x:v>
      </x:c>
      <x:c r="S105" s="41" t="n">
        <x:f>IFERROR(H105-P105,"")</x:f>
        <x:v>0.30850779983203214</x:v>
      </x:c>
      <x:c r="T105" s="41" t="n">
        <x:f>IFERROR(I105-M105,"")</x:f>
        <x:v>8.992041</x:v>
      </x:c>
      <x:c r="U105" s="41" t="n">
        <x:f>IFERROR(E105-M105,"")</x:f>
        <x:v>8.978935</x:v>
      </x:c>
      <x:c r="V105" s="41" t="str">
        <x:f>IF(AND(I105&gt;M105,J105&gt;N105),"Sí","No")</x:f>
        <x:v>Sí</x:v>
      </x:c>
      <x:c r="W105" s="41" t="str">
        <x:f>IF(AND(E105&gt;M105,F105&gt;N105),"Sí","No")</x:f>
        <x:v>Sí</x:v>
      </x:c>
      <x:c r="X105" s="41" t="str">
        <x:f>IF(L105&gt;=H105,"Weekly","No weekly")</x:f>
        <x:v>No weekly</x:v>
      </x:c>
      <x:c r="Y105" s="41" t="n">
        <x:f>IFERROR(I105-E105,"")</x:f>
        <x:v>0.013106000000000506</x:v>
      </x:c>
      <x:c r="Z105" s="41" t="n">
        <x:f>IFERROR(J105-F105,"")</x:f>
        <x:v>-9.370704000000003</x:v>
      </x:c>
      <x:c r="AA105" s="41" t="n">
        <x:v>10852</x:v>
      </x:c>
      <x:c r="AB105" s="41" t="n">
        <x:v>3837</x:v>
      </x:c>
    </x:row>
    <x:row r="106">
      <x:c r="A106" s="41" t="str">
        <x:v>HYP_DD_FIRST_AUTO002_EXPOSURE60_SOFT_SPY_TOPN_8_V1</x:v>
      </x:c>
      <x:c r="B106" s="41" t="str">
        <x:v>dd_first_drawdown_control</x:v>
      </x:c>
      <x:c r="C106" s="41" t="str">
        <x:v>1999-01-04</x:v>
      </x:c>
      <x:c r="D106" s="41" t="str">
        <x:v>2026-05-22</x:v>
      </x:c>
      <x:c r="E106" s="41" t="n">
        <x:v>15.78141</x:v>
      </x:c>
      <x:c r="F106" s="41" t="n">
        <x:v>-36.789786</x:v>
      </x:c>
      <x:c r="G106" s="41" t="n">
        <x:v>5425.051671</x:v>
      </x:c>
      <x:c r="H106" s="41" t="n">
        <x:f>IFERROR(E106/ABS(F106),"")</x:f>
        <x:v>0.428961723234813</x:v>
      </x:c>
      <x:c r="I106" s="41" t="n">
        <x:v>15.620583</x:v>
      </x:c>
      <x:c r="J106" s="41" t="n">
        <x:v>-43.272273</x:v>
      </x:c>
      <x:c r="K106" s="41" t="n">
        <x:v>5218.736367</x:v>
      </x:c>
      <x:c r="L106" s="41" t="n">
        <x:f>IFERROR(I106/ABS(J106),"")</x:f>
        <x:v>0.36098364881364103</x:v>
      </x:c>
      <x:c r="M106" s="41" t="n">
        <x:v>6.802475</x:v>
      </x:c>
      <x:c r="N106" s="41" t="n">
        <x:v>-56.473669</x:v>
      </x:c>
      <x:c r="O106" s="41" t="n">
        <x:v>506.057416</x:v>
      </x:c>
      <x:c r="P106" s="41" t="n">
        <x:f>IFERROR(M106/ABS(N106),"")</x:f>
        <x:v>0.12045392340278087</x:v>
      </x:c>
      <x:c r="Q106" s="41" t="str">
        <x:f>IF(L106&gt;=MAX(H106,P106),"Weekly",IF(H106&gt;=MAX(L106,P106),"No weekly","SPY"))</x:f>
        <x:v>No weekly</x:v>
      </x:c>
      <x:c r="R106" s="41" t="n">
        <x:f>IFERROR(L106-P106,"")</x:f>
        <x:v>0.24052972541086015</x:v>
      </x:c>
      <x:c r="S106" s="41" t="n">
        <x:f>IFERROR(H106-P106,"")</x:f>
        <x:v>0.30850779983203214</x:v>
      </x:c>
      <x:c r="T106" s="41" t="n">
        <x:f>IFERROR(I106-M106,"")</x:f>
        <x:v>8.818107999999999</x:v>
      </x:c>
      <x:c r="U106" s="41" t="n">
        <x:f>IFERROR(E106-M106,"")</x:f>
        <x:v>8.978935</x:v>
      </x:c>
      <x:c r="V106" s="41" t="str">
        <x:f>IF(AND(I106&gt;M106,J106&gt;N106),"Sí","No")</x:f>
        <x:v>Sí</x:v>
      </x:c>
      <x:c r="W106" s="41" t="str">
        <x:f>IF(AND(E106&gt;M106,F106&gt;N106),"Sí","No")</x:f>
        <x:v>Sí</x:v>
      </x:c>
      <x:c r="X106" s="41" t="str">
        <x:f>IF(L106&gt;=H106,"Weekly","No weekly")</x:f>
        <x:v>No weekly</x:v>
      </x:c>
      <x:c r="Y106" s="41" t="n">
        <x:f>IFERROR(I106-E106,"")</x:f>
        <x:v>-0.1608269999999994</x:v>
      </x:c>
      <x:c r="Z106" s="41" t="n">
        <x:f>IFERROR(J106-F106,"")</x:f>
        <x:v>-6.482486999999999</x:v>
      </x:c>
      <x:c r="AA106" s="41" t="n">
        <x:v>11682</x:v>
      </x:c>
      <x:c r="AB106" s="41" t="n">
        <x:v>3837</x:v>
      </x:c>
    </x:row>
    <x:row r="107">
      <x:c r="A107" s="41" t="str">
        <x:v>HYP_DD_FIRST_AUTO002_EXPOSURE_50_V1</x:v>
      </x:c>
      <x:c r="B107" s="41" t="str">
        <x:v>dd_first_drawdown_control</x:v>
      </x:c>
      <x:c r="C107" s="41" t="str">
        <x:v>1999-01-04</x:v>
      </x:c>
      <x:c r="D107" s="41" t="str">
        <x:v>2026-05-22</x:v>
      </x:c>
      <x:c r="E107" s="41" t="n">
        <x:v>13.183145</x:v>
      </x:c>
      <x:c r="F107" s="41" t="n">
        <x:v>-31.549424</x:v>
      </x:c>
      <x:c r="G107" s="41" t="n">
        <x:v>2868.002188</x:v>
      </x:c>
      <x:c r="H107" s="41" t="n">
        <x:f>IFERROR(E107/ABS(F107),"")</x:f>
        <x:v>0.41785691554939325</x:v>
      </x:c>
      <x:c r="I107" s="41" t="n">
        <x:v>6.064376</x:v>
      </x:c>
      <x:c r="J107" s="41" t="n">
        <x:v>-20.960618</x:v>
      </x:c>
      <x:c r="K107" s="41" t="n">
        <x:v>401.251775</x:v>
      </x:c>
      <x:c r="L107" s="41" t="n">
        <x:f>IFERROR(I107/ABS(J107),"")</x:f>
        <x:v>0.2893223854372996</x:v>
      </x:c>
      <x:c r="M107" s="41" t="n">
        <x:v>6.802475</x:v>
      </x:c>
      <x:c r="N107" s="41" t="n">
        <x:v>-56.473669</x:v>
      </x:c>
      <x:c r="O107" s="41" t="n">
        <x:v>506.057416</x:v>
      </x:c>
      <x:c r="P107" s="41" t="n">
        <x:f>IFERROR(M107/ABS(N107),"")</x:f>
        <x:v>0.12045392340278087</x:v>
      </x:c>
      <x:c r="Q107" s="41" t="str">
        <x:f>IF(L107&gt;=MAX(H107,P107),"Weekly",IF(H107&gt;=MAX(L107,P107),"No weekly","SPY"))</x:f>
        <x:v>No weekly</x:v>
      </x:c>
      <x:c r="R107" s="41" t="n">
        <x:f>IFERROR(L107-P107,"")</x:f>
        <x:v>0.16886846203451872</x:v>
      </x:c>
      <x:c r="S107" s="41" t="n">
        <x:f>IFERROR(H107-P107,"")</x:f>
        <x:v>0.29740299214661237</x:v>
      </x:c>
      <x:c r="T107" s="41" t="n">
        <x:f>IFERROR(I107-M107,"")</x:f>
        <x:v>-0.7380990000000001</x:v>
      </x:c>
      <x:c r="U107" s="41" t="n">
        <x:f>IFERROR(E107-M107,"")</x:f>
        <x:v>6.380669999999999</x:v>
      </x:c>
      <x:c r="V107" s="41" t="str">
        <x:f>IF(AND(I107&gt;M107,J107&gt;N107),"Sí","No")</x:f>
        <x:v>No</x:v>
      </x:c>
      <x:c r="W107" s="41" t="str">
        <x:f>IF(AND(E107&gt;M107,F107&gt;N107),"Sí","No")</x:f>
        <x:v>Sí</x:v>
      </x:c>
      <x:c r="X107" s="41" t="str">
        <x:f>IF(L107&gt;=H107,"Weekly","No weekly")</x:f>
        <x:v>No weekly</x:v>
      </x:c>
      <x:c r="Y107" s="41" t="n">
        <x:f>IFERROR(I107-E107,"")</x:f>
        <x:v>-7.1187689999999995</x:v>
      </x:c>
      <x:c r="Z107" s="41" t="n">
        <x:f>IFERROR(J107-F107,"")</x:f>
        <x:v>10.588805999999998</x:v>
      </x:c>
      <x:c r="AA107" s="41" t="n">
        <x:v>8760</x:v>
      </x:c>
      <x:c r="AB107" s="41" t="n">
        <x:v>3847</x:v>
      </x:c>
    </x:row>
    <x:row r="108">
      <x:c r="A108" s="41" t="str">
        <x:v>HYP_DD_FIRST_AUTO002_EXPOSURE_55_V1</x:v>
      </x:c>
      <x:c r="B108" s="41" t="str">
        <x:v>dd_first_drawdown_control</x:v>
      </x:c>
      <x:c r="C108" s="41" t="str">
        <x:v>1999-01-04</x:v>
      </x:c>
      <x:c r="D108" s="41" t="str">
        <x:v>2026-05-22</x:v>
      </x:c>
      <x:c r="E108" s="41" t="n">
        <x:v>14.484545</x:v>
      </x:c>
      <x:c r="F108" s="41" t="n">
        <x:v>-34.210675</x:v>
      </x:c>
      <x:c r="G108" s="41" t="n">
        <x:v>3958.835741</x:v>
      </x:c>
      <x:c r="H108" s="41" t="n">
        <x:f>IFERROR(E108/ABS(F108),"")</x:f>
        <x:v>0.42339255217852323</x:v>
      </x:c>
      <x:c r="I108" s="41" t="n">
        <x:v>6.629276</x:v>
      </x:c>
      <x:c r="J108" s="41" t="n">
        <x:v>-22.875825</x:v>
      </x:c>
      <x:c r="K108" s="41" t="n">
        <x:v>479.716781</x:v>
      </x:c>
      <x:c r="L108" s="41" t="n">
        <x:f>IFERROR(I108/ABS(J108),"")</x:f>
        <x:v>0.28979396371496985</x:v>
      </x:c>
      <x:c r="M108" s="41" t="n">
        <x:v>6.802475</x:v>
      </x:c>
      <x:c r="N108" s="41" t="n">
        <x:v>-56.473669</x:v>
      </x:c>
      <x:c r="O108" s="41" t="n">
        <x:v>506.057416</x:v>
      </x:c>
      <x:c r="P108" s="41" t="n">
        <x:f>IFERROR(M108/ABS(N108),"")</x:f>
        <x:v>0.12045392340278087</x:v>
      </x:c>
      <x:c r="Q108" s="41" t="str">
        <x:f>IF(L108&gt;=MAX(H108,P108),"Weekly",IF(H108&gt;=MAX(L108,P108),"No weekly","SPY"))</x:f>
        <x:v>No weekly</x:v>
      </x:c>
      <x:c r="R108" s="41" t="n">
        <x:f>IFERROR(L108-P108,"")</x:f>
        <x:v>0.16934004031218897</x:v>
      </x:c>
      <x:c r="S108" s="41" t="n">
        <x:f>IFERROR(H108-P108,"")</x:f>
        <x:v>0.30293862877574235</x:v>
      </x:c>
      <x:c r="T108" s="41" t="n">
        <x:f>IFERROR(I108-M108,"")</x:f>
        <x:v>-0.17319900000000032</x:v>
      </x:c>
      <x:c r="U108" s="41" t="n">
        <x:f>IFERROR(E108-M108,"")</x:f>
        <x:v>7.68207</x:v>
      </x:c>
      <x:c r="V108" s="41" t="str">
        <x:f>IF(AND(I108&gt;M108,J108&gt;N108),"Sí","No")</x:f>
        <x:v>No</x:v>
      </x:c>
      <x:c r="W108" s="41" t="str">
        <x:f>IF(AND(E108&gt;M108,F108&gt;N108),"Sí","No")</x:f>
        <x:v>Sí</x:v>
      </x:c>
      <x:c r="X108" s="41" t="str">
        <x:f>IF(L108&gt;=H108,"Weekly","No weekly")</x:f>
        <x:v>No weekly</x:v>
      </x:c>
      <x:c r="Y108" s="41" t="n">
        <x:f>IFERROR(I108-E108,"")</x:f>
        <x:v>-7.855269000000001</x:v>
      </x:c>
      <x:c r="Z108" s="41" t="n">
        <x:f>IFERROR(J108-F108,"")</x:f>
        <x:v>11.334850000000003</x:v>
      </x:c>
      <x:c r="AA108" s="41" t="n">
        <x:v>8749</x:v>
      </x:c>
      <x:c r="AB108" s="41" t="n">
        <x:v>3842</x:v>
      </x:c>
    </x:row>
    <x:row r="109">
      <x:c r="A109" s="41" t="str">
        <x:v>HYP_DD_FIRST_AUTO002_EXPOSURE_60_V1</x:v>
      </x:c>
      <x:c r="B109" s="41" t="str">
        <x:v>dd_first_drawdown_control</x:v>
      </x:c>
      <x:c r="C109" s="41" t="str">
        <x:v>1999-01-04</x:v>
      </x:c>
      <x:c r="D109" s="41" t="str">
        <x:v>2026-05-22</x:v>
      </x:c>
      <x:c r="E109" s="41" t="n">
        <x:v>15.78141</x:v>
      </x:c>
      <x:c r="F109" s="41" t="n">
        <x:v>-36.789786</x:v>
      </x:c>
      <x:c r="G109" s="41" t="n">
        <x:v>5425.051671</x:v>
      </x:c>
      <x:c r="H109" s="41" t="n">
        <x:f>IFERROR(E109/ABS(F109),"")</x:f>
        <x:v>0.428961723234813</x:v>
      </x:c>
      <x:c r="I109" s="41" t="n">
        <x:v>7.185788</x:v>
      </x:c>
      <x:c r="J109" s="41" t="n">
        <x:v>-24.758842</x:v>
      </x:c>
      <x:c r="K109" s="41" t="n">
        <x:v>568.515879</x:v>
      </x:c>
      <x:c r="L109" s="41" t="n">
        <x:f>IFERROR(I109/ABS(J109),"")</x:f>
        <x:v>0.2902311828638835</x:v>
      </x:c>
      <x:c r="M109" s="41" t="n">
        <x:v>6.802475</x:v>
      </x:c>
      <x:c r="N109" s="41" t="n">
        <x:v>-56.473669</x:v>
      </x:c>
      <x:c r="O109" s="41" t="n">
        <x:v>506.057416</x:v>
      </x:c>
      <x:c r="P109" s="41" t="n">
        <x:f>IFERROR(M109/ABS(N109),"")</x:f>
        <x:v>0.12045392340278087</x:v>
      </x:c>
      <x:c r="Q109" s="41" t="str">
        <x:f>IF(L109&gt;=MAX(H109,P109),"Weekly",IF(H109&gt;=MAX(L109,P109),"No weekly","SPY"))</x:f>
        <x:v>No weekly</x:v>
      </x:c>
      <x:c r="R109" s="41" t="n">
        <x:f>IFERROR(L109-P109,"")</x:f>
        <x:v>0.16977725946110261</x:v>
      </x:c>
      <x:c r="S109" s="41" t="n">
        <x:f>IFERROR(H109-P109,"")</x:f>
        <x:v>0.30850779983203214</x:v>
      </x:c>
      <x:c r="T109" s="41" t="n">
        <x:f>IFERROR(I109-M109,"")</x:f>
        <x:v>0.38331299999999935</x:v>
      </x:c>
      <x:c r="U109" s="41" t="n">
        <x:f>IFERROR(E109-M109,"")</x:f>
        <x:v>8.978935</x:v>
      </x:c>
      <x:c r="V109" s="41" t="str">
        <x:f>IF(AND(I109&gt;M109,J109&gt;N109),"Sí","No")</x:f>
        <x:v>Sí</x:v>
      </x:c>
      <x:c r="W109" s="41" t="str">
        <x:f>IF(AND(E109&gt;M109,F109&gt;N109),"Sí","No")</x:f>
        <x:v>Sí</x:v>
      </x:c>
      <x:c r="X109" s="41" t="str">
        <x:f>IF(L109&gt;=H109,"Weekly","No weekly")</x:f>
        <x:v>No weekly</x:v>
      </x:c>
      <x:c r="Y109" s="41" t="n">
        <x:f>IFERROR(I109-E109,"")</x:f>
        <x:v>-8.595621999999999</x:v>
      </x:c>
      <x:c r="Z109" s="41" t="n">
        <x:f>IFERROR(J109-F109,"")</x:f>
        <x:v>12.030943999999998</x:v>
      </x:c>
      <x:c r="AA109" s="41" t="n">
        <x:v>8712</x:v>
      </x:c>
      <x:c r="AB109" s="41" t="n">
        <x:v>3837</x:v>
      </x:c>
    </x:row>
    <x:row r="110">
      <x:c r="A110" s="41" t="str">
        <x:v>HYP_DD_FIRST_AUTO002_EXPOSURE_65_V1</x:v>
      </x:c>
      <x:c r="B110" s="41" t="str">
        <x:v>dd_first_drawdown_control</x:v>
      </x:c>
      <x:c r="C110" s="41" t="str">
        <x:v>1999-01-04</x:v>
      </x:c>
      <x:c r="D110" s="41" t="str">
        <x:v>2026-05-22</x:v>
      </x:c>
      <x:c r="E110" s="41" t="n">
        <x:v>17.073327</x:v>
      </x:c>
      <x:c r="F110" s="41" t="n">
        <x:v>-39.288674</x:v>
      </x:c>
      <x:c r="G110" s="41" t="n">
        <x:v>7386.465298</x:v>
      </x:c>
      <x:c r="H110" s="41" t="n">
        <x:f>IFERROR(E110/ABS(F110),"")</x:f>
        <x:v>0.43456103914324007</x:v>
      </x:c>
      <x:c r="I110" s="41" t="n">
        <x:v>7.733764</x:v>
      </x:c>
      <x:c r="J110" s="41" t="n">
        <x:v>-26.609869</x:v>
      </x:c>
      <x:c r="K110" s="41" t="n">
        <x:v>668.678763</x:v>
      </x:c>
      <x:c r="L110" s="41" t="n">
        <x:f>IFERROR(I110/ABS(J110),"")</x:f>
        <x:v>0.2906351774974916</x:v>
      </x:c>
      <x:c r="M110" s="41" t="n">
        <x:v>6.802475</x:v>
      </x:c>
      <x:c r="N110" s="41" t="n">
        <x:v>-56.473669</x:v>
      </x:c>
      <x:c r="O110" s="41" t="n">
        <x:v>506.057416</x:v>
      </x:c>
      <x:c r="P110" s="41" t="n">
        <x:f>IFERROR(M110/ABS(N110),"")</x:f>
        <x:v>0.12045392340278087</x:v>
      </x:c>
      <x:c r="Q110" s="41" t="str">
        <x:f>IF(L110&gt;=MAX(H110,P110),"Weekly",IF(H110&gt;=MAX(L110,P110),"No weekly","SPY"))</x:f>
        <x:v>No weekly</x:v>
      </x:c>
      <x:c r="R110" s="41" t="n">
        <x:f>IFERROR(L110-P110,"")</x:f>
        <x:v>0.17018125409471074</x:v>
      </x:c>
      <x:c r="S110" s="41" t="n">
        <x:f>IFERROR(H110-P110,"")</x:f>
        <x:v>0.3141071157404592</x:v>
      </x:c>
      <x:c r="T110" s="41" t="n">
        <x:f>IFERROR(I110-M110,"")</x:f>
        <x:v>0.9312889999999996</x:v>
      </x:c>
      <x:c r="U110" s="41" t="n">
        <x:f>IFERROR(E110-M110,"")</x:f>
        <x:v>10.270851999999998</x:v>
      </x:c>
      <x:c r="V110" s="41" t="str">
        <x:f>IF(AND(I110&gt;M110,J110&gt;N110),"Sí","No")</x:f>
        <x:v>Sí</x:v>
      </x:c>
      <x:c r="W110" s="41" t="str">
        <x:f>IF(AND(E110&gt;M110,F110&gt;N110),"Sí","No")</x:f>
        <x:v>Sí</x:v>
      </x:c>
      <x:c r="X110" s="41" t="str">
        <x:f>IF(L110&gt;=H110,"Weekly","No weekly")</x:f>
        <x:v>No weekly</x:v>
      </x:c>
      <x:c r="Y110" s="41" t="n">
        <x:f>IFERROR(I110-E110,"")</x:f>
        <x:v>-9.339562999999998</x:v>
      </x:c>
      <x:c r="Z110" s="41" t="n">
        <x:f>IFERROR(J110-F110,"")</x:f>
        <x:v>12.678805</x:v>
      </x:c>
      <x:c r="AA110" s="41" t="n">
        <x:v>8701</x:v>
      </x:c>
      <x:c r="AB110" s="41" t="n">
        <x:v>3822</x:v>
      </x:c>
    </x:row>
    <x:row r="111">
      <x:c r="A111" s="41" t="str">
        <x:v>HYP_DD_FIRST_AUTO002_EXPOSURE_70_V1</x:v>
      </x:c>
      <x:c r="B111" s="41" t="str">
        <x:v>dd_first_drawdown_control</x:v>
      </x:c>
      <x:c r="C111" s="41" t="str">
        <x:v>1999-01-04</x:v>
      </x:c>
      <x:c r="D111" s="41" t="str">
        <x:v>2026-05-22</x:v>
      </x:c>
      <x:c r="E111" s="41" t="n">
        <x:v>18.359931</x:v>
      </x:c>
      <x:c r="F111" s="41" t="n">
        <x:v>-41.709045</x:v>
      </x:c>
      <x:c r="G111" s="41" t="n">
        <x:v>9998.003243</x:v>
      </x:c>
      <x:c r="H111" s="41" t="n">
        <x:f>IFERROR(E111/ABS(F111),"")</x:f>
        <x:v>0.44019063490904664</x:v>
      </x:c>
      <x:c r="I111" s="41" t="n">
        <x:v>8.272994</x:v>
      </x:c>
      <x:c r="J111" s="41" t="n">
        <x:v>-28.42914</x:v>
      </x:c>
      <x:c r="K111" s="41" t="n">
        <x:v>781.272349</x:v>
      </x:c>
      <x:c r="L111" s="41" t="n">
        <x:f>IFERROR(I111/ABS(J111),"")</x:f>
        <x:v>0.2910040191155976</x:v>
      </x:c>
      <x:c r="M111" s="41" t="n">
        <x:v>6.802475</x:v>
      </x:c>
      <x:c r="N111" s="41" t="n">
        <x:v>-56.473669</x:v>
      </x:c>
      <x:c r="O111" s="41" t="n">
        <x:v>506.057416</x:v>
      </x:c>
      <x:c r="P111" s="41" t="n">
        <x:f>IFERROR(M111/ABS(N111),"")</x:f>
        <x:v>0.12045392340278087</x:v>
      </x:c>
      <x:c r="Q111" s="41" t="str">
        <x:f>IF(L111&gt;=MAX(H111,P111),"Weekly",IF(H111&gt;=MAX(L111,P111),"No weekly","SPY"))</x:f>
        <x:v>No weekly</x:v>
      </x:c>
      <x:c r="R111" s="41" t="n">
        <x:f>IFERROR(L111-P111,"")</x:f>
        <x:v>0.1705500957128167</x:v>
      </x:c>
      <x:c r="S111" s="41" t="n">
        <x:f>IFERROR(H111-P111,"")</x:f>
        <x:v>0.31973671150626576</x:v>
      </x:c>
      <x:c r="T111" s="41" t="n">
        <x:f>IFERROR(I111-M111,"")</x:f>
        <x:v>1.4705190000000004</x:v>
      </x:c>
      <x:c r="U111" s="41" t="n">
        <x:f>IFERROR(E111-M111,"")</x:f>
        <x:v>11.557455999999998</x:v>
      </x:c>
      <x:c r="V111" s="41" t="str">
        <x:f>IF(AND(I111&gt;M111,J111&gt;N111),"Sí","No")</x:f>
        <x:v>Sí</x:v>
      </x:c>
      <x:c r="W111" s="41" t="str">
        <x:f>IF(AND(E111&gt;M111,F111&gt;N111),"Sí","No")</x:f>
        <x:v>Sí</x:v>
      </x:c>
      <x:c r="X111" s="41" t="str">
        <x:f>IF(L111&gt;=H111,"Weekly","No weekly")</x:f>
        <x:v>No weekly</x:v>
      </x:c>
      <x:c r="Y111" s="41" t="n">
        <x:f>IFERROR(I111-E111,"")</x:f>
        <x:v>-10.086936999999999</x:v>
      </x:c>
      <x:c r="Z111" s="41" t="n">
        <x:f>IFERROR(J111-F111,"")</x:f>
        <x:v>13.279905000000003</x:v>
      </x:c>
      <x:c r="AA111" s="41" t="n">
        <x:v>8687</x:v>
      </x:c>
      <x:c r="AB111" s="41" t="n">
        <x:v>3816</x:v>
      </x:c>
    </x:row>
    <x:row r="112">
      <x:c r="A112" s="41" t="str">
        <x:v>HYP_DD_FIRST_AUTO002_EXPOSURE_75_V1</x:v>
      </x:c>
      <x:c r="B112" s="41" t="str">
        <x:v>dd_first_drawdown_control</x:v>
      </x:c>
      <x:c r="C112" s="41" t="str">
        <x:v>1999-01-04</x:v>
      </x:c>
      <x:c r="D112" s="41" t="str">
        <x:v>2026-05-22</x:v>
      </x:c>
      <x:c r="E112" s="41" t="n">
        <x:v>19.640769</x:v>
      </x:c>
      <x:c r="F112" s="41" t="n">
        <x:v>-44.052781</x:v>
      </x:c>
      <x:c r="G112" s="41" t="n">
        <x:v>13458.641668</x:v>
      </x:c>
      <x:c r="H112" s="41" t="n">
        <x:f>IFERROR(E112/ABS(F112),"")</x:f>
        <x:v>0.4458462906121636</x:v>
      </x:c>
      <x:c r="I112" s="41" t="n">
        <x:v>8.803245</x:v>
      </x:c>
      <x:c r="J112" s="41" t="n">
        <x:v>-30.21689</x:v>
      </x:c>
      <x:c r="K112" s="41" t="n">
        <x:v>907.393438</x:v>
      </x:c>
      <x:c r="L112" s="41" t="n">
        <x:f>IFERROR(I112/ABS(J112),"")</x:f>
        <x:v>0.29133524330266947</x:v>
      </x:c>
      <x:c r="M112" s="41" t="n">
        <x:v>6.802475</x:v>
      </x:c>
      <x:c r="N112" s="41" t="n">
        <x:v>-56.473669</x:v>
      </x:c>
      <x:c r="O112" s="41" t="n">
        <x:v>506.057416</x:v>
      </x:c>
      <x:c r="P112" s="41" t="n">
        <x:f>IFERROR(M112/ABS(N112),"")</x:f>
        <x:v>0.12045392340278087</x:v>
      </x:c>
      <x:c r="Q112" s="41" t="str">
        <x:f>IF(L112&gt;=MAX(H112,P112),"Weekly",IF(H112&gt;=MAX(L112,P112),"No weekly","SPY"))</x:f>
        <x:v>No weekly</x:v>
      </x:c>
      <x:c r="R112" s="41" t="n">
        <x:f>IFERROR(L112-P112,"")</x:f>
        <x:v>0.17088131989988858</x:v>
      </x:c>
      <x:c r="S112" s="41" t="n">
        <x:f>IFERROR(H112-P112,"")</x:f>
        <x:v>0.3253923672093827</x:v>
      </x:c>
      <x:c r="T112" s="41" t="n">
        <x:f>IFERROR(I112-M112,"")</x:f>
        <x:v>2.00077</x:v>
      </x:c>
      <x:c r="U112" s="41" t="n">
        <x:f>IFERROR(E112-M112,"")</x:f>
        <x:v>12.838293999999998</x:v>
      </x:c>
      <x:c r="V112" s="41" t="str">
        <x:f>IF(AND(I112&gt;M112,J112&gt;N112),"Sí","No")</x:f>
        <x:v>Sí</x:v>
      </x:c>
      <x:c r="W112" s="41" t="str">
        <x:f>IF(AND(E112&gt;M112,F112&gt;N112),"Sí","No")</x:f>
        <x:v>Sí</x:v>
      </x:c>
      <x:c r="X112" s="41" t="str">
        <x:f>IF(L112&gt;=H112,"Weekly","No weekly")</x:f>
        <x:v>No weekly</x:v>
      </x:c>
      <x:c r="Y112" s="41" t="n">
        <x:f>IFERROR(I112-E112,"")</x:f>
        <x:v>-10.837523999999998</x:v>
      </x:c>
      <x:c r="Z112" s="41" t="n">
        <x:f>IFERROR(J112-F112,"")</x:f>
        <x:v>13.835891000000004</x:v>
      </x:c>
      <x:c r="AA112" s="41" t="n">
        <x:v>8657</x:v>
      </x:c>
      <x:c r="AB112" s="41" t="n">
        <x:v>3796</x:v>
      </x:c>
    </x:row>
    <x:row r="113">
      <x:c r="A113" s="41" t="str">
        <x:v>HYP_DD_FIRST_AUTO002_EXPOSURE_85_V1</x:v>
      </x:c>
      <x:c r="B113" s="41" t="str">
        <x:v>dd_first_drawdown_control</x:v>
      </x:c>
      <x:c r="C113" s="41" t="str">
        <x:v>1999-01-04</x:v>
      </x:c>
      <x:c r="D113" s="41" t="str">
        <x:v>2026-05-22</x:v>
      </x:c>
      <x:c r="E113" s="41" t="n">
        <x:v>22.183311</x:v>
      </x:c>
      <x:c r="F113" s="41" t="n">
        <x:v>-48.517761</x:v>
      </x:c>
      <x:c r="G113" s="41" t="n">
        <x:v>24013.246542</x:v>
      </x:c>
      <x:c r="H113" s="41" t="n">
        <x:f>IFERROR(E113/ABS(F113),"")</x:f>
        <x:v>0.4572204187245986</x:v>
      </x:c>
      <x:c r="I113" s="41" t="n">
        <x:v>9.836175</x:v>
      </x:c>
      <x:c r="J113" s="41" t="n">
        <x:v>-33.698748</x:v>
      </x:c>
      <x:c r="K113" s="41" t="n">
        <x:v>1204.813016</x:v>
      </x:c>
      <x:c r="L113" s="41" t="n">
        <x:f>IFERROR(I113/ABS(J113),"")</x:f>
        <x:v>0.2918854730151993</x:v>
      </x:c>
      <x:c r="M113" s="41" t="n">
        <x:v>6.802475</x:v>
      </x:c>
      <x:c r="N113" s="41" t="n">
        <x:v>-56.473669</x:v>
      </x:c>
      <x:c r="O113" s="41" t="n">
        <x:v>506.057416</x:v>
      </x:c>
      <x:c r="P113" s="41" t="n">
        <x:f>IFERROR(M113/ABS(N113),"")</x:f>
        <x:v>0.12045392340278087</x:v>
      </x:c>
      <x:c r="Q113" s="41" t="str">
        <x:f>IF(L113&gt;=MAX(H113,P113),"Weekly",IF(H113&gt;=MAX(L113,P113),"No weekly","SPY"))</x:f>
        <x:v>No weekly</x:v>
      </x:c>
      <x:c r="R113" s="41" t="n">
        <x:f>IFERROR(L113-P113,"")</x:f>
        <x:v>0.1714315496124184</x:v>
      </x:c>
      <x:c r="S113" s="41" t="n">
        <x:f>IFERROR(H113-P113,"")</x:f>
        <x:v>0.33676649532181774</x:v>
      </x:c>
      <x:c r="T113" s="41" t="n">
        <x:f>IFERROR(I113-M113,"")</x:f>
        <x:v>3.0337000000000005</x:v>
      </x:c>
      <x:c r="U113" s="41" t="n">
        <x:f>IFERROR(E113-M113,"")</x:f>
        <x:v>15.380835999999999</x:v>
      </x:c>
      <x:c r="V113" s="41" t="str">
        <x:f>IF(AND(I113&gt;M113,J113&gt;N113),"Sí","No")</x:f>
        <x:v>Sí</x:v>
      </x:c>
      <x:c r="W113" s="41" t="str">
        <x:f>IF(AND(E113&gt;M113,F113&gt;N113),"Sí","No")</x:f>
        <x:v>Sí</x:v>
      </x:c>
      <x:c r="X113" s="41" t="str">
        <x:f>IF(L113&gt;=H113,"Weekly","No weekly")</x:f>
        <x:v>No weekly</x:v>
      </x:c>
      <x:c r="Y113" s="41" t="n">
        <x:f>IFERROR(I113-E113,"")</x:f>
        <x:v>-12.347135999999999</x:v>
      </x:c>
      <x:c r="Z113" s="41" t="n">
        <x:f>IFERROR(J113-F113,"")</x:f>
        <x:v>14.819012999999998</x:v>
      </x:c>
      <x:c r="AA113" s="41" t="n">
        <x:v>8632</x:v>
      </x:c>
      <x:c r="AB113" s="41" t="n">
        <x:v>3767</x:v>
      </x:c>
    </x:row>
    <x:row r="114">
      <x:c r="A114" s="41" t="str">
        <x:v>HYP_DD_FIRST_AUTO002_LOWVOL_PENALTY_LIGHT_V1</x:v>
      </x:c>
      <x:c r="B114" s="41" t="str">
        <x:v>dd_first_drawdown_control</x:v>
      </x:c>
      <x:c r="C114" s="41" t="str">
        <x:v>1999-01-04</x:v>
      </x:c>
      <x:c r="D114" s="41" t="str">
        <x:v>2026-05-22</x:v>
      </x:c>
      <x:c r="E114" s="41" t="n">
        <x:v>25.161063</x:v>
      </x:c>
      <x:c r="F114" s="41" t="n">
        <x:v>-54.567962</x:v>
      </x:c>
      <x:c r="G114" s="41" t="n">
        <x:v>46518.945642</x:v>
      </x:c>
      <x:c r="H114" s="41" t="n">
        <x:f>IFERROR(E114/ABS(F114),"")</x:f>
        <x:v>0.461095889928966</x:v>
      </x:c>
      <x:c r="I114" s="41" t="n">
        <x:v>11.283966</x:v>
      </x:c>
      <x:c r="J114" s="41" t="n">
        <x:v>-38.475522</x:v>
      </x:c>
      <x:c r="K114" s="41" t="n">
        <x:v>1767.476699</x:v>
      </x:c>
      <x:c r="L114" s="41" t="n">
        <x:f>IFERROR(I114/ABS(J114),"")</x:f>
        <x:v>0.29327648888038477</x:v>
      </x:c>
      <x:c r="M114" s="41" t="n">
        <x:v>6.802475</x:v>
      </x:c>
      <x:c r="N114" s="41" t="n">
        <x:v>-56.473669</x:v>
      </x:c>
      <x:c r="O114" s="41" t="n">
        <x:v>506.057416</x:v>
      </x:c>
      <x:c r="P114" s="41" t="n">
        <x:f>IFERROR(M114/ABS(N114),"")</x:f>
        <x:v>0.12045392340278087</x:v>
      </x:c>
      <x:c r="Q114" s="41" t="str">
        <x:f>IF(L114&gt;=MAX(H114,P114),"Weekly",IF(H114&gt;=MAX(L114,P114),"No weekly","SPY"))</x:f>
        <x:v>No weekly</x:v>
      </x:c>
      <x:c r="R114" s="41" t="n">
        <x:f>IFERROR(L114-P114,"")</x:f>
        <x:v>0.17282256547760388</x:v>
      </x:c>
      <x:c r="S114" s="41" t="n">
        <x:f>IFERROR(H114-P114,"")</x:f>
        <x:v>0.3406419665261851</x:v>
      </x:c>
      <x:c r="T114" s="41" t="n">
        <x:f>IFERROR(I114-M114,"")</x:f>
        <x:v>4.481490999999999</x:v>
      </x:c>
      <x:c r="U114" s="41" t="n">
        <x:f>IFERROR(E114-M114,"")</x:f>
        <x:v>18.358587999999997</x:v>
      </x:c>
      <x:c r="V114" s="41" t="str">
        <x:f>IF(AND(I114&gt;M114,J114&gt;N114),"Sí","No")</x:f>
        <x:v>Sí</x:v>
      </x:c>
      <x:c r="W114" s="41" t="str">
        <x:f>IF(AND(E114&gt;M114,F114&gt;N114),"Sí","No")</x:f>
        <x:v>Sí</x:v>
      </x:c>
      <x:c r="X114" s="41" t="str">
        <x:f>IF(L114&gt;=H114,"Weekly","No weekly")</x:f>
        <x:v>No weekly</x:v>
      </x:c>
      <x:c r="Y114" s="41" t="n">
        <x:f>IFERROR(I114-E114,"")</x:f>
        <x:v>-13.877097</x:v>
      </x:c>
      <x:c r="Z114" s="41" t="n">
        <x:f>IFERROR(J114-F114,"")</x:f>
        <x:v>16.092440000000003</x:v>
      </x:c>
      <x:c r="AA114" s="41" t="n">
        <x:v>8524</x:v>
      </x:c>
      <x:c r="AB114" s="41" t="n">
        <x:v>3708</x:v>
      </x:c>
    </x:row>
    <x:row r="115">
      <x:c r="A115" s="41" t="str">
        <x:v>HYP_DD_FIRST_AUTO002_LOWVOL_PENALTY_V1</x:v>
      </x:c>
      <x:c r="B115" s="41" t="str">
        <x:v>dd_first_drawdown_control</x:v>
      </x:c>
      <x:c r="C115" s="41" t="str">
        <x:v>1999-01-04</x:v>
      </x:c>
      <x:c r="D115" s="41" t="str">
        <x:v>2026-05-22</x:v>
      </x:c>
      <x:c r="E115" s="41" t="n">
        <x:v>25.241914</x:v>
      </x:c>
      <x:c r="F115" s="41" t="n">
        <x:v>-54.568365</x:v>
      </x:c>
      <x:c r="G115" s="41" t="n">
        <x:v>47350.498197</x:v>
      </x:c>
      <x:c r="H115" s="41" t="n">
        <x:f>IFERROR(E115/ABS(F115),"")</x:f>
        <x:v>0.4625741306341138</x:v>
      </x:c>
      <x:c r="I115" s="41" t="n">
        <x:v>11.101872</x:v>
      </x:c>
      <x:c r="J115" s="41" t="n">
        <x:v>-38.657581</x:v>
      </x:c>
      <x:c r="K115" s="41" t="n">
        <x:v>1685.595369</x:v>
      </x:c>
      <x:c r="L115" s="41" t="n">
        <x:f>IFERROR(I115/ABS(J115),"")</x:f>
        <x:v>0.28718486032532664</x:v>
      </x:c>
      <x:c r="M115" s="41" t="n">
        <x:v>6.802475</x:v>
      </x:c>
      <x:c r="N115" s="41" t="n">
        <x:v>-56.473669</x:v>
      </x:c>
      <x:c r="O115" s="41" t="n">
        <x:v>506.057416</x:v>
      </x:c>
      <x:c r="P115" s="41" t="n">
        <x:f>IFERROR(M115/ABS(N115),"")</x:f>
        <x:v>0.12045392340278087</x:v>
      </x:c>
      <x:c r="Q115" s="41" t="str">
        <x:f>IF(L115&gt;=MAX(H115,P115),"Weekly",IF(H115&gt;=MAX(L115,P115),"No weekly","SPY"))</x:f>
        <x:v>No weekly</x:v>
      </x:c>
      <x:c r="R115" s="41" t="n">
        <x:f>IFERROR(L115-P115,"")</x:f>
        <x:v>0.16673093692254576</x:v>
      </x:c>
      <x:c r="S115" s="41" t="n">
        <x:f>IFERROR(H115-P115,"")</x:f>
        <x:v>0.3421202072313329</x:v>
      </x:c>
      <x:c r="T115" s="41" t="n">
        <x:f>IFERROR(I115-M115,"")</x:f>
        <x:v>4.299397</x:v>
      </x:c>
      <x:c r="U115" s="41" t="n">
        <x:f>IFERROR(E115-M115,"")</x:f>
        <x:v>18.439439</x:v>
      </x:c>
      <x:c r="V115" s="41" t="str">
        <x:f>IF(AND(I115&gt;M115,J115&gt;N115),"Sí","No")</x:f>
        <x:v>Sí</x:v>
      </x:c>
      <x:c r="W115" s="41" t="str">
        <x:f>IF(AND(E115&gt;M115,F115&gt;N115),"Sí","No")</x:f>
        <x:v>Sí</x:v>
      </x:c>
      <x:c r="X115" s="41" t="str">
        <x:f>IF(L115&gt;=H115,"Weekly","No weekly")</x:f>
        <x:v>No weekly</x:v>
      </x:c>
      <x:c r="Y115" s="41" t="n">
        <x:f>IFERROR(I115-E115,"")</x:f>
        <x:v>-14.140042000000001</x:v>
      </x:c>
      <x:c r="Z115" s="41" t="n">
        <x:f>IFERROR(J115-F115,"")</x:f>
        <x:v>15.910784</x:v>
      </x:c>
      <x:c r="AA115" s="41" t="n">
        <x:v>8506</x:v>
      </x:c>
      <x:c r="AB115" s="41" t="n">
        <x:v>3704</x:v>
      </x:c>
    </x:row>
    <x:row r="116">
      <x:c r="A116" s="41" t="str">
        <x:v>HYP_DD_FIRST_AUTO002_QUALITY_LOWVOL_RANK_V1</x:v>
      </x:c>
      <x:c r="B116" s="41" t="str">
        <x:v>dd_first_drawdown_control</x:v>
      </x:c>
      <x:c r="C116" s="41" t="str">
        <x:v>1999-01-04</x:v>
      </x:c>
      <x:c r="D116" s="41" t="str">
        <x:v>2026-05-22</x:v>
      </x:c>
      <x:c r="E116" s="41" t="n">
        <x:v>14.038741</x:v>
      </x:c>
      <x:c r="F116" s="41" t="n">
        <x:v>-76.787243</x:v>
      </x:c>
      <x:c r="G116" s="41" t="n">
        <x:v>3547.622847</x:v>
      </x:c>
      <x:c r="H116" s="41" t="n">
        <x:f>IFERROR(E116/ABS(F116),"")</x:f>
        <x:v>0.18282647548629918</x:v>
      </x:c>
      <x:c r="I116" s="41" t="n">
        <x:v>6.815038</x:v>
      </x:c>
      <x:c r="J116" s="41" t="n">
        <x:v>-37.148558</x:v>
      </x:c>
      <x:c r="K116" s="41" t="n">
        <x:v>508.012261</x:v>
      </x:c>
      <x:c r="L116" s="41" t="n">
        <x:f>IFERROR(I116/ABS(J116),"")</x:f>
        <x:v>0.18345363499708386</x:v>
      </x:c>
      <x:c r="M116" s="41" t="n">
        <x:v>6.802475</x:v>
      </x:c>
      <x:c r="N116" s="41" t="n">
        <x:v>-56.473669</x:v>
      </x:c>
      <x:c r="O116" s="41" t="n">
        <x:v>506.057416</x:v>
      </x:c>
      <x:c r="P116" s="41" t="n">
        <x:f>IFERROR(M116/ABS(N116),"")</x:f>
        <x:v>0.12045392340278087</x:v>
      </x:c>
      <x:c r="Q116" s="41" t="str">
        <x:f>IF(L116&gt;=MAX(H116,P116),"Weekly",IF(H116&gt;=MAX(L116,P116),"No weekly","SPY"))</x:f>
        <x:v>Weekly</x:v>
      </x:c>
      <x:c r="R116" s="41" t="n">
        <x:f>IFERROR(L116-P116,"")</x:f>
        <x:v>0.062999711594303</x:v>
      </x:c>
      <x:c r="S116" s="41" t="n">
        <x:f>IFERROR(H116-P116,"")</x:f>
        <x:v>0.062372552083518315</x:v>
      </x:c>
      <x:c r="T116" s="41" t="n">
        <x:f>IFERROR(I116-M116,"")</x:f>
        <x:v>0.012563000000000102</x:v>
      </x:c>
      <x:c r="U116" s="41" t="n">
        <x:f>IFERROR(E116-M116,"")</x:f>
        <x:v>7.236266</x:v>
      </x:c>
      <x:c r="V116" s="41" t="str">
        <x:f>IF(AND(I116&gt;M116,J116&gt;N116),"Sí","No")</x:f>
        <x:v>Sí</x:v>
      </x:c>
      <x:c r="W116" s="41" t="str">
        <x:f>IF(AND(E116&gt;M116,F116&gt;N116),"Sí","No")</x:f>
        <x:v>No</x:v>
      </x:c>
      <x:c r="X116" s="41" t="str">
        <x:f>IF(L116&gt;=H116,"Weekly","No weekly")</x:f>
        <x:v>Weekly</x:v>
      </x:c>
      <x:c r="Y116" s="41" t="n">
        <x:f>IFERROR(I116-E116,"")</x:f>
        <x:v>-7.2237029999999995</x:v>
      </x:c>
      <x:c r="Z116" s="41" t="n">
        <x:f>IFERROR(J116-F116,"")</x:f>
        <x:v>39.638685</x:v>
      </x:c>
      <x:c r="AA116" s="41" t="n">
        <x:v>8155</x:v>
      </x:c>
      <x:c r="AB116" s="41" t="n">
        <x:v>3203</x:v>
      </x:c>
    </x:row>
    <x:row r="117">
      <x:c r="A117" s="41" t="str">
        <x:v>HYP_DD_FIRST_AUTO002_SOFT_SPY_TOPN_5_V1</x:v>
      </x:c>
      <x:c r="B117" s="41" t="str">
        <x:v>dd_first_drawdown_control</x:v>
      </x:c>
      <x:c r="C117" s="41" t="str">
        <x:v>1999-01-04</x:v>
      </x:c>
      <x:c r="D117" s="41" t="str">
        <x:v>2026-05-22</x:v>
      </x:c>
      <x:c r="E117" s="41" t="n">
        <x:v>25.929269</x:v>
      </x:c>
      <x:c r="F117" s="41" t="n">
        <x:v>-54.644063</x:v>
      </x:c>
      <x:c r="G117" s="41" t="n">
        <x:v>55021.267681</x:v>
      </x:c>
      <x:c r="H117" s="41" t="n">
        <x:f>IFERROR(E117/ABS(F117),"")</x:f>
        <x:v>0.4745120984140583</x:v>
      </x:c>
      <x:c r="I117" s="41" t="n">
        <x:v>25.594295</x:v>
      </x:c>
      <x:c r="J117" s="41" t="n">
        <x:v>-65.621018</x:v>
      </x:c>
      <x:c r="K117" s="41" t="n">
        <x:v>51144.644586</x:v>
      </x:c>
      <x:c r="L117" s="41" t="n">
        <x:f>IFERROR(I117/ABS(J117),"")</x:f>
        <x:v>0.39003197115899657</x:v>
      </x:c>
      <x:c r="M117" s="41" t="n">
        <x:v>6.802475</x:v>
      </x:c>
      <x:c r="N117" s="41" t="n">
        <x:v>-56.473669</x:v>
      </x:c>
      <x:c r="O117" s="41" t="n">
        <x:v>506.057416</x:v>
      </x:c>
      <x:c r="P117" s="41" t="n">
        <x:f>IFERROR(M117/ABS(N117),"")</x:f>
        <x:v>0.12045392340278087</x:v>
      </x:c>
      <x:c r="Q117" s="41" t="str">
        <x:f>IF(L117&gt;=MAX(H117,P117),"Weekly",IF(H117&gt;=MAX(L117,P117),"No weekly","SPY"))</x:f>
        <x:v>No weekly</x:v>
      </x:c>
      <x:c r="R117" s="41" t="n">
        <x:f>IFERROR(L117-P117,"")</x:f>
        <x:v>0.2695780477562157</x:v>
      </x:c>
      <x:c r="S117" s="41" t="n">
        <x:f>IFERROR(H117-P117,"")</x:f>
        <x:v>0.3540581750112774</x:v>
      </x:c>
      <x:c r="T117" s="41" t="n">
        <x:f>IFERROR(I117-M117,"")</x:f>
        <x:v>18.791819999999998</x:v>
      </x:c>
      <x:c r="U117" s="41" t="n">
        <x:f>IFERROR(E117-M117,"")</x:f>
        <x:v>19.126794</x:v>
      </x:c>
      <x:c r="V117" s="41" t="str">
        <x:f>IF(AND(I117&gt;M117,J117&gt;N117),"Sí","No")</x:f>
        <x:v>No</x:v>
      </x:c>
      <x:c r="W117" s="41" t="str">
        <x:f>IF(AND(E117&gt;M117,F117&gt;N117),"Sí","No")</x:f>
        <x:v>Sí</x:v>
      </x:c>
      <x:c r="X117" s="41" t="str">
        <x:f>IF(L117&gt;=H117,"Weekly","No weekly")</x:f>
        <x:v>No weekly</x:v>
      </x:c>
      <x:c r="Y117" s="41" t="n">
        <x:f>IFERROR(I117-E117,"")</x:f>
        <x:v>-0.33497400000000255</x:v>
      </x:c>
      <x:c r="Z117" s="41" t="n">
        <x:f>IFERROR(J117-F117,"")</x:f>
        <x:v>-10.976955000000004</x:v>
      </x:c>
      <x:c r="AA117" s="41" t="n">
        <x:v>10566</x:v>
      </x:c>
      <x:c r="AB117" s="41" t="n">
        <x:v>3706</x:v>
      </x:c>
    </x:row>
    <x:row r="118">
      <x:c r="A118" s="41" t="str">
        <x:v>HYP_DD_FIRST_AUTO002_SOFT_SPY_TOPN_8_V1</x:v>
      </x:c>
      <x:c r="B118" s="41" t="str">
        <x:v>dd_first_drawdown_control</x:v>
      </x:c>
      <x:c r="C118" s="41" t="str">
        <x:v>1999-01-04</x:v>
      </x:c>
      <x:c r="D118" s="41" t="str">
        <x:v>2026-05-22</x:v>
      </x:c>
      <x:c r="E118" s="41" t="n">
        <x:v>25.929269</x:v>
      </x:c>
      <x:c r="F118" s="41" t="n">
        <x:v>-54.644063</x:v>
      </x:c>
      <x:c r="G118" s="41" t="n">
        <x:v>55021.267681</x:v>
      </x:c>
      <x:c r="H118" s="41" t="n">
        <x:f>IFERROR(E118/ABS(F118),"")</x:f>
        <x:v>0.4745120984140583</x:v>
      </x:c>
      <x:c r="I118" s="41" t="n">
        <x:v>25.420803</x:v>
      </x:c>
      <x:c r="J118" s="41" t="n">
        <x:v>-62.493356</x:v>
      </x:c>
      <x:c r="K118" s="41" t="n">
        <x:v>49241.484501</x:v>
      </x:c>
      <x:c r="L118" s="41" t="n">
        <x:f>IFERROR(I118/ABS(J118),"")</x:f>
        <x:v>0.40677608992546344</x:v>
      </x:c>
      <x:c r="M118" s="41" t="n">
        <x:v>6.802475</x:v>
      </x:c>
      <x:c r="N118" s="41" t="n">
        <x:v>-56.473669</x:v>
      </x:c>
      <x:c r="O118" s="41" t="n">
        <x:v>506.057416</x:v>
      </x:c>
      <x:c r="P118" s="41" t="n">
        <x:f>IFERROR(M118/ABS(N118),"")</x:f>
        <x:v>0.12045392340278087</x:v>
      </x:c>
      <x:c r="Q118" s="41" t="str">
        <x:f>IF(L118&gt;=MAX(H118,P118),"Weekly",IF(H118&gt;=MAX(L118,P118),"No weekly","SPY"))</x:f>
        <x:v>No weekly</x:v>
      </x:c>
      <x:c r="R118" s="41" t="n">
        <x:f>IFERROR(L118-P118,"")</x:f>
        <x:v>0.28632216652268255</x:v>
      </x:c>
      <x:c r="S118" s="41" t="n">
        <x:f>IFERROR(H118-P118,"")</x:f>
        <x:v>0.3540581750112774</x:v>
      </x:c>
      <x:c r="T118" s="41" t="n">
        <x:f>IFERROR(I118-M118,"")</x:f>
        <x:v>18.618327999999998</x:v>
      </x:c>
      <x:c r="U118" s="41" t="n">
        <x:f>IFERROR(E118-M118,"")</x:f>
        <x:v>19.126794</x:v>
      </x:c>
      <x:c r="V118" s="41" t="str">
        <x:f>IF(AND(I118&gt;M118,J118&gt;N118),"Sí","No")</x:f>
        <x:v>No</x:v>
      </x:c>
      <x:c r="W118" s="41" t="str">
        <x:f>IF(AND(E118&gt;M118,F118&gt;N118),"Sí","No")</x:f>
        <x:v>Sí</x:v>
      </x:c>
      <x:c r="X118" s="41" t="str">
        <x:f>IF(L118&gt;=H118,"Weekly","No weekly")</x:f>
        <x:v>No weekly</x:v>
      </x:c>
      <x:c r="Y118" s="41" t="n">
        <x:f>IFERROR(I118-E118,"")</x:f>
        <x:v>-0.5084660000000021</x:v>
      </x:c>
      <x:c r="Z118" s="41" t="n">
        <x:f>IFERROR(J118-F118,"")</x:f>
        <x:v>-7.849292999999996</x:v>
      </x:c>
      <x:c r="AA118" s="41" t="n">
        <x:v>11447</x:v>
      </x:c>
      <x:c r="AB118" s="41" t="n">
        <x:v>3706</x:v>
      </x:c>
    </x:row>
    <x:row r="119">
      <x:c r="A119" s="41" t="str">
        <x:v>HYP_DD_FIRST_AUTO002_TOPN_12_V1</x:v>
      </x:c>
      <x:c r="B119" s="41" t="str">
        <x:v>dd_first_drawdown_control</x:v>
      </x:c>
      <x:c r="C119" s="41" t="str">
        <x:v>1999-01-04</x:v>
      </x:c>
      <x:c r="D119" s="41" t="str">
        <x:v>2026-05-22</x:v>
      </x:c>
      <x:c r="E119" s="41" t="n">
        <x:v>29.768113</x:v>
      </x:c>
      <x:c r="F119" s="41" t="n">
        <x:v>-54.10438</x:v>
      </x:c>
      <x:c r="G119" s="41" t="n">
        <x:v>125321.113471</x:v>
      </x:c>
      <x:c r="H119" s="41" t="n">
        <x:f>IFERROR(E119/ABS(F119),"")</x:f>
        <x:v>0.5501978398052062</x:v>
      </x:c>
      <x:c r="I119" s="41" t="n">
        <x:v>12.879832</x:v>
      </x:c>
      <x:c r="J119" s="41" t="n">
        <x:v>-37.516215</x:v>
      </x:c>
      <x:c r="K119" s="41" t="n">
        <x:v>2657.765276</x:v>
      </x:c>
      <x:c r="L119" s="41" t="n">
        <x:f>IFERROR(I119/ABS(J119),"")</x:f>
        <x:v>0.34331373780643915</x:v>
      </x:c>
      <x:c r="M119" s="41" t="n">
        <x:v>6.802475</x:v>
      </x:c>
      <x:c r="N119" s="41" t="n">
        <x:v>-56.473669</x:v>
      </x:c>
      <x:c r="O119" s="41" t="n">
        <x:v>506.057416</x:v>
      </x:c>
      <x:c r="P119" s="41" t="n">
        <x:f>IFERROR(M119/ABS(N119),"")</x:f>
        <x:v>0.12045392340278087</x:v>
      </x:c>
      <x:c r="Q119" s="41" t="str">
        <x:f>IF(L119&gt;=MAX(H119,P119),"Weekly",IF(H119&gt;=MAX(L119,P119),"No weekly","SPY"))</x:f>
        <x:v>No weekly</x:v>
      </x:c>
      <x:c r="R119" s="41" t="n">
        <x:f>IFERROR(L119-P119,"")</x:f>
        <x:v>0.22285981440365826</x:v>
      </x:c>
      <x:c r="S119" s="41" t="n">
        <x:f>IFERROR(H119-P119,"")</x:f>
        <x:v>0.4297439164024253</x:v>
      </x:c>
      <x:c r="T119" s="41" t="n">
        <x:f>IFERROR(I119-M119,"")</x:f>
        <x:v>6.077357</x:v>
      </x:c>
      <x:c r="U119" s="41" t="n">
        <x:f>IFERROR(E119-M119,"")</x:f>
        <x:v>22.965638</x:v>
      </x:c>
      <x:c r="V119" s="41" t="str">
        <x:f>IF(AND(I119&gt;M119,J119&gt;N119),"Sí","No")</x:f>
        <x:v>Sí</x:v>
      </x:c>
      <x:c r="W119" s="41" t="str">
        <x:f>IF(AND(E119&gt;M119,F119&gt;N119),"Sí","No")</x:f>
        <x:v>Sí</x:v>
      </x:c>
      <x:c r="X119" s="41" t="str">
        <x:f>IF(L119&gt;=H119,"Weekly","No weekly")</x:f>
        <x:v>No weekly</x:v>
      </x:c>
      <x:c r="Y119" s="41" t="n">
        <x:f>IFERROR(I119-E119,"")</x:f>
        <x:v>-16.888281</x:v>
      </x:c>
      <x:c r="Z119" s="41" t="n">
        <x:f>IFERROR(J119-F119,"")</x:f>
        <x:v>16.588164999999996</x:v>
      </x:c>
      <x:c r="AA119" s="41" t="n">
        <x:v>7467</x:v>
      </x:c>
      <x:c r="AB119" s="41" t="n">
        <x:v>2938</x:v>
      </x:c>
    </x:row>
    <x:row r="120">
      <x:c r="A120" s="41" t="str">
        <x:v>HYP_DD_FIRST_AUTO002_TRAILING_18_TOPN_9_V1</x:v>
      </x:c>
      <x:c r="B120" s="41" t="str">
        <x:v>dd_first_drawdown_control</x:v>
      </x:c>
      <x:c r="C120" s="41" t="str">
        <x:v>1999-01-04</x:v>
      </x:c>
      <x:c r="D120" s="41" t="str">
        <x:v>2026-05-22</x:v>
      </x:c>
      <x:c r="E120" s="41" t="n">
        <x:v>23.681881</x:v>
      </x:c>
      <x:c r="F120" s="41" t="n">
        <x:v>-57.882834</x:v>
      </x:c>
      <x:c r="G120" s="41" t="n">
        <x:v>33566.873812</x:v>
      </x:c>
      <x:c r="H120" s="41" t="n">
        <x:f>IFERROR(E120/ABS(F120),"")</x:f>
        <x:v>0.4091347876988884</x:v>
      </x:c>
      <x:c r="I120" s="41" t="n">
        <x:v>14.291564</x:v>
      </x:c>
      <x:c r="J120" s="41" t="n">
        <x:v>-37.670407</x:v>
      </x:c>
      <x:c r="K120" s="41" t="n">
        <x:v>3775.62338</x:v>
      </x:c>
      <x:c r="L120" s="41" t="n">
        <x:f>IFERROR(I120/ABS(J120),"")</x:f>
        <x:v>0.3793843798926834</x:v>
      </x:c>
      <x:c r="M120" s="41" t="n">
        <x:v>6.802475</x:v>
      </x:c>
      <x:c r="N120" s="41" t="n">
        <x:v>-56.473669</x:v>
      </x:c>
      <x:c r="O120" s="41" t="n">
        <x:v>506.057416</x:v>
      </x:c>
      <x:c r="P120" s="41" t="n">
        <x:f>IFERROR(M120/ABS(N120),"")</x:f>
        <x:v>0.12045392340278087</x:v>
      </x:c>
      <x:c r="Q120" s="41" t="str">
        <x:f>IF(L120&gt;=MAX(H120,P120),"Weekly",IF(H120&gt;=MAX(L120,P120),"No weekly","SPY"))</x:f>
        <x:v>No weekly</x:v>
      </x:c>
      <x:c r="R120" s="41" t="n">
        <x:f>IFERROR(L120-P120,"")</x:f>
        <x:v>0.25893045648990254</x:v>
      </x:c>
      <x:c r="S120" s="41" t="n">
        <x:f>IFERROR(H120-P120,"")</x:f>
        <x:v>0.2886808642961075</x:v>
      </x:c>
      <x:c r="T120" s="41" t="n">
        <x:f>IFERROR(I120-M120,"")</x:f>
        <x:v>7.489088999999999</x:v>
      </x:c>
      <x:c r="U120" s="41" t="n">
        <x:f>IFERROR(E120-M120,"")</x:f>
        <x:v>16.879406</x:v>
      </x:c>
      <x:c r="V120" s="41" t="str">
        <x:f>IF(AND(I120&gt;M120,J120&gt;N120),"Sí","No")</x:f>
        <x:v>Sí</x:v>
      </x:c>
      <x:c r="W120" s="41" t="str">
        <x:f>IF(AND(E120&gt;M120,F120&gt;N120),"Sí","No")</x:f>
        <x:v>No</x:v>
      </x:c>
      <x:c r="X120" s="41" t="str">
        <x:f>IF(L120&gt;=H120,"Weekly","No weekly")</x:f>
        <x:v>No weekly</x:v>
      </x:c>
      <x:c r="Y120" s="41" t="n">
        <x:f>IFERROR(I120-E120,"")</x:f>
        <x:v>-9.390317000000001</x:v>
      </x:c>
      <x:c r="Z120" s="41" t="n">
        <x:f>IFERROR(J120-F120,"")</x:f>
        <x:v>20.212427000000005</x:v>
      </x:c>
      <x:c r="AA120" s="41" t="n">
        <x:v>6125</x:v>
      </x:c>
      <x:c r="AB120" s="41" t="n">
        <x:v>2408</x:v>
      </x:c>
    </x:row>
    <x:row r="121">
      <x:c r="A121" s="41" t="str">
        <x:v>HYP_DD_FIRST_AUTO002_TRAILING_24_V1</x:v>
      </x:c>
      <x:c r="B121" s="41" t="str">
        <x:v>dd_first_drawdown_control</x:v>
      </x:c>
      <x:c r="C121" s="41" t="str">
        <x:v>1999-01-04</x:v>
      </x:c>
      <x:c r="D121" s="41" t="str">
        <x:v>2026-05-22</x:v>
      </x:c>
      <x:c r="E121" s="41" t="n">
        <x:v>20.520474</x:v>
      </x:c>
      <x:c r="F121" s="41" t="n">
        <x:v>-59.129016</x:v>
      </x:c>
      <x:c r="G121" s="41" t="n">
        <x:v>16470.080253</x:v>
      </x:c>
      <x:c r="H121" s="41" t="n">
        <x:f>IFERROR(E121/ABS(F121),"")</x:f>
        <x:v>0.3470457549978508</x:v>
      </x:c>
      <x:c r="I121" s="41" t="n">
        <x:v>10.443291</x:v>
      </x:c>
      <x:c r="J121" s="41" t="n">
        <x:v>-38.370569</x:v>
      </x:c>
      <x:c r="K121" s="41" t="n">
        <x:v>1417.367328</x:v>
      </x:c>
      <x:c r="L121" s="41" t="n">
        <x:f>IFERROR(I121/ABS(J121),"")</x:f>
        <x:v>0.27216930246721127</x:v>
      </x:c>
      <x:c r="M121" s="41" t="n">
        <x:v>6.802475</x:v>
      </x:c>
      <x:c r="N121" s="41" t="n">
        <x:v>-56.473669</x:v>
      </x:c>
      <x:c r="O121" s="41" t="n">
        <x:v>506.057416</x:v>
      </x:c>
      <x:c r="P121" s="41" t="n">
        <x:f>IFERROR(M121/ABS(N121),"")</x:f>
        <x:v>0.12045392340278087</x:v>
      </x:c>
      <x:c r="Q121" s="41" t="str">
        <x:f>IF(L121&gt;=MAX(H121,P121),"Weekly",IF(H121&gt;=MAX(L121,P121),"No weekly","SPY"))</x:f>
        <x:v>No weekly</x:v>
      </x:c>
      <x:c r="R121" s="41" t="n">
        <x:f>IFERROR(L121-P121,"")</x:f>
        <x:v>0.1517153790644304</x:v>
      </x:c>
      <x:c r="S121" s="41" t="n">
        <x:f>IFERROR(H121-P121,"")</x:f>
        <x:v>0.2265918315950699</x:v>
      </x:c>
      <x:c r="T121" s="41" t="n">
        <x:f>IFERROR(I121-M121,"")</x:f>
        <x:v>3.640816</x:v>
      </x:c>
      <x:c r="U121" s="41" t="n">
        <x:f>IFERROR(E121-M121,"")</x:f>
        <x:v>13.717998999999999</x:v>
      </x:c>
      <x:c r="V121" s="41" t="str">
        <x:f>IF(AND(I121&gt;M121,J121&gt;N121),"Sí","No")</x:f>
        <x:v>Sí</x:v>
      </x:c>
      <x:c r="W121" s="41" t="str">
        <x:f>IF(AND(E121&gt;M121,F121&gt;N121),"Sí","No")</x:f>
        <x:v>No</x:v>
      </x:c>
      <x:c r="X121" s="41" t="str">
        <x:f>IF(L121&gt;=H121,"Weekly","No weekly")</x:f>
        <x:v>No weekly</x:v>
      </x:c>
      <x:c r="Y121" s="41" t="n">
        <x:f>IFERROR(I121-E121,"")</x:f>
        <x:v>-10.077183</x:v>
      </x:c>
      <x:c r="Z121" s="41" t="n">
        <x:f>IFERROR(J121-F121,"")</x:f>
        <x:v>20.758446999999997</x:v>
      </x:c>
      <x:c r="AA121" s="41" t="n">
        <x:v>8604</x:v>
      </x:c>
      <x:c r="AB121" s="41" t="n">
        <x:v>3845</x:v>
      </x:c>
    </x:row>
    <x:row r="122">
      <x:c r="A122" s="41" t="str">
        <x:v>HYP_DD_FIRST_EXIT_SOFTTOPN5_PARTIAL_25_50_V1</x:v>
      </x:c>
      <x:c r="B122" s="41" t="str">
        <x:v>dd_first_drawdown_control</x:v>
      </x:c>
      <x:c r="C122" s="41" t="str">
        <x:v>1999-01-04</x:v>
      </x:c>
      <x:c r="D122" s="41" t="str">
        <x:v>2026-05-22</x:v>
      </x:c>
      <x:c r="E122" s="41" t="n">
        <x:v>16.223206</x:v>
      </x:c>
      <x:c r="F122" s="41" t="n">
        <x:v>-39.514207</x:v>
      </x:c>
      <x:c r="G122" s="41" t="n">
        <x:v>6032.263428</x:v>
      </x:c>
      <x:c r="H122" s="41" t="n">
        <x:f>IFERROR(E122/ABS(F122),"")</x:f>
        <x:v>0.41056640716590875</x:v>
      </x:c>
      <x:c r="I122" s="41" t="n">
        <x:v>15.517463</x:v>
      </x:c>
      <x:c r="J122" s="41" t="n">
        <x:v>-46.118298</x:v>
      </x:c>
      <x:c r="K122" s="41" t="n">
        <x:v>5090.377315</x:v>
      </x:c>
      <x:c r="L122" s="41" t="n">
        <x:f>IFERROR(I122/ABS(J122),"")</x:f>
        <x:v>0.336470851547904</x:v>
      </x:c>
      <x:c r="M122" s="41" t="n">
        <x:v>6.802475</x:v>
      </x:c>
      <x:c r="N122" s="41" t="n">
        <x:v>-56.473669</x:v>
      </x:c>
      <x:c r="O122" s="41" t="n">
        <x:v>506.057416</x:v>
      </x:c>
      <x:c r="P122" s="41" t="n">
        <x:f>IFERROR(M122/ABS(N122),"")</x:f>
        <x:v>0.12045392340278087</x:v>
      </x:c>
      <x:c r="Q122" s="41" t="str">
        <x:f>IF(L122&gt;=MAX(H122,P122),"Weekly",IF(H122&gt;=MAX(L122,P122),"No weekly","SPY"))</x:f>
        <x:v>No weekly</x:v>
      </x:c>
      <x:c r="R122" s="41" t="n">
        <x:f>IFERROR(L122-P122,"")</x:f>
        <x:v>0.21601692814512313</x:v>
      </x:c>
      <x:c r="S122" s="41" t="n">
        <x:f>IFERROR(H122-P122,"")</x:f>
        <x:v>0.29011248376312787</x:v>
      </x:c>
      <x:c r="T122" s="41" t="n">
        <x:f>IFERROR(I122-M122,"")</x:f>
        <x:v>8.714987999999998</x:v>
      </x:c>
      <x:c r="U122" s="41" t="n">
        <x:f>IFERROR(E122-M122,"")</x:f>
        <x:v>9.420731</x:v>
      </x:c>
      <x:c r="V122" s="41" t="str">
        <x:f>IF(AND(I122&gt;M122,J122&gt;N122),"Sí","No")</x:f>
        <x:v>Sí</x:v>
      </x:c>
      <x:c r="W122" s="41" t="str">
        <x:f>IF(AND(E122&gt;M122,F122&gt;N122),"Sí","No")</x:f>
        <x:v>Sí</x:v>
      </x:c>
      <x:c r="X122" s="41" t="str">
        <x:f>IF(L122&gt;=H122,"Weekly","No weekly")</x:f>
        <x:v>No weekly</x:v>
      </x:c>
      <x:c r="Y122" s="41" t="n">
        <x:f>IFERROR(I122-E122,"")</x:f>
        <x:v>-0.7057430000000018</x:v>
      </x:c>
      <x:c r="Z122" s="41" t="n">
        <x:f>IFERROR(J122-F122,"")</x:f>
        <x:v>-6.604091000000004</x:v>
      </x:c>
      <x:c r="AA122" s="41" t="n">
        <x:v>10963</x:v>
      </x:c>
      <x:c r="AB122" s="41" t="n">
        <x:v>3882</x:v>
      </x:c>
    </x:row>
    <x:row r="123">
      <x:c r="A123" s="41" t="str">
        <x:v>HYP_DD_FIRST_EXIT_SOFTTOPN5_PARTIAL_30_50_PROFITLOCK_V1</x:v>
      </x:c>
      <x:c r="B123" s="41" t="str">
        <x:v>dd_first_drawdown_control</x:v>
      </x:c>
      <x:c r="C123" s="41" t="str">
        <x:v>1999-01-04</x:v>
      </x:c>
      <x:c r="D123" s="41" t="str">
        <x:v>2026-05-22</x:v>
      </x:c>
      <x:c r="E123" s="41" t="n">
        <x:v>14.249127</x:v>
      </x:c>
      <x:c r="F123" s="41" t="n">
        <x:v>-41.644294</x:v>
      </x:c>
      <x:c r="G123" s="41" t="n">
        <x:v>3736.416671</x:v>
      </x:c>
      <x:c r="H123" s="41" t="n">
        <x:f>IFERROR(E123/ABS(F123),"")</x:f>
        <x:v>0.3421627702465072</x:v>
      </x:c>
      <x:c r="I123" s="41" t="n">
        <x:v>14.453884</x:v>
      </x:c>
      <x:c r="J123" s="41" t="n">
        <x:v>-45.349098</x:v>
      </x:c>
      <x:c r="K123" s="41" t="n">
        <x:v>3929.178896</x:v>
      </x:c>
      <x:c r="L123" s="41" t="n">
        <x:f>IFERROR(I123/ABS(J123),"")</x:f>
        <x:v>0.31872483990751044</x:v>
      </x:c>
      <x:c r="M123" s="41" t="n">
        <x:v>6.802475</x:v>
      </x:c>
      <x:c r="N123" s="41" t="n">
        <x:v>-56.473669</x:v>
      </x:c>
      <x:c r="O123" s="41" t="n">
        <x:v>506.057416</x:v>
      </x:c>
      <x:c r="P123" s="41" t="n">
        <x:f>IFERROR(M123/ABS(N123),"")</x:f>
        <x:v>0.12045392340278087</x:v>
      </x:c>
      <x:c r="Q123" s="41" t="str">
        <x:f>IF(L123&gt;=MAX(H123,P123),"Weekly",IF(H123&gt;=MAX(L123,P123),"No weekly","SPY"))</x:f>
        <x:v>No weekly</x:v>
      </x:c>
      <x:c r="R123" s="41" t="n">
        <x:f>IFERROR(L123-P123,"")</x:f>
        <x:v>0.19827091650472956</x:v>
      </x:c>
      <x:c r="S123" s="41" t="n">
        <x:f>IFERROR(H123-P123,"")</x:f>
        <x:v>0.22170884684372633</x:v>
      </x:c>
      <x:c r="T123" s="41" t="n">
        <x:f>IFERROR(I123-M123,"")</x:f>
        <x:v>7.651409</x:v>
      </x:c>
      <x:c r="U123" s="41" t="n">
        <x:f>IFERROR(E123-M123,"")</x:f>
        <x:v>7.446651999999999</x:v>
      </x:c>
      <x:c r="V123" s="41" t="str">
        <x:f>IF(AND(I123&gt;M123,J123&gt;N123),"Sí","No")</x:f>
        <x:v>Sí</x:v>
      </x:c>
      <x:c r="W123" s="41" t="str">
        <x:f>IF(AND(E123&gt;M123,F123&gt;N123),"Sí","No")</x:f>
        <x:v>Sí</x:v>
      </x:c>
      <x:c r="X123" s="41" t="str">
        <x:f>IF(L123&gt;=H123,"Weekly","No weekly")</x:f>
        <x:v>No weekly</x:v>
      </x:c>
      <x:c r="Y123" s="41" t="n">
        <x:f>IFERROR(I123-E123,"")</x:f>
        <x:v>0.20475700000000074</x:v>
      </x:c>
      <x:c r="Z123" s="41" t="n">
        <x:f>IFERROR(J123-F123,"")</x:f>
        <x:v>-3.7048039999999958</x:v>
      </x:c>
      <x:c r="AA123" s="41" t="n">
        <x:v>11017</x:v>
      </x:c>
      <x:c r="AB123" s="41" t="n">
        <x:v>3949</x:v>
      </x:c>
    </x:row>
    <x:row r="124">
      <x:c r="A124" s="41" t="str">
        <x:v>HYP_DD_FIRST_EXIT_SOFTTOPN5_PROFITLOCK_15_3_25_8_V1</x:v>
      </x:c>
      <x:c r="B124" s="41" t="str">
        <x:v>dd_first_drawdown_control</x:v>
      </x:c>
      <x:c r="C124" s="41" t="str">
        <x:v>1999-01-04</x:v>
      </x:c>
      <x:c r="D124" s="41" t="str">
        <x:v>2026-05-22</x:v>
      </x:c>
      <x:c r="E124" s="41" t="n">
        <x:v>14.517303</x:v>
      </x:c>
      <x:c r="F124" s="41" t="n">
        <x:v>-42.444424</x:v>
      </x:c>
      <x:c r="G124" s="41" t="n">
        <x:v>3990.752034</x:v>
      </x:c>
      <x:c r="H124" s="41" t="n">
        <x:f>IFERROR(E124/ABS(F124),"")</x:f>
        <x:v>0.34203086370073016</x:v>
      </x:c>
      <x:c r="I124" s="41" t="n">
        <x:v>14.281714</x:v>
      </x:c>
      <x:c r="J124" s="41" t="n">
        <x:v>-46.939349</x:v>
      </x:c>
      <x:c r="K124" s="41" t="n">
        <x:v>3766.48886</x:v>
      </x:c>
      <x:c r="L124" s="41" t="n">
        <x:f>IFERROR(I124/ABS(J124),"")</x:f>
        <x:v>0.30425888522655054</x:v>
      </x:c>
      <x:c r="M124" s="41" t="n">
        <x:v>6.802475</x:v>
      </x:c>
      <x:c r="N124" s="41" t="n">
        <x:v>-56.473669</x:v>
      </x:c>
      <x:c r="O124" s="41" t="n">
        <x:v>506.057416</x:v>
      </x:c>
      <x:c r="P124" s="41" t="n">
        <x:f>IFERROR(M124/ABS(N124),"")</x:f>
        <x:v>0.12045392340278087</x:v>
      </x:c>
      <x:c r="Q124" s="41" t="str">
        <x:f>IF(L124&gt;=MAX(H124,P124),"Weekly",IF(H124&gt;=MAX(L124,P124),"No weekly","SPY"))</x:f>
        <x:v>No weekly</x:v>
      </x:c>
      <x:c r="R124" s="41" t="n">
        <x:f>IFERROR(L124-P124,"")</x:f>
        <x:v>0.18380496182376965</x:v>
      </x:c>
      <x:c r="S124" s="41" t="n">
        <x:f>IFERROR(H124-P124,"")</x:f>
        <x:v>0.22157694029794928</x:v>
      </x:c>
      <x:c r="T124" s="41" t="n">
        <x:f>IFERROR(I124-M124,"")</x:f>
        <x:v>7.479238999999999</x:v>
      </x:c>
      <x:c r="U124" s="41" t="n">
        <x:f>IFERROR(E124-M124,"")</x:f>
        <x:v>7.714828</x:v>
      </x:c>
      <x:c r="V124" s="41" t="str">
        <x:f>IF(AND(I124&gt;M124,J124&gt;N124),"Sí","No")</x:f>
        <x:v>Sí</x:v>
      </x:c>
      <x:c r="W124" s="41" t="str">
        <x:f>IF(AND(E124&gt;M124,F124&gt;N124),"Sí","No")</x:f>
        <x:v>Sí</x:v>
      </x:c>
      <x:c r="X124" s="41" t="str">
        <x:f>IF(L124&gt;=H124,"Weekly","No weekly")</x:f>
        <x:v>No weekly</x:v>
      </x:c>
      <x:c r="Y124" s="41" t="n">
        <x:f>IFERROR(I124-E124,"")</x:f>
        <x:v>-0.23558900000000094</x:v>
      </x:c>
      <x:c r="Z124" s="41" t="n">
        <x:f>IFERROR(J124-F124,"")</x:f>
        <x:v>-4.494925000000002</x:v>
      </x:c>
      <x:c r="AA124" s="41" t="n">
        <x:v>10916</x:v>
      </x:c>
      <x:c r="AB124" s="41" t="n">
        <x:v>3880</x:v>
      </x:c>
    </x:row>
    <x:row r="125">
      <x:c r="A125" s="41" t="str">
        <x:v>HYP_DD_FIRST_EXIT_SOFTTOPN5_PROFITLOCK_20_5_35_12_V1</x:v>
      </x:c>
      <x:c r="B125" s="41" t="str">
        <x:v>dd_first_drawdown_control</x:v>
      </x:c>
      <x:c r="C125" s="41" t="str">
        <x:v>1999-01-04</x:v>
      </x:c>
      <x:c r="D125" s="41" t="str">
        <x:v>2026-05-22</x:v>
      </x:c>
      <x:c r="E125" s="41" t="n">
        <x:v>14.817457</x:v>
      </x:c>
      <x:c r="F125" s="41" t="n">
        <x:v>-41.755637</x:v>
      </x:c>
      <x:c r="G125" s="41" t="n">
        <x:v>4294.681429</x:v>
      </x:c>
      <x:c r="H125" s="41" t="n">
        <x:f>IFERROR(E125/ABS(F125),"")</x:f>
        <x:v>0.3548612370588431</x:v>
      </x:c>
      <x:c r="I125" s="41" t="n">
        <x:v>14.650245</x:v>
      </x:c>
      <x:c r="J125" s="41" t="n">
        <x:v>-45.459273</x:v>
      </x:c>
      <x:c r="K125" s="41" t="n">
        <x:v>4122.781215</x:v>
      </x:c>
      <x:c r="L125" s="41" t="n">
        <x:f>IFERROR(I125/ABS(J125),"")</x:f>
        <x:v>0.3222718717917024</x:v>
      </x:c>
      <x:c r="M125" s="41" t="n">
        <x:v>6.802475</x:v>
      </x:c>
      <x:c r="N125" s="41" t="n">
        <x:v>-56.473669</x:v>
      </x:c>
      <x:c r="O125" s="41" t="n">
        <x:v>506.057416</x:v>
      </x:c>
      <x:c r="P125" s="41" t="n">
        <x:f>IFERROR(M125/ABS(N125),"")</x:f>
        <x:v>0.12045392340278087</x:v>
      </x:c>
      <x:c r="Q125" s="41" t="str">
        <x:f>IF(L125&gt;=MAX(H125,P125),"Weekly",IF(H125&gt;=MAX(L125,P125),"No weekly","SPY"))</x:f>
        <x:v>No weekly</x:v>
      </x:c>
      <x:c r="R125" s="41" t="n">
        <x:f>IFERROR(L125-P125,"")</x:f>
        <x:v>0.20181794838892153</x:v>
      </x:c>
      <x:c r="S125" s="41" t="n">
        <x:f>IFERROR(H125-P125,"")</x:f>
        <x:v>0.2344073136560622</x:v>
      </x:c>
      <x:c r="T125" s="41" t="n">
        <x:f>IFERROR(I125-M125,"")</x:f>
        <x:v>7.84777</x:v>
      </x:c>
      <x:c r="U125" s="41" t="n">
        <x:f>IFERROR(E125-M125,"")</x:f>
        <x:v>8.014982</x:v>
      </x:c>
      <x:c r="V125" s="41" t="str">
        <x:f>IF(AND(I125&gt;M125,J125&gt;N125),"Sí","No")</x:f>
        <x:v>Sí</x:v>
      </x:c>
      <x:c r="W125" s="41" t="str">
        <x:f>IF(AND(E125&gt;M125,F125&gt;N125),"Sí","No")</x:f>
        <x:v>Sí</x:v>
      </x:c>
      <x:c r="X125" s="41" t="str">
        <x:f>IF(L125&gt;=H125,"Weekly","No weekly")</x:f>
        <x:v>No weekly</x:v>
      </x:c>
      <x:c r="Y125" s="41" t="n">
        <x:f>IFERROR(I125-E125,"")</x:f>
        <x:v>-0.16721199999999925</x:v>
      </x:c>
      <x:c r="Z125" s="41" t="n">
        <x:f>IFERROR(J125-F125,"")</x:f>
        <x:v>-3.703636000000003</x:v>
      </x:c>
      <x:c r="AA125" s="41" t="n">
        <x:v>10895</x:v>
      </x:c>
      <x:c r="AB125" s="41" t="n">
        <x:v>3874</x:v>
      </x:c>
    </x:row>
    <x:row r="126">
      <x:c r="A126" s="41" t="str">
        <x:v>HYP_DD_FIRST_EXIT_SOFTTOPN5_RANK_DETERIORATION_25_2_V1</x:v>
      </x:c>
      <x:c r="B126" s="41" t="str">
        <x:v>dd_first_drawdown_control</x:v>
      </x:c>
      <x:c r="C126" s="41" t="str">
        <x:v>1999-01-04</x:v>
      </x:c>
      <x:c r="D126" s="41" t="str">
        <x:v>2026-05-22</x:v>
      </x:c>
      <x:c r="E126" s="41" t="n">
        <x:v>18.339043</x:v>
      </x:c>
      <x:c r="F126" s="41" t="n">
        <x:v>-47.383446</x:v>
      </x:c>
      <x:c r="G126" s="41" t="n">
        <x:v>9949.325949</x:v>
      </x:c>
      <x:c r="H126" s="41" t="n">
        <x:f>IFERROR(E126/ABS(F126),"")</x:f>
        <x:v>0.3870348095830768</x:v>
      </x:c>
      <x:c r="I126" s="41" t="n">
        <x:v>14.494698</x:v>
      </x:c>
      <x:c r="J126" s="41" t="n">
        <x:v>-40.995653</x:v>
      </x:c>
      <x:c r="K126" s="41" t="n">
        <x:v>3968.702274</x:v>
      </x:c>
      <x:c r="L126" s="41" t="n">
        <x:f>IFERROR(I126/ABS(J126),"")</x:f>
        <x:v>0.3535667062066312</x:v>
      </x:c>
      <x:c r="M126" s="41" t="n">
        <x:v>6.802475</x:v>
      </x:c>
      <x:c r="N126" s="41" t="n">
        <x:v>-56.473669</x:v>
      </x:c>
      <x:c r="O126" s="41" t="n">
        <x:v>506.057416</x:v>
      </x:c>
      <x:c r="P126" s="41" t="n">
        <x:f>IFERROR(M126/ABS(N126),"")</x:f>
        <x:v>0.12045392340278087</x:v>
      </x:c>
      <x:c r="Q126" s="41" t="str">
        <x:f>IF(L126&gt;=MAX(H126,P126),"Weekly",IF(H126&gt;=MAX(L126,P126),"No weekly","SPY"))</x:f>
        <x:v>No weekly</x:v>
      </x:c>
      <x:c r="R126" s="41" t="n">
        <x:f>IFERROR(L126-P126,"")</x:f>
        <x:v>0.23311278280385034</x:v>
      </x:c>
      <x:c r="S126" s="41" t="n">
        <x:f>IFERROR(H126-P126,"")</x:f>
        <x:v>0.2665808861802959</x:v>
      </x:c>
      <x:c r="T126" s="41" t="n">
        <x:f>IFERROR(I126-M126,"")</x:f>
        <x:v>7.692222999999999</x:v>
      </x:c>
      <x:c r="U126" s="41" t="n">
        <x:f>IFERROR(E126-M126,"")</x:f>
        <x:v>11.536567999999999</x:v>
      </x:c>
      <x:c r="V126" s="41" t="str">
        <x:f>IF(AND(I126&gt;M126,J126&gt;N126),"Sí","No")</x:f>
        <x:v>Sí</x:v>
      </x:c>
      <x:c r="W126" s="41" t="str">
        <x:f>IF(AND(E126&gt;M126,F126&gt;N126),"Sí","No")</x:f>
        <x:v>Sí</x:v>
      </x:c>
      <x:c r="X126" s="41" t="str">
        <x:f>IF(L126&gt;=H126,"Weekly","No weekly")</x:f>
        <x:v>No weekly</x:v>
      </x:c>
      <x:c r="Y126" s="41" t="n">
        <x:f>IFERROR(I126-E126,"")</x:f>
        <x:v>-3.8443450000000006</x:v>
      </x:c>
      <x:c r="Z126" s="41" t="n">
        <x:f>IFERROR(J126-F126,"")</x:f>
        <x:v>6.387793000000002</x:v>
      </x:c>
      <x:c r="AA126" s="41" t="n">
        <x:v>14157</x:v>
      </x:c>
      <x:c r="AB126" s="41" t="n">
        <x:v>3737</x:v>
      </x:c>
    </x:row>
    <x:row r="127">
      <x:c r="A127" s="41" t="str">
        <x:v>HYP_FSPACE_AUTO_002_RANK_CHANNEL_SLOPE_PCT_EXIT_23_V1</x:v>
      </x:c>
      <x:c r="B127" s="41" t="str">
        <x:v>feature_space_composite_exit</x:v>
      </x:c>
      <x:c r="C127" s="41" t="str">
        <x:v>1999-01-04</x:v>
      </x:c>
      <x:c r="D127" s="41" t="str">
        <x:v>2026-05-22</x:v>
      </x:c>
      <x:c r="E127" s="41" t="n">
        <x:v>30.209994</x:v>
      </x:c>
      <x:c r="F127" s="41" t="n">
        <x:v>-69.070335</x:v>
      </x:c>
      <x:c r="G127" s="41" t="n">
        <x:v>137554.491597</x:v>
      </x:c>
      <x:c r="H127" s="41" t="n">
        <x:f>IFERROR(E127/ABS(F127),"")</x:f>
        <x:v>0.43738015748729175</x:v>
      </x:c>
      <x:c r="I127" s="41" t="n">
        <x:v>12.239898</x:v>
      </x:c>
      <x:c r="J127" s="41" t="n">
        <x:v>-40.621907</x:v>
      </x:c>
      <x:c r="K127" s="41" t="n">
        <x:v>2260.245625</x:v>
      </x:c>
      <x:c r="L127" s="41" t="n">
        <x:f>IFERROR(I127/ABS(J127),"")</x:f>
        <x:v>0.3013127374842348</x:v>
      </x:c>
      <x:c r="M127" s="41" t="n">
        <x:v>6.802475</x:v>
      </x:c>
      <x:c r="N127" s="41" t="n">
        <x:v>-56.473669</x:v>
      </x:c>
      <x:c r="O127" s="41" t="n">
        <x:v>506.057416</x:v>
      </x:c>
      <x:c r="P127" s="41" t="n">
        <x:f>IFERROR(M127/ABS(N127),"")</x:f>
        <x:v>0.12045392340278087</x:v>
      </x:c>
      <x:c r="Q127" s="41" t="str">
        <x:f>IF(L127&gt;=MAX(H127,P127),"Weekly",IF(H127&gt;=MAX(L127,P127),"No weekly","SPY"))</x:f>
        <x:v>No weekly</x:v>
      </x:c>
      <x:c r="R127" s="41" t="n">
        <x:f>IFERROR(L127-P127,"")</x:f>
        <x:v>0.18085881408145393</x:v>
      </x:c>
      <x:c r="S127" s="41" t="n">
        <x:f>IFERROR(H127-P127,"")</x:f>
        <x:v>0.31692623408451087</x:v>
      </x:c>
      <x:c r="T127" s="41" t="n">
        <x:f>IFERROR(I127-M127,"")</x:f>
        <x:v>5.437423</x:v>
      </x:c>
      <x:c r="U127" s="41" t="n">
        <x:f>IFERROR(E127-M127,"")</x:f>
        <x:v>23.407518999999997</x:v>
      </x:c>
      <x:c r="V127" s="41" t="str">
        <x:f>IF(AND(I127&gt;M127,J127&gt;N127),"Sí","No")</x:f>
        <x:v>Sí</x:v>
      </x:c>
      <x:c r="W127" s="41" t="str">
        <x:f>IF(AND(E127&gt;M127,F127&gt;N127),"Sí","No")</x:f>
        <x:v>No</x:v>
      </x:c>
      <x:c r="X127" s="41" t="str">
        <x:f>IF(L127&gt;=H127,"Weekly","No weekly")</x:f>
        <x:v>No weekly</x:v>
      </x:c>
      <x:c r="Y127" s="41" t="n">
        <x:f>IFERROR(I127-E127,"")</x:f>
        <x:v>-17.970095999999998</x:v>
      </x:c>
      <x:c r="Z127" s="41" t="n">
        <x:f>IFERROR(J127-F127,"")</x:f>
        <x:v>28.448428</x:v>
      </x:c>
      <x:c r="AA127" s="41" t="n">
        <x:v>8139</x:v>
      </x:c>
      <x:c r="AB127" s="41" t="n">
        <x:v>2822</x:v>
      </x:c>
    </x:row>
    <x:row r="128">
      <x:c r="A128" s="41" t="str">
        <x:v>HYP_FSPACE_AUTO_002_RANK_CHANNEL_SLOPE_PCT_EXIT_24_V1</x:v>
      </x:c>
      <x:c r="B128" s="41" t="str">
        <x:v>feature_space_composite_exit</x:v>
      </x:c>
      <x:c r="C128" s="41" t="str">
        <x:v>1999-01-04</x:v>
      </x:c>
      <x:c r="D128" s="41" t="str">
        <x:v>2026-05-22</x:v>
      </x:c>
      <x:c r="E128" s="41" t="n">
        <x:v>30.209994</x:v>
      </x:c>
      <x:c r="F128" s="41" t="n">
        <x:v>-69.070335</x:v>
      </x:c>
      <x:c r="G128" s="41" t="n">
        <x:v>137554.491597</x:v>
      </x:c>
      <x:c r="H128" s="41" t="n">
        <x:f>IFERROR(E128/ABS(F128),"")</x:f>
        <x:v>0.43738015748729175</x:v>
      </x:c>
      <x:c r="I128" s="41" t="n">
        <x:v>12.010829</x:v>
      </x:c>
      <x:c r="J128" s="41" t="n">
        <x:v>-40.621907</x:v>
      </x:c>
      <x:c r="K128" s="41" t="n">
        <x:v>2131.853288</x:v>
      </x:c>
      <x:c r="L128" s="41" t="n">
        <x:f>IFERROR(I128/ABS(J128),"")</x:f>
        <x:v>0.2956736866144664</x:v>
      </x:c>
      <x:c r="M128" s="41" t="n">
        <x:v>6.802475</x:v>
      </x:c>
      <x:c r="N128" s="41" t="n">
        <x:v>-56.473669</x:v>
      </x:c>
      <x:c r="O128" s="41" t="n">
        <x:v>506.057416</x:v>
      </x:c>
      <x:c r="P128" s="41" t="n">
        <x:f>IFERROR(M128/ABS(N128),"")</x:f>
        <x:v>0.12045392340278087</x:v>
      </x:c>
      <x:c r="Q128" s="41" t="str">
        <x:f>IF(L128&gt;=MAX(H128,P128),"Weekly",IF(H128&gt;=MAX(L128,P128),"No weekly","SPY"))</x:f>
        <x:v>No weekly</x:v>
      </x:c>
      <x:c r="R128" s="41" t="n">
        <x:f>IFERROR(L128-P128,"")</x:f>
        <x:v>0.17521976321168553</x:v>
      </x:c>
      <x:c r="S128" s="41" t="n">
        <x:f>IFERROR(H128-P128,"")</x:f>
        <x:v>0.31692623408451087</x:v>
      </x:c>
      <x:c r="T128" s="41" t="n">
        <x:f>IFERROR(I128-M128,"")</x:f>
        <x:v>5.208353999999999</x:v>
      </x:c>
      <x:c r="U128" s="41" t="n">
        <x:f>IFERROR(E128-M128,"")</x:f>
        <x:v>23.407518999999997</x:v>
      </x:c>
      <x:c r="V128" s="41" t="str">
        <x:f>IF(AND(I128&gt;M128,J128&gt;N128),"Sí","No")</x:f>
        <x:v>Sí</x:v>
      </x:c>
      <x:c r="W128" s="41" t="str">
        <x:f>IF(AND(E128&gt;M128,F128&gt;N128),"Sí","No")</x:f>
        <x:v>No</x:v>
      </x:c>
      <x:c r="X128" s="41" t="str">
        <x:f>IF(L128&gt;=H128,"Weekly","No weekly")</x:f>
        <x:v>No weekly</x:v>
      </x:c>
      <x:c r="Y128" s="41" t="n">
        <x:f>IFERROR(I128-E128,"")</x:f>
        <x:v>-18.199165</x:v>
      </x:c>
      <x:c r="Z128" s="41" t="n">
        <x:f>IFERROR(J128-F128,"")</x:f>
        <x:v>28.448428</x:v>
      </x:c>
      <x:c r="AA128" s="41" t="n">
        <x:v>8268</x:v>
      </x:c>
      <x:c r="AB128" s="41" t="n">
        <x:v>2822</x:v>
      </x:c>
    </x:row>
    <x:row r="129">
      <x:c r="A129" s="41" t="str">
        <x:v>HYP_FSPACE_AUTO_002_RANK_CHANNEL_SLOPE_PCT_EXIT_26_V1</x:v>
      </x:c>
      <x:c r="B129" s="41" t="str">
        <x:v>feature_space_composite_exit</x:v>
      </x:c>
      <x:c r="C129" s="41" t="str">
        <x:v>1999-01-04</x:v>
      </x:c>
      <x:c r="D129" s="41" t="str">
        <x:v>2026-05-22</x:v>
      </x:c>
      <x:c r="E129" s="41" t="n">
        <x:v>30.209994</x:v>
      </x:c>
      <x:c r="F129" s="41" t="n">
        <x:v>-69.070335</x:v>
      </x:c>
      <x:c r="G129" s="41" t="n">
        <x:v>137554.491597</x:v>
      </x:c>
      <x:c r="H129" s="41" t="n">
        <x:f>IFERROR(E129/ABS(F129),"")</x:f>
        <x:v>0.43738015748729175</x:v>
      </x:c>
      <x:c r="I129" s="41" t="n">
        <x:v>12.179931</x:v>
      </x:c>
      <x:c r="J129" s="41" t="n">
        <x:v>-40.594841</x:v>
      </x:c>
      <x:c r="K129" s="41" t="n">
        <x:v>2225.963411</x:v>
      </x:c>
      <x:c r="L129" s="41" t="n">
        <x:f>IFERROR(I129/ABS(J129),"")</x:f>
        <x:v>0.3000364258108561</x:v>
      </x:c>
      <x:c r="M129" s="41" t="n">
        <x:v>6.802475</x:v>
      </x:c>
      <x:c r="N129" s="41" t="n">
        <x:v>-56.473669</x:v>
      </x:c>
      <x:c r="O129" s="41" t="n">
        <x:v>506.057416</x:v>
      </x:c>
      <x:c r="P129" s="41" t="n">
        <x:f>IFERROR(M129/ABS(N129),"")</x:f>
        <x:v>0.12045392340278087</x:v>
      </x:c>
      <x:c r="Q129" s="41" t="str">
        <x:f>IF(L129&gt;=MAX(H129,P129),"Weekly",IF(H129&gt;=MAX(L129,P129),"No weekly","SPY"))</x:f>
        <x:v>No weekly</x:v>
      </x:c>
      <x:c r="R129" s="41" t="n">
        <x:f>IFERROR(L129-P129,"")</x:f>
        <x:v>0.17958250240807522</x:v>
      </x:c>
      <x:c r="S129" s="41" t="n">
        <x:f>IFERROR(H129-P129,"")</x:f>
        <x:v>0.31692623408451087</x:v>
      </x:c>
      <x:c r="T129" s="41" t="n">
        <x:f>IFERROR(I129-M129,"")</x:f>
        <x:v>5.377456</x:v>
      </x:c>
      <x:c r="U129" s="41" t="n">
        <x:f>IFERROR(E129-M129,"")</x:f>
        <x:v>23.407518999999997</x:v>
      </x:c>
      <x:c r="V129" s="41" t="str">
        <x:f>IF(AND(I129&gt;M129,J129&gt;N129),"Sí","No")</x:f>
        <x:v>Sí</x:v>
      </x:c>
      <x:c r="W129" s="41" t="str">
        <x:f>IF(AND(E129&gt;M129,F129&gt;N129),"Sí","No")</x:f>
        <x:v>No</x:v>
      </x:c>
      <x:c r="X129" s="41" t="str">
        <x:f>IF(L129&gt;=H129,"Weekly","No weekly")</x:f>
        <x:v>No weekly</x:v>
      </x:c>
      <x:c r="Y129" s="41" t="n">
        <x:f>IFERROR(I129-E129,"")</x:f>
        <x:v>-18.030063</x:v>
      </x:c>
      <x:c r="Z129" s="41" t="n">
        <x:f>IFERROR(J129-F129,"")</x:f>
        <x:v>28.475493999999998</x:v>
      </x:c>
      <x:c r="AA129" s="41" t="n">
        <x:v>8446</x:v>
      </x:c>
      <x:c r="AB129" s="41" t="n">
        <x:v>2822</x:v>
      </x:c>
    </x:row>
    <x:row r="130">
      <x:c r="A130" s="41" t="str">
        <x:v>HYP_FSPACE_AUTO_002_RANK_CHANNEL_SLOPE_PCT_EXIT_28_V1</x:v>
      </x:c>
      <x:c r="B130" s="41" t="str">
        <x:v>feature_space_composite_exit</x:v>
      </x:c>
      <x:c r="C130" s="41" t="str">
        <x:v>1999-01-04</x:v>
      </x:c>
      <x:c r="D130" s="41" t="str">
        <x:v>2026-05-22</x:v>
      </x:c>
      <x:c r="E130" s="41" t="n">
        <x:v>30.209994</x:v>
      </x:c>
      <x:c r="F130" s="41" t="n">
        <x:v>-69.070335</x:v>
      </x:c>
      <x:c r="G130" s="41" t="n">
        <x:v>137554.491597</x:v>
      </x:c>
      <x:c r="H130" s="41" t="n">
        <x:f>IFERROR(E130/ABS(F130),"")</x:f>
        <x:v>0.43738015748729175</x:v>
      </x:c>
      <x:c r="I130" s="41" t="n">
        <x:v>12.144714</x:v>
      </x:c>
      <x:c r="J130" s="41" t="n">
        <x:v>-40.605244</x:v>
      </x:c>
      <x:c r="K130" s="41" t="n">
        <x:v>2206.053972</x:v>
      </x:c>
      <x:c r="L130" s="41" t="n">
        <x:f>IFERROR(I130/ABS(J130),"")</x:f>
        <x:v>0.299092255177681</x:v>
      </x:c>
      <x:c r="M130" s="41" t="n">
        <x:v>6.802475</x:v>
      </x:c>
      <x:c r="N130" s="41" t="n">
        <x:v>-56.473669</x:v>
      </x:c>
      <x:c r="O130" s="41" t="n">
        <x:v>506.057416</x:v>
      </x:c>
      <x:c r="P130" s="41" t="n">
        <x:f>IFERROR(M130/ABS(N130),"")</x:f>
        <x:v>0.12045392340278087</x:v>
      </x:c>
      <x:c r="Q130" s="41" t="str">
        <x:f>IF(L130&gt;=MAX(H130,P130),"Weekly",IF(H130&gt;=MAX(L130,P130),"No weekly","SPY"))</x:f>
        <x:v>No weekly</x:v>
      </x:c>
      <x:c r="R130" s="41" t="n">
        <x:f>IFERROR(L130-P130,"")</x:f>
        <x:v>0.17863833177490013</x:v>
      </x:c>
      <x:c r="S130" s="41" t="n">
        <x:f>IFERROR(H130-P130,"")</x:f>
        <x:v>0.31692623408451087</x:v>
      </x:c>
      <x:c r="T130" s="41" t="n">
        <x:f>IFERROR(I130-M130,"")</x:f>
        <x:v>5.342239</x:v>
      </x:c>
      <x:c r="U130" s="41" t="n">
        <x:f>IFERROR(E130-M130,"")</x:f>
        <x:v>23.407518999999997</x:v>
      </x:c>
      <x:c r="V130" s="41" t="str">
        <x:f>IF(AND(I130&gt;M130,J130&gt;N130),"Sí","No")</x:f>
        <x:v>Sí</x:v>
      </x:c>
      <x:c r="W130" s="41" t="str">
        <x:f>IF(AND(E130&gt;M130,F130&gt;N130),"Sí","No")</x:f>
        <x:v>No</x:v>
      </x:c>
      <x:c r="X130" s="41" t="str">
        <x:f>IF(L130&gt;=H130,"Weekly","No weekly")</x:f>
        <x:v>No weekly</x:v>
      </x:c>
      <x:c r="Y130" s="41" t="n">
        <x:f>IFERROR(I130-E130,"")</x:f>
        <x:v>-18.065279999999998</x:v>
      </x:c>
      <x:c r="Z130" s="41" t="n">
        <x:f>IFERROR(J130-F130,"")</x:f>
        <x:v>28.465091</x:v>
      </x:c>
      <x:c r="AA130" s="41" t="n">
        <x:v>8614</x:v>
      </x:c>
      <x:c r="AB130" s="41" t="n">
        <x:v>2822</x:v>
      </x:c>
    </x:row>
    <x:row r="131">
      <x:c r="A131" s="41" t="str">
        <x:v>HYP_FSPACE_AUTO_002_RANK_CLOSE_VS_SMA20W_PCT_CONF_SMA52_POS_V1</x:v>
      </x:c>
      <x:c r="B131" s="41" t="str">
        <x:v>feature_space_composite_confirmation</x:v>
      </x:c>
      <x:c r="C131" s="41" t="str">
        <x:v>1999-01-04</x:v>
      </x:c>
      <x:c r="D131" s="41" t="str">
        <x:v>2026-05-22</x:v>
      </x:c>
      <x:c r="E131" s="41" t="n">
        <x:v>20.30341</x:v>
      </x:c>
      <x:c r="F131" s="41" t="n">
        <x:v>-55.819809</x:v>
      </x:c>
      <x:c r="G131" s="41" t="n">
        <x:v>15672.121649</x:v>
      </x:c>
      <x:c r="H131" s="41" t="n">
        <x:f>IFERROR(E131/ABS(F131),"")</x:f>
        <x:v>0.3637312696645021</x:v>
      </x:c>
      <x:c r="I131" s="41" t="n">
        <x:v>8.551084</x:v>
      </x:c>
      <x:c r="J131" s="41" t="n">
        <x:v>-35.217573</x:v>
      </x:c>
      <x:c r="K131" s="41" t="n">
        <x:v>845.388339</x:v>
      </x:c>
      <x:c r="L131" s="41" t="n">
        <x:f>IFERROR(I131/ABS(J131),"")</x:f>
        <x:v>0.24280730531885314</x:v>
      </x:c>
      <x:c r="M131" s="41" t="n">
        <x:v>6.802475</x:v>
      </x:c>
      <x:c r="N131" s="41" t="n">
        <x:v>-56.473669</x:v>
      </x:c>
      <x:c r="O131" s="41" t="n">
        <x:v>506.057416</x:v>
      </x:c>
      <x:c r="P131" s="41" t="n">
        <x:f>IFERROR(M131/ABS(N131),"")</x:f>
        <x:v>0.12045392340278087</x:v>
      </x:c>
      <x:c r="Q131" s="41" t="str">
        <x:f>IF(L131&gt;=MAX(H131,P131),"Weekly",IF(H131&gt;=MAX(L131,P131),"No weekly","SPY"))</x:f>
        <x:v>No weekly</x:v>
      </x:c>
      <x:c r="R131" s="41" t="n">
        <x:f>IFERROR(L131-P131,"")</x:f>
        <x:v>0.12235338191607227</x:v>
      </x:c>
      <x:c r="S131" s="41" t="n">
        <x:f>IFERROR(H131-P131,"")</x:f>
        <x:v>0.2432773462617212</x:v>
      </x:c>
      <x:c r="T131" s="41" t="n">
        <x:f>IFERROR(I131-M131,"")</x:f>
        <x:v>1.7486089999999992</x:v>
      </x:c>
      <x:c r="U131" s="41" t="n">
        <x:f>IFERROR(E131-M131,"")</x:f>
        <x:v>13.500934999999998</x:v>
      </x:c>
      <x:c r="V131" s="41" t="str">
        <x:f>IF(AND(I131&gt;M131,J131&gt;N131),"Sí","No")</x:f>
        <x:v>Sí</x:v>
      </x:c>
      <x:c r="W131" s="41" t="str">
        <x:f>IF(AND(E131&gt;M131,F131&gt;N131),"Sí","No")</x:f>
        <x:v>Sí</x:v>
      </x:c>
      <x:c r="X131" s="41" t="str">
        <x:f>IF(L131&gt;=H131,"Weekly","No weekly")</x:f>
        <x:v>No weekly</x:v>
      </x:c>
      <x:c r="Y131" s="41" t="n">
        <x:f>IFERROR(I131-E131,"")</x:f>
        <x:v>-11.752326</x:v>
      </x:c>
      <x:c r="Z131" s="41" t="n">
        <x:f>IFERROR(J131-F131,"")</x:f>
        <x:v>20.602235999999998</x:v>
      </x:c>
      <x:c r="AA131" s="41" t="n">
        <x:v>9323</x:v>
      </x:c>
      <x:c r="AB131" s="41" t="n">
        <x:v>4276</x:v>
      </x:c>
    </x:row>
    <x:row r="132">
      <x:c r="A132" s="41" t="str">
        <x:v>HYP_LIT_AUTO_002_PAPER_LOW_VOLATILITY_ANOMALY_AND_MOMEN_VOL_ATR14_RET52_V4</x:v>
      </x:c>
      <x:c r="B132" s="41" t="str">
        <x:v>paper_low_vol_momentum</x:v>
      </x:c>
      <x:c r="C132" s="41" t="str">
        <x:v>1999-01-04</x:v>
      </x:c>
      <x:c r="D132" s="41" t="str">
        <x:v>2026-05-22</x:v>
      </x:c>
      <x:c r="E132" s="41" t="n">
        <x:v>25.292058</x:v>
      </x:c>
      <x:c r="F132" s="41" t="n">
        <x:v>-58.89752</x:v>
      </x:c>
      <x:c r="G132" s="41" t="n">
        <x:v>47873.393792</x:v>
      </x:c>
      <x:c r="H132" s="41" t="n">
        <x:f>IFERROR(E132/ABS(F132),"")</x:f>
        <x:v>0.42942483826144123</x:v>
      </x:c>
      <x:c r="I132" s="41" t="n">
        <x:v>12.484666</x:v>
      </x:c>
      <x:c r="J132" s="41" t="n">
        <x:v>-38.639771</x:v>
      </x:c>
      <x:c r="K132" s="41" t="n">
        <x:v>2405.295494</x:v>
      </x:c>
      <x:c r="L132" s="41" t="n">
        <x:f>IFERROR(I132/ABS(J132),"")</x:f>
        <x:v>0.32310403702961904</x:v>
      </x:c>
      <x:c r="M132" s="41" t="n">
        <x:v>6.802475</x:v>
      </x:c>
      <x:c r="N132" s="41" t="n">
        <x:v>-56.473669</x:v>
      </x:c>
      <x:c r="O132" s="41" t="n">
        <x:v>506.057416</x:v>
      </x:c>
      <x:c r="P132" s="41" t="n">
        <x:f>IFERROR(M132/ABS(N132),"")</x:f>
        <x:v>0.12045392340278087</x:v>
      </x:c>
      <x:c r="Q132" s="41" t="str">
        <x:f>IF(L132&gt;=MAX(H132,P132),"Weekly",IF(H132&gt;=MAX(L132,P132),"No weekly","SPY"))</x:f>
        <x:v>No weekly</x:v>
      </x:c>
      <x:c r="R132" s="41" t="n">
        <x:f>IFERROR(L132-P132,"")</x:f>
        <x:v>0.20265011362683816</x:v>
      </x:c>
      <x:c r="S132" s="41" t="n">
        <x:f>IFERROR(H132-P132,"")</x:f>
        <x:v>0.30897091485866035</x:v>
      </x:c>
      <x:c r="T132" s="41" t="n">
        <x:f>IFERROR(I132-M132,"")</x:f>
        <x:v>5.682191</x:v>
      </x:c>
      <x:c r="U132" s="41" t="n">
        <x:f>IFERROR(E132-M132,"")</x:f>
        <x:v>18.489583</x:v>
      </x:c>
      <x:c r="V132" s="41" t="str">
        <x:f>IF(AND(I132&gt;M132,J132&gt;N132),"Sí","No")</x:f>
        <x:v>Sí</x:v>
      </x:c>
      <x:c r="W132" s="41" t="str">
        <x:f>IF(AND(E132&gt;M132,F132&gt;N132),"Sí","No")</x:f>
        <x:v>No</x:v>
      </x:c>
      <x:c r="X132" s="41" t="str">
        <x:f>IF(L132&gt;=H132,"Weekly","No weekly")</x:f>
        <x:v>No weekly</x:v>
      </x:c>
      <x:c r="Y132" s="41" t="n">
        <x:f>IFERROR(I132-E132,"")</x:f>
        <x:v>-12.807392</x:v>
      </x:c>
      <x:c r="Z132" s="41" t="n">
        <x:f>IFERROR(J132-F132,"")</x:f>
        <x:v>20.257748999999997</x:v>
      </x:c>
      <x:c r="AA132" s="41" t="n">
        <x:v>8193</x:v>
      </x:c>
      <x:c r="AB132" s="41" t="n">
        <x:v>3280</x:v>
      </x:c>
    </x:row>
    <x:row r="133">
      <x:c r="A133" s="41" t="str">
        <x:v>HYP_QUALITY_MOMENTUM_CONCENTRATION_18_V1</x:v>
      </x:c>
      <x:c r="B133" s="41" t="str">
        <x:v>cross_sectional_momentum</x:v>
      </x:c>
      <x:c r="C133" s="41" t="str">
        <x:v>1999-01-04</x:v>
      </x:c>
      <x:c r="D133" s="41" t="str">
        <x:v>2026-05-22</x:v>
      </x:c>
      <x:c r="E133" s="41" t="n">
        <x:v>23.835429</x:v>
      </x:c>
      <x:c r="F133" s="41" t="n">
        <x:v>-57.58696</x:v>
      </x:c>
      <x:c r="G133" s="41" t="n">
        <x:v>34730.137944</x:v>
      </x:c>
      <x:c r="H133" s="41" t="n">
        <x:f>IFERROR(E133/ABS(F133),"")</x:f>
        <x:v>0.41390323434333054</x:v>
      </x:c>
      <x:c r="I133" s="41" t="n">
        <x:v>10.664963</x:v>
      </x:c>
      <x:c r="J133" s="41" t="n">
        <x:v>-36.435117</x:v>
      </x:c>
      <x:c r="K133" s="41" t="n">
        <x:v>1502.994444</x:v>
      </x:c>
      <x:c r="L133" s="41" t="n">
        <x:f>IFERROR(I133/ABS(J133),"")</x:f>
        <x:v>0.29271109517776495</x:v>
      </x:c>
      <x:c r="M133" s="41" t="n">
        <x:v>6.802475</x:v>
      </x:c>
      <x:c r="N133" s="41" t="n">
        <x:v>-56.473669</x:v>
      </x:c>
      <x:c r="O133" s="41" t="n">
        <x:v>506.057416</x:v>
      </x:c>
      <x:c r="P133" s="41" t="n">
        <x:f>IFERROR(M133/ABS(N133),"")</x:f>
        <x:v>0.12045392340278087</x:v>
      </x:c>
      <x:c r="Q133" s="41" t="str">
        <x:f>IF(L133&gt;=MAX(H133,P133),"Weekly",IF(H133&gt;=MAX(L133,P133),"No weekly","SPY"))</x:f>
        <x:v>No weekly</x:v>
      </x:c>
      <x:c r="R133" s="41" t="n">
        <x:f>IFERROR(L133-P133,"")</x:f>
        <x:v>0.17225717177498406</x:v>
      </x:c>
      <x:c r="S133" s="41" t="n">
        <x:f>IFERROR(H133-P133,"")</x:f>
        <x:v>0.29344931094054966</x:v>
      </x:c>
      <x:c r="T133" s="41" t="n">
        <x:f>IFERROR(I133-M133,"")</x:f>
        <x:v>3.862488</x:v>
      </x:c>
      <x:c r="U133" s="41" t="n">
        <x:f>IFERROR(E133-M133,"")</x:f>
        <x:v>17.032954</x:v>
      </x:c>
      <x:c r="V133" s="41" t="str">
        <x:f>IF(AND(I133&gt;M133,J133&gt;N133),"Sí","No")</x:f>
        <x:v>Sí</x:v>
      </x:c>
      <x:c r="W133" s="41" t="str">
        <x:f>IF(AND(E133&gt;M133,F133&gt;N133),"Sí","No")</x:f>
        <x:v>No</x:v>
      </x:c>
      <x:c r="X133" s="41" t="str">
        <x:f>IF(L133&gt;=H133,"Weekly","No weekly")</x:f>
        <x:v>No weekly</x:v>
      </x:c>
      <x:c r="Y133" s="41" t="n">
        <x:f>IFERROR(I133-E133,"")</x:f>
        <x:v>-13.170466000000001</x:v>
      </x:c>
      <x:c r="Z133" s="41" t="n">
        <x:f>IFERROR(J133-F133,"")</x:f>
        <x:v>21.151843</x:v>
      </x:c>
      <x:c r="AA133" s="41" t="n">
        <x:v>10834</x:v>
      </x:c>
      <x:c r="AB133" s="41" t="n">
        <x:v>3913</x:v>
      </x:c>
    </x:row>
    <x:row r="134">
      <x:c r="A134" s="41" t="str">
        <x:v>HYP_QUALITY_MOMENTUM_CONCENTRATION_9_V1</x:v>
      </x:c>
      <x:c r="B134" s="41" t="str">
        <x:v>cross_sectional_momentum</x:v>
      </x:c>
      <x:c r="C134" s="41" t="str">
        <x:v>1999-01-04</x:v>
      </x:c>
      <x:c r="D134" s="41" t="str">
        <x:v>2026-05-22</x:v>
      </x:c>
      <x:c r="E134" s="41" t="n">
        <x:v>32.270842</x:v>
      </x:c>
      <x:c r="F134" s="41" t="n">
        <x:v>-58.434895</x:v>
      </x:c>
      <x:c r="G134" s="41" t="n">
        <x:v>211495.4257</x:v>
      </x:c>
      <x:c r="H134" s="41" t="n">
        <x:f>IFERROR(E134/ABS(F134),"")</x:f>
        <x:v>0.5522529303766184</x:v>
      </x:c>
      <x:c r="I134" s="41" t="n">
        <x:v>13.748474</x:v>
      </x:c>
      <x:c r="J134" s="41" t="n">
        <x:v>-41.585644</x:v>
      </x:c>
      <x:c r="K134" s="41" t="n">
        <x:v>3301.781928</x:v>
      </x:c>
      <x:c r="L134" s="41" t="n">
        <x:f>IFERROR(I134/ABS(J134),"")</x:f>
        <x:v>0.33060625440837227</x:v>
      </x:c>
      <x:c r="M134" s="41" t="n">
        <x:v>6.802475</x:v>
      </x:c>
      <x:c r="N134" s="41" t="n">
        <x:v>-56.473669</x:v>
      </x:c>
      <x:c r="O134" s="41" t="n">
        <x:v>506.057416</x:v>
      </x:c>
      <x:c r="P134" s="41" t="n">
        <x:f>IFERROR(M134/ABS(N134),"")</x:f>
        <x:v>0.12045392340278087</x:v>
      </x:c>
      <x:c r="Q134" s="41" t="str">
        <x:f>IF(L134&gt;=MAX(H134,P134),"Weekly",IF(H134&gt;=MAX(L134,P134),"No weekly","SPY"))</x:f>
        <x:v>No weekly</x:v>
      </x:c>
      <x:c r="R134" s="41" t="n">
        <x:f>IFERROR(L134-P134,"")</x:f>
        <x:v>0.2101523310055914</x:v>
      </x:c>
      <x:c r="S134" s="41" t="n">
        <x:f>IFERROR(H134-P134,"")</x:f>
        <x:v>0.4317990069738375</x:v>
      </x:c>
      <x:c r="T134" s="41" t="n">
        <x:f>IFERROR(I134-M134,"")</x:f>
        <x:v>6.945999</x:v>
      </x:c>
      <x:c r="U134" s="41" t="n">
        <x:f>IFERROR(E134-M134,"")</x:f>
        <x:v>25.468367</x:v>
      </x:c>
      <x:c r="V134" s="41" t="str">
        <x:f>IF(AND(I134&gt;M134,J134&gt;N134),"Sí","No")</x:f>
        <x:v>Sí</x:v>
      </x:c>
      <x:c r="W134" s="41" t="str">
        <x:f>IF(AND(E134&gt;M134,F134&gt;N134),"Sí","No")</x:f>
        <x:v>No</x:v>
      </x:c>
      <x:c r="X134" s="41" t="str">
        <x:f>IF(L134&gt;=H134,"Weekly","No weekly")</x:f>
        <x:v>No weekly</x:v>
      </x:c>
      <x:c r="Y134" s="41" t="n">
        <x:f>IFERROR(I134-E134,"")</x:f>
        <x:v>-18.522368</x:v>
      </x:c>
      <x:c r="Z134" s="41" t="n">
        <x:f>IFERROR(J134-F134,"")</x:f>
        <x:v>16.849250999999995</x:v>
      </x:c>
      <x:c r="AA134" s="41" t="n">
        <x:v>6521</x:v>
      </x:c>
      <x:c r="AB134" s="41" t="n">
        <x:v>1958</x:v>
      </x:c>
    </x:row>
    <x:row r="135">
      <x:c r="A135" s="41" t="str">
        <x:v>HYP_REFINE_AUTO002_TOPN_6_V1_DDGRID_CHEAP_R11_C21_E75_CR40_REDD_RECOVERED_DD8_SL20</x:v>
      </x:c>
      <x:c r="B135" s="41" t="str">
        <x:v>dd_guard_grid</x:v>
      </x:c>
      <x:c r="C135" s="41" t="str">
        <x:v>1999-01-04</x:v>
      </x:c>
      <x:c r="D135" s="41" t="str">
        <x:v>2026-05-22</x:v>
      </x:c>
      <x:c r="E135" s="41" t="n">
        <x:v>12.840019</x:v>
      </x:c>
      <x:c r="F135" s="41" t="n">
        <x:v>-32.545222</x:v>
      </x:c>
      <x:c r="G135" s="41" t="n">
        <x:v>2631.258504</x:v>
      </x:c>
      <x:c r="H135" s="41" t="n">
        <x:f>IFERROR(E135/ABS(F135),"")</x:f>
        <x:v>0.3945285424693062</x:v>
      </x:c>
      <x:c r="I135" s="41" t="n">
        <x:v>13.410433</x:v>
      </x:c>
      <x:c r="J135" s="41" t="n">
        <x:v>-29.110571</x:v>
      </x:c>
      <x:c r="K135" s="41" t="n">
        <x:v>3035.579421</x:v>
      </x:c>
      <x:c r="L135" s="41" t="n">
        <x:f>IFERROR(I135/ABS(J135),"")</x:f>
        <x:v>0.4606722760608165</x:v>
      </x:c>
      <x:c r="M135" s="41" t="n">
        <x:v>6.802475</x:v>
      </x:c>
      <x:c r="N135" s="41" t="n">
        <x:v>-56.473669</x:v>
      </x:c>
      <x:c r="O135" s="41" t="n">
        <x:v>506.057416</x:v>
      </x:c>
      <x:c r="P135" s="41" t="n">
        <x:f>IFERROR(M135/ABS(N135),"")</x:f>
        <x:v>0.12045392340278087</x:v>
      </x:c>
      <x:c r="Q135" s="41" t="str">
        <x:f>IF(L135&gt;=MAX(H135,P135),"Weekly",IF(H135&gt;=MAX(L135,P135),"No weekly","SPY"))</x:f>
        <x:v>Weekly</x:v>
      </x:c>
      <x:c r="R135" s="41" t="n">
        <x:f>IFERROR(L135-P135,"")</x:f>
        <x:v>0.3402183526580356</x:v>
      </x:c>
      <x:c r="S135" s="41" t="n">
        <x:f>IFERROR(H135-P135,"")</x:f>
        <x:v>0.2740746190665253</x:v>
      </x:c>
      <x:c r="T135" s="41" t="n">
        <x:f>IFERROR(I135-M135,"")</x:f>
        <x:v>6.607957999999999</x:v>
      </x:c>
      <x:c r="U135" s="41" t="n">
        <x:f>IFERROR(E135-M135,"")</x:f>
        <x:v>6.037544</x:v>
      </x:c>
      <x:c r="V135" s="41" t="str">
        <x:f>IF(AND(I135&gt;M135,J135&gt;N135),"Sí","No")</x:f>
        <x:v>Sí</x:v>
      </x:c>
      <x:c r="W135" s="41" t="str">
        <x:f>IF(AND(E135&gt;M135,F135&gt;N135),"Sí","No")</x:f>
        <x:v>Sí</x:v>
      </x:c>
      <x:c r="X135" s="41" t="str">
        <x:f>IF(L135&gt;=H135,"Weekly","No weekly")</x:f>
        <x:v>Weekly</x:v>
      </x:c>
      <x:c r="Y135" s="41" t="n">
        <x:f>IFERROR(I135-E135,"")</x:f>
        <x:v>0.5704139999999995</x:v>
      </x:c>
      <x:c r="Z135" s="41" t="n">
        <x:f>IFERROR(J135-F135,"")</x:f>
        <x:v>3.4346510000000023</x:v>
      </x:c>
      <x:c r="AA135" s="41" t="n">
        <x:v>11960</x:v>
      </x:c>
      <x:c r="AB135" s="41" t="n">
        <x:v>5894</x:v>
      </x:c>
    </x:row>
    <x:row r="136">
      <x:c r="A136" s="41" t="str">
        <x:v>HYP_REFINE_AUTO002_TOPN_6_V1_DDGRID_CHEAP_R11_C22_E75_CR40_REDD_RECOVERED_DD7_SL20</x:v>
      </x:c>
      <x:c r="B136" s="41" t="str">
        <x:v>dd_guard_grid</x:v>
      </x:c>
      <x:c r="C136" s="41" t="str">
        <x:v>1999-01-04</x:v>
      </x:c>
      <x:c r="D136" s="41" t="str">
        <x:v>2026-05-22</x:v>
      </x:c>
      <x:c r="E136" s="41" t="n">
        <x:v>13.884546</x:v>
      </x:c>
      <x:c r="F136" s="41" t="n">
        <x:v>-32.641176</x:v>
      </x:c>
      <x:c r="G136" s="41" t="n">
        <x:v>3414.971729</x:v>
      </x:c>
      <x:c r="H136" s="41" t="n">
        <x:f>IFERROR(E136/ABS(F136),"")</x:f>
        <x:v>0.42536904920337426</x:v>
      </x:c>
      <x:c r="I136" s="41" t="n">
        <x:v>12.088083</x:v>
      </x:c>
      <x:c r="J136" s="41" t="n">
        <x:v>-29.435035</x:v>
      </x:c>
      <x:c r="K136" s="41" t="n">
        <x:v>2174.382748</x:v>
      </x:c>
      <x:c r="L136" s="41" t="n">
        <x:f>IFERROR(I136/ABS(J136),"")</x:f>
        <x:v>0.41066990407859205</x:v>
      </x:c>
      <x:c r="M136" s="41" t="n">
        <x:v>6.802475</x:v>
      </x:c>
      <x:c r="N136" s="41" t="n">
        <x:v>-56.473669</x:v>
      </x:c>
      <x:c r="O136" s="41" t="n">
        <x:v>506.057416</x:v>
      </x:c>
      <x:c r="P136" s="41" t="n">
        <x:f>IFERROR(M136/ABS(N136),"")</x:f>
        <x:v>0.12045392340278087</x:v>
      </x:c>
      <x:c r="Q136" s="41" t="str">
        <x:f>IF(L136&gt;=MAX(H136,P136),"Weekly",IF(H136&gt;=MAX(L136,P136),"No weekly","SPY"))</x:f>
        <x:v>No weekly</x:v>
      </x:c>
      <x:c r="R136" s="41" t="n">
        <x:f>IFERROR(L136-P136,"")</x:f>
        <x:v>0.29021598067581117</x:v>
      </x:c>
      <x:c r="S136" s="41" t="n">
        <x:f>IFERROR(H136-P136,"")</x:f>
        <x:v>0.3049151258005934</x:v>
      </x:c>
      <x:c r="T136" s="41" t="n">
        <x:f>IFERROR(I136-M136,"")</x:f>
        <x:v>5.285607999999999</x:v>
      </x:c>
      <x:c r="U136" s="41" t="n">
        <x:f>IFERROR(E136-M136,"")</x:f>
        <x:v>7.082071</x:v>
      </x:c>
      <x:c r="V136" s="41" t="str">
        <x:f>IF(AND(I136&gt;M136,J136&gt;N136),"Sí","No")</x:f>
        <x:v>Sí</x:v>
      </x:c>
      <x:c r="W136" s="41" t="str">
        <x:f>IF(AND(E136&gt;M136,F136&gt;N136),"Sí","No")</x:f>
        <x:v>Sí</x:v>
      </x:c>
      <x:c r="X136" s="41" t="str">
        <x:f>IF(L136&gt;=H136,"Weekly","No weekly")</x:f>
        <x:v>No weekly</x:v>
      </x:c>
      <x:c r="Y136" s="41" t="n">
        <x:f>IFERROR(I136-E136,"")</x:f>
        <x:v>-1.796463000000001</x:v>
      </x:c>
      <x:c r="Z136" s="41" t="n">
        <x:f>IFERROR(J136-F136,"")</x:f>
        <x:v>3.2061410000000024</x:v>
      </x:c>
      <x:c r="AA136" s="41" t="n">
        <x:v>12361</x:v>
      </x:c>
      <x:c r="AB136" s="41" t="n">
        <x:v>5803</x:v>
      </x:c>
    </x:row>
    <x:row r="137">
      <x:c r="A137" s="41" t="str">
        <x:v>HYP_REFINE_AUTO002_TOPN_6_V1_DDGRID_CHEAP_R11_C22_E75_CR40_REDD_RECOVERED_DD8_SL18</x:v>
      </x:c>
      <x:c r="B137" s="41" t="str">
        <x:v>dd_guard_grid</x:v>
      </x:c>
      <x:c r="C137" s="41" t="str">
        <x:v>1999-01-04</x:v>
      </x:c>
      <x:c r="D137" s="41" t="str">
        <x:v>2026-05-22</x:v>
      </x:c>
      <x:c r="E137" s="41" t="n">
        <x:v>11.530365</x:v>
      </x:c>
      <x:c r="F137" s="41" t="n">
        <x:v>-31.56548</x:v>
      </x:c>
      <x:c r="G137" s="41" t="n">
        <x:v>1884.05158</x:v>
      </x:c>
      <x:c r="H137" s="41" t="n">
        <x:f>IFERROR(E137/ABS(F137),"")</x:f>
        <x:v>0.3652840064526185</x:v>
      </x:c>
      <x:c r="I137" s="41" t="n">
        <x:v>12.027387</x:v>
      </x:c>
      <x:c r="J137" s="41" t="n">
        <x:v>-29.670864</x:v>
      </x:c>
      <x:c r="K137" s="41" t="n">
        <x:v>2140.903478</x:v>
      </x:c>
      <x:c r="L137" s="41" t="n">
        <x:f>IFERROR(I137/ABS(J137),"")</x:f>
        <x:v>0.40536018769119764</x:v>
      </x:c>
      <x:c r="M137" s="41" t="n">
        <x:v>6.802475</x:v>
      </x:c>
      <x:c r="N137" s="41" t="n">
        <x:v>-56.473669</x:v>
      </x:c>
      <x:c r="O137" s="41" t="n">
        <x:v>506.057416</x:v>
      </x:c>
      <x:c r="P137" s="41" t="n">
        <x:f>IFERROR(M137/ABS(N137),"")</x:f>
        <x:v>0.12045392340278087</x:v>
      </x:c>
      <x:c r="Q137" s="41" t="str">
        <x:f>IF(L137&gt;=MAX(H137,P137),"Weekly",IF(H137&gt;=MAX(L137,P137),"No weekly","SPY"))</x:f>
        <x:v>Weekly</x:v>
      </x:c>
      <x:c r="R137" s="41" t="n">
        <x:f>IFERROR(L137-P137,"")</x:f>
        <x:v>0.28490626428841676</x:v>
      </x:c>
      <x:c r="S137" s="41" t="n">
        <x:f>IFERROR(H137-P137,"")</x:f>
        <x:v>0.2448300830498376</x:v>
      </x:c>
      <x:c r="T137" s="41" t="n">
        <x:f>IFERROR(I137-M137,"")</x:f>
        <x:v>5.224911999999999</x:v>
      </x:c>
      <x:c r="U137" s="41" t="n">
        <x:f>IFERROR(E137-M137,"")</x:f>
        <x:v>4.7278899999999995</x:v>
      </x:c>
      <x:c r="V137" s="41" t="str">
        <x:f>IF(AND(I137&gt;M137,J137&gt;N137),"Sí","No")</x:f>
        <x:v>Sí</x:v>
      </x:c>
      <x:c r="W137" s="41" t="str">
        <x:f>IF(AND(E137&gt;M137,F137&gt;N137),"Sí","No")</x:f>
        <x:v>Sí</x:v>
      </x:c>
      <x:c r="X137" s="41" t="str">
        <x:f>IF(L137&gt;=H137,"Weekly","No weekly")</x:f>
        <x:v>Weekly</x:v>
      </x:c>
      <x:c r="Y137" s="41" t="n">
        <x:f>IFERROR(I137-E137,"")</x:f>
        <x:v>0.4970219999999994</x:v>
      </x:c>
      <x:c r="Z137" s="41" t="n">
        <x:f>IFERROR(J137-F137,"")</x:f>
        <x:v>1.8946159999999992</x:v>
      </x:c>
      <x:c r="AA137" s="41" t="n">
        <x:v>11909</x:v>
      </x:c>
      <x:c r="AB137" s="41" t="n">
        <x:v>5845</x:v>
      </x:c>
    </x:row>
    <x:row r="138">
      <x:c r="A138" s="41" t="str">
        <x:v>HYP_REFINE_AUTO002_TOPN_6_V1_DDGRID_CHEAP_R11_C22_E75_CR40_REDD_RECOVERED_DD8_SL20</x:v>
      </x:c>
      <x:c r="B138" s="41" t="str">
        <x:v>dd_guard_grid</x:v>
      </x:c>
      <x:c r="C138" s="41" t="str">
        <x:v>1999-01-04</x:v>
      </x:c>
      <x:c r="D138" s="41" t="str">
        <x:v>2026-05-22</x:v>
      </x:c>
      <x:c r="E138" s="41" t="n">
        <x:v>12.026639</x:v>
      </x:c>
      <x:c r="F138" s="41" t="n">
        <x:v>-32.641176</x:v>
      </x:c>
      <x:c r="G138" s="41" t="n">
        <x:v>2140.494045</x:v>
      </x:c>
      <x:c r="H138" s="41" t="n">
        <x:f>IFERROR(E138/ABS(F138),"")</x:f>
        <x:v>0.3684499296226337</x:v>
      </x:c>
      <x:c r="I138" s="41" t="n">
        <x:v>12.541464</x:v>
      </x:c>
      <x:c r="J138" s="41" t="n">
        <x:v>-29.435035</x:v>
      </x:c>
      <x:c r="K138" s="41" t="n">
        <x:v>2440.161433</x:v>
      </x:c>
      <x:c r="L138" s="41" t="n">
        <x:f>IFERROR(I138/ABS(J138),"")</x:f>
        <x:v>0.42607267156298606</x:v>
      </x:c>
      <x:c r="M138" s="41" t="n">
        <x:v>6.802475</x:v>
      </x:c>
      <x:c r="N138" s="41" t="n">
        <x:v>-56.473669</x:v>
      </x:c>
      <x:c r="O138" s="41" t="n">
        <x:v>506.057416</x:v>
      </x:c>
      <x:c r="P138" s="41" t="n">
        <x:f>IFERROR(M138/ABS(N138),"")</x:f>
        <x:v>0.12045392340278087</x:v>
      </x:c>
      <x:c r="Q138" s="41" t="str">
        <x:f>IF(L138&gt;=MAX(H138,P138),"Weekly",IF(H138&gt;=MAX(L138,P138),"No weekly","SPY"))</x:f>
        <x:v>Weekly</x:v>
      </x:c>
      <x:c r="R138" s="41" t="n">
        <x:f>IFERROR(L138-P138,"")</x:f>
        <x:v>0.3056187481602052</x:v>
      </x:c>
      <x:c r="S138" s="41" t="n">
        <x:f>IFERROR(H138-P138,"")</x:f>
        <x:v>0.2479960062198528</x:v>
      </x:c>
      <x:c r="T138" s="41" t="n">
        <x:f>IFERROR(I138-M138,"")</x:f>
        <x:v>5.738988999999999</x:v>
      </x:c>
      <x:c r="U138" s="41" t="n">
        <x:f>IFERROR(E138-M138,"")</x:f>
        <x:v>5.224163999999999</x:v>
      </x:c>
      <x:c r="V138" s="41" t="str">
        <x:f>IF(AND(I138&gt;M138,J138&gt;N138),"Sí","No")</x:f>
        <x:v>Sí</x:v>
      </x:c>
      <x:c r="W138" s="41" t="str">
        <x:f>IF(AND(E138&gt;M138,F138&gt;N138),"Sí","No")</x:f>
        <x:v>Sí</x:v>
      </x:c>
      <x:c r="X138" s="41" t="str">
        <x:f>IF(L138&gt;=H138,"Weekly","No weekly")</x:f>
        <x:v>Weekly</x:v>
      </x:c>
      <x:c r="Y138" s="41" t="n">
        <x:f>IFERROR(I138-E138,"")</x:f>
        <x:v>0.5148250000000001</x:v>
      </x:c>
      <x:c r="Z138" s="41" t="n">
        <x:f>IFERROR(J138-F138,"")</x:f>
        <x:v>3.2061410000000024</x:v>
      </x:c>
      <x:c r="AA138" s="41" t="n">
        <x:v>11968</x:v>
      </x:c>
      <x:c r="AB138" s="41" t="n">
        <x:v>5958</x:v>
      </x:c>
    </x:row>
    <x:row r="139">
      <x:c r="A139" s="41" t="str">
        <x:v>HYP_REFINE_AUTO002_TOPN_6_V1_DDGRID_CHEAP_R11_C22_E75_CR40_REDD_RECOVERED_DD8_SL22</x:v>
      </x:c>
      <x:c r="B139" s="41" t="str">
        <x:v>dd_guard_grid</x:v>
      </x:c>
      <x:c r="C139" s="41" t="str">
        <x:v>1999-01-04</x:v>
      </x:c>
      <x:c r="D139" s="41" t="str">
        <x:v>2026-05-22</x:v>
      </x:c>
      <x:c r="E139" s="41" t="n">
        <x:v>12.448196</x:v>
      </x:c>
      <x:c r="F139" s="41" t="n">
        <x:v>-33.556578</x:v>
      </x:c>
      <x:c r="G139" s="41" t="n">
        <x:v>2383.151528</x:v>
      </x:c>
      <x:c r="H139" s="41" t="n">
        <x:f>IFERROR(E139/ABS(F139),"")</x:f>
        <x:v>0.3709614252084941</x:v>
      </x:c>
      <x:c r="I139" s="41" t="n">
        <x:v>12.273294</x:v>
      </x:c>
      <x:c r="J139" s="41" t="n">
        <x:v>-29.461895</x:v>
      </x:c>
      <x:c r="K139" s="41" t="n">
        <x:v>2279.548636</x:v>
      </x:c>
      <x:c r="L139" s="41" t="n">
        <x:f>IFERROR(I139/ABS(J139),"")</x:f>
        <x:v>0.4165819612078585</x:v>
      </x:c>
      <x:c r="M139" s="41" t="n">
        <x:v>6.802475</x:v>
      </x:c>
      <x:c r="N139" s="41" t="n">
        <x:v>-56.473669</x:v>
      </x:c>
      <x:c r="O139" s="41" t="n">
        <x:v>506.057416</x:v>
      </x:c>
      <x:c r="P139" s="41" t="n">
        <x:f>IFERROR(M139/ABS(N139),"")</x:f>
        <x:v>0.12045392340278087</x:v>
      </x:c>
      <x:c r="Q139" s="41" t="str">
        <x:f>IF(L139&gt;=MAX(H139,P139),"Weekly",IF(H139&gt;=MAX(L139,P139),"No weekly","SPY"))</x:f>
        <x:v>Weekly</x:v>
      </x:c>
      <x:c r="R139" s="41" t="n">
        <x:f>IFERROR(L139-P139,"")</x:f>
        <x:v>0.2961280378050776</x:v>
      </x:c>
      <x:c r="S139" s="41" t="n">
        <x:f>IFERROR(H139-P139,"")</x:f>
        <x:v>0.25050750180571324</x:v>
      </x:c>
      <x:c r="T139" s="41" t="n">
        <x:f>IFERROR(I139-M139,"")</x:f>
        <x:v>5.470819</x:v>
      </x:c>
      <x:c r="U139" s="41" t="n">
        <x:f>IFERROR(E139-M139,"")</x:f>
        <x:v>5.645720999999999</x:v>
      </x:c>
      <x:c r="V139" s="41" t="str">
        <x:f>IF(AND(I139&gt;M139,J139&gt;N139),"Sí","No")</x:f>
        <x:v>Sí</x:v>
      </x:c>
      <x:c r="W139" s="41" t="str">
        <x:f>IF(AND(E139&gt;M139,F139&gt;N139),"Sí","No")</x:f>
        <x:v>Sí</x:v>
      </x:c>
      <x:c r="X139" s="41" t="str">
        <x:f>IF(L139&gt;=H139,"Weekly","No weekly")</x:f>
        <x:v>Weekly</x:v>
      </x:c>
      <x:c r="Y139" s="41" t="n">
        <x:f>IFERROR(I139-E139,"")</x:f>
        <x:v>-0.17490199999999945</x:v>
      </x:c>
      <x:c r="Z139" s="41" t="n">
        <x:f>IFERROR(J139-F139,"")</x:f>
        <x:v>4.094683000000003</x:v>
      </x:c>
      <x:c r="AA139" s="41" t="n">
        <x:v>12187</x:v>
      </x:c>
      <x:c r="AB139" s="41" t="n">
        <x:v>5903</x:v>
      </x:c>
    </x:row>
    <x:row r="140">
      <x:c r="A140" s="41" t="str">
        <x:v>HYP_REFINE_AUTO002_TOPN_6_V1_DDGRID_CHEAP_R11_C22_E75_CR40_REDD_RECOVERED_DD9_SL20</x:v>
      </x:c>
      <x:c r="B140" s="41" t="str">
        <x:v>dd_guard_grid</x:v>
      </x:c>
      <x:c r="C140" s="41" t="str">
        <x:v>1999-01-04</x:v>
      </x:c>
      <x:c r="D140" s="41" t="str">
        <x:v>2026-05-22</x:v>
      </x:c>
      <x:c r="E140" s="41" t="n">
        <x:v>12.416458</x:v>
      </x:c>
      <x:c r="F140" s="41" t="n">
        <x:v>-32.641176</x:v>
      </x:c>
      <x:c r="G140" s="41" t="n">
        <x:v>2364.034335</x:v>
      </x:c>
      <x:c r="H140" s="41" t="n">
        <x:f>IFERROR(E140/ABS(F140),"")</x:f>
        <x:v>0.3803924834080733</x:v>
      </x:c>
      <x:c r="I140" s="41" t="n">
        <x:v>12.409916</x:v>
      </x:c>
      <x:c r="J140" s="41" t="n">
        <x:v>-29.435035</x:v>
      </x:c>
      <x:c r="K140" s="41" t="n">
        <x:v>2360.111546</x:v>
      </x:c>
      <x:c r="L140" s="41" t="n">
        <x:f>IFERROR(I140/ABS(J140),"")</x:f>
        <x:v>0.4216035754671262</x:v>
      </x:c>
      <x:c r="M140" s="41" t="n">
        <x:v>6.802475</x:v>
      </x:c>
      <x:c r="N140" s="41" t="n">
        <x:v>-56.473669</x:v>
      </x:c>
      <x:c r="O140" s="41" t="n">
        <x:v>506.057416</x:v>
      </x:c>
      <x:c r="P140" s="41" t="n">
        <x:f>IFERROR(M140/ABS(N140),"")</x:f>
        <x:v>0.12045392340278087</x:v>
      </x:c>
      <x:c r="Q140" s="41" t="str">
        <x:f>IF(L140&gt;=MAX(H140,P140),"Weekly",IF(H140&gt;=MAX(L140,P140),"No weekly","SPY"))</x:f>
        <x:v>Weekly</x:v>
      </x:c>
      <x:c r="R140" s="41" t="n">
        <x:f>IFERROR(L140-P140,"")</x:f>
        <x:v>0.3011496520643453</x:v>
      </x:c>
      <x:c r="S140" s="41" t="n">
        <x:f>IFERROR(H140-P140,"")</x:f>
        <x:v>0.2599385600052924</x:v>
      </x:c>
      <x:c r="T140" s="41" t="n">
        <x:f>IFERROR(I140-M140,"")</x:f>
        <x:v>5.607441000000001</x:v>
      </x:c>
      <x:c r="U140" s="41" t="n">
        <x:f>IFERROR(E140-M140,"")</x:f>
        <x:v>5.613983</x:v>
      </x:c>
      <x:c r="V140" s="41" t="str">
        <x:f>IF(AND(I140&gt;M140,J140&gt;N140),"Sí","No")</x:f>
        <x:v>Sí</x:v>
      </x:c>
      <x:c r="W140" s="41" t="str">
        <x:f>IF(AND(E140&gt;M140,F140&gt;N140),"Sí","No")</x:f>
        <x:v>Sí</x:v>
      </x:c>
      <x:c r="X140" s="41" t="str">
        <x:f>IF(L140&gt;=H140,"Weekly","No weekly")</x:f>
        <x:v>Weekly</x:v>
      </x:c>
      <x:c r="Y140" s="41" t="n">
        <x:f>IFERROR(I140-E140,"")</x:f>
        <x:v>-0.006541999999999604</x:v>
      </x:c>
      <x:c r="Z140" s="41" t="n">
        <x:f>IFERROR(J140-F140,"")</x:f>
        <x:v>3.2061410000000024</x:v>
      </x:c>
      <x:c r="AA140" s="41" t="n">
        <x:v>11646</x:v>
      </x:c>
      <x:c r="AB140" s="41" t="n">
        <x:v>5639</x:v>
      </x:c>
    </x:row>
    <x:row r="141">
      <x:c r="A141" s="41" t="str">
        <x:v>HYP_REFINE_AUTO002_TOPN_6_V1_DDGRID_CHEAP_R11_C23_E75_CR40_REDD_RECOVERED_DD8_SL20</x:v>
      </x:c>
      <x:c r="B141" s="41" t="str">
        <x:v>dd_guard_grid</x:v>
      </x:c>
      <x:c r="C141" s="41" t="str">
        <x:v>1999-01-04</x:v>
      </x:c>
      <x:c r="D141" s="41" t="str">
        <x:v>2026-05-22</x:v>
      </x:c>
      <x:c r="E141" s="41" t="n">
        <x:v>12.492819</x:v>
      </x:c>
      <x:c r="F141" s="41" t="n">
        <x:v>-33.768143</x:v>
      </x:c>
      <x:c r="G141" s="41" t="n">
        <x:v>2410.271799</x:v>
      </x:c>
      <x:c r="H141" s="41" t="n">
        <x:f>IFERROR(E141/ABS(F141),"")</x:f>
        <x:v>0.3699587211532479</x:v>
      </x:c>
      <x:c r="I141" s="41" t="n">
        <x:v>12.786843</x:v>
      </x:c>
      <x:c r="J141" s="41" t="n">
        <x:v>-29.753749</x:v>
      </x:c>
      <x:c r="K141" s="41" t="n">
        <x:v>2596.237223</x:v>
      </x:c>
      <x:c r="L141" s="41" t="n">
        <x:f>IFERROR(I141/ABS(J141),"")</x:f>
        <x:v>0.4297556922994813</x:v>
      </x:c>
      <x:c r="M141" s="41" t="n">
        <x:v>6.802475</x:v>
      </x:c>
      <x:c r="N141" s="41" t="n">
        <x:v>-56.473669</x:v>
      </x:c>
      <x:c r="O141" s="41" t="n">
        <x:v>506.057416</x:v>
      </x:c>
      <x:c r="P141" s="41" t="n">
        <x:f>IFERROR(M141/ABS(N141),"")</x:f>
        <x:v>0.12045392340278087</x:v>
      </x:c>
      <x:c r="Q141" s="41" t="str">
        <x:f>IF(L141&gt;=MAX(H141,P141),"Weekly",IF(H141&gt;=MAX(L141,P141),"No weekly","SPY"))</x:f>
        <x:v>Weekly</x:v>
      </x:c>
      <x:c r="R141" s="41" t="n">
        <x:f>IFERROR(L141-P141,"")</x:f>
        <x:v>0.3093017688967004</x:v>
      </x:c>
      <x:c r="S141" s="41" t="n">
        <x:f>IFERROR(H141-P141,"")</x:f>
        <x:v>0.24950479775046702</x:v>
      </x:c>
      <x:c r="T141" s="41" t="n">
        <x:f>IFERROR(I141-M141,"")</x:f>
        <x:v>5.984367999999999</x:v>
      </x:c>
      <x:c r="U141" s="41" t="n">
        <x:f>IFERROR(E141-M141,"")</x:f>
        <x:v>5.6903440000000005</x:v>
      </x:c>
      <x:c r="V141" s="41" t="str">
        <x:f>IF(AND(I141&gt;M141,J141&gt;N141),"Sí","No")</x:f>
        <x:v>Sí</x:v>
      </x:c>
      <x:c r="W141" s="41" t="str">
        <x:f>IF(AND(E141&gt;M141,F141&gt;N141),"Sí","No")</x:f>
        <x:v>Sí</x:v>
      </x:c>
      <x:c r="X141" s="41" t="str">
        <x:f>IF(L141&gt;=H141,"Weekly","No weekly")</x:f>
        <x:v>Weekly</x:v>
      </x:c>
      <x:c r="Y141" s="41" t="n">
        <x:f>IFERROR(I141-E141,"")</x:f>
        <x:v>0.2940239999999985</x:v>
      </x:c>
      <x:c r="Z141" s="41" t="n">
        <x:f>IFERROR(J141-F141,"")</x:f>
        <x:v>4.014394000000003</x:v>
      </x:c>
      <x:c r="AA141" s="41" t="n">
        <x:v>11741</x:v>
      </x:c>
      <x:c r="AB141" s="41" t="n">
        <x:v>5796</x:v>
      </x:c>
    </x:row>
    <x:row r="142">
      <x:c r="A142" s="41" t="str">
        <x:v>HYP_REFINE_AUTO002_TOPN_6_V1_DDGRID_CHEAP_R12_C21_E75_CR40_REDD_RECOVERED_DD7_SL20</x:v>
      </x:c>
      <x:c r="B142" s="41" t="str">
        <x:v>dd_guard_grid</x:v>
      </x:c>
      <x:c r="C142" s="41" t="str">
        <x:v>1999-01-04</x:v>
      </x:c>
      <x:c r="D142" s="41" t="str">
        <x:v>2026-05-22</x:v>
      </x:c>
      <x:c r="E142" s="41" t="n">
        <x:v>12.146255</x:v>
      </x:c>
      <x:c r="F142" s="41" t="n">
        <x:v>-32.545222</x:v>
      </x:c>
      <x:c r="G142" s="41" t="n">
        <x:v>2206.921919</x:v>
      </x:c>
      <x:c r="H142" s="41" t="n">
        <x:f>IFERROR(E142/ABS(F142),"")</x:f>
        <x:v>0.37321161920480983</x:v>
      </x:c>
      <x:c r="I142" s="41" t="n">
        <x:v>13.16829</x:v>
      </x:c>
      <x:c r="J142" s="41" t="n">
        <x:v>-29.110571</x:v>
      </x:c>
      <x:c r="K142" s="41" t="n">
        <x:v>2857.35574</x:v>
      </x:c>
      <x:c r="L142" s="41" t="n">
        <x:f>IFERROR(I142/ABS(J142),"")</x:f>
        <x:v>0.45235423241955647</x:v>
      </x:c>
      <x:c r="M142" s="41" t="n">
        <x:v>6.802475</x:v>
      </x:c>
      <x:c r="N142" s="41" t="n">
        <x:v>-56.473669</x:v>
      </x:c>
      <x:c r="O142" s="41" t="n">
        <x:v>506.057416</x:v>
      </x:c>
      <x:c r="P142" s="41" t="n">
        <x:f>IFERROR(M142/ABS(N142),"")</x:f>
        <x:v>0.12045392340278087</x:v>
      </x:c>
      <x:c r="Q142" s="41" t="str">
        <x:f>IF(L142&gt;=MAX(H142,P142),"Weekly",IF(H142&gt;=MAX(L142,P142),"No weekly","SPY"))</x:f>
        <x:v>Weekly</x:v>
      </x:c>
      <x:c r="R142" s="41" t="n">
        <x:f>IFERROR(L142-P142,"")</x:f>
        <x:v>0.3319003090167756</x:v>
      </x:c>
      <x:c r="S142" s="41" t="n">
        <x:f>IFERROR(H142-P142,"")</x:f>
        <x:v>0.25275769580202895</x:v>
      </x:c>
      <x:c r="T142" s="41" t="n">
        <x:f>IFERROR(I142-M142,"")</x:f>
        <x:v>6.3658150000000004</x:v>
      </x:c>
      <x:c r="U142" s="41" t="n">
        <x:f>IFERROR(E142-M142,"")</x:f>
        <x:v>5.34378</x:v>
      </x:c>
      <x:c r="V142" s="41" t="str">
        <x:f>IF(AND(I142&gt;M142,J142&gt;N142),"Sí","No")</x:f>
        <x:v>Sí</x:v>
      </x:c>
      <x:c r="W142" s="41" t="str">
        <x:f>IF(AND(E142&gt;M142,F142&gt;N142),"Sí","No")</x:f>
        <x:v>Sí</x:v>
      </x:c>
      <x:c r="X142" s="41" t="str">
        <x:f>IF(L142&gt;=H142,"Weekly","No weekly")</x:f>
        <x:v>Weekly</x:v>
      </x:c>
      <x:c r="Y142" s="41" t="n">
        <x:f>IFERROR(I142-E142,"")</x:f>
        <x:v>1.0220350000000007</x:v>
      </x:c>
      <x:c r="Z142" s="41" t="n">
        <x:f>IFERROR(J142-F142,"")</x:f>
        <x:v>3.4346510000000023</x:v>
      </x:c>
      <x:c r="AA142" s="41" t="n">
        <x:v>11947</x:v>
      </x:c>
      <x:c r="AB142" s="41" t="n">
        <x:v>6131</x:v>
      </x:c>
    </x:row>
    <x:row r="143">
      <x:c r="A143" s="41" t="str">
        <x:v>HYP_REFINE_AUTO002_TOPN_6_V1_DDGRID_CHEAP_R12_C21_E75_CR40_REDD_RECOVERED_DD8_SL18</x:v>
      </x:c>
      <x:c r="B143" s="41" t="str">
        <x:v>dd_guard_grid</x:v>
      </x:c>
      <x:c r="C143" s="41" t="str">
        <x:v>1999-01-04</x:v>
      </x:c>
      <x:c r="D143" s="41" t="str">
        <x:v>2026-05-22</x:v>
      </x:c>
      <x:c r="E143" s="41" t="n">
        <x:v>11.805966</x:v>
      </x:c>
      <x:c r="F143" s="41" t="n">
        <x:v>-31.460688</x:v>
      </x:c>
      <x:c r="G143" s="41" t="n">
        <x:v>2022.749653</x:v>
      </x:c>
      <x:c r="H143" s="41" t="n">
        <x:f>IFERROR(E143/ABS(F143),"")</x:f>
        <x:v>0.3752608970280624</x:v>
      </x:c>
      <x:c r="I143" s="41" t="n">
        <x:v>12.183198</x:v>
      </x:c>
      <x:c r="J143" s="41" t="n">
        <x:v>-28.891144</x:v>
      </x:c>
      <x:c r="K143" s="41" t="n">
        <x:v>2227.818263</x:v>
      </x:c>
      <x:c r="L143" s="41" t="n">
        <x:f>IFERROR(I143/ABS(J143),"")</x:f>
        <x:v>0.4216931665980413</x:v>
      </x:c>
      <x:c r="M143" s="41" t="n">
        <x:v>6.802475</x:v>
      </x:c>
      <x:c r="N143" s="41" t="n">
        <x:v>-56.473669</x:v>
      </x:c>
      <x:c r="O143" s="41" t="n">
        <x:v>506.057416</x:v>
      </x:c>
      <x:c r="P143" s="41" t="n">
        <x:f>IFERROR(M143/ABS(N143),"")</x:f>
        <x:v>0.12045392340278087</x:v>
      </x:c>
      <x:c r="Q143" s="41" t="str">
        <x:f>IF(L143&gt;=MAX(H143,P143),"Weekly",IF(H143&gt;=MAX(L143,P143),"No weekly","SPY"))</x:f>
        <x:v>Weekly</x:v>
      </x:c>
      <x:c r="R143" s="41" t="n">
        <x:f>IFERROR(L143-P143,"")</x:f>
        <x:v>0.3012392431952604</x:v>
      </x:c>
      <x:c r="S143" s="41" t="n">
        <x:f>IFERROR(H143-P143,"")</x:f>
        <x:v>0.25480697362528154</x:v>
      </x:c>
      <x:c r="T143" s="41" t="n">
        <x:f>IFERROR(I143-M143,"")</x:f>
        <x:v>5.380723000000001</x:v>
      </x:c>
      <x:c r="U143" s="41" t="n">
        <x:f>IFERROR(E143-M143,"")</x:f>
        <x:v>5.0034909999999995</x:v>
      </x:c>
      <x:c r="V143" s="41" t="str">
        <x:f>IF(AND(I143&gt;M143,J143&gt;N143),"Sí","No")</x:f>
        <x:v>Sí</x:v>
      </x:c>
      <x:c r="W143" s="41" t="str">
        <x:f>IF(AND(E143&gt;M143,F143&gt;N143),"Sí","No")</x:f>
        <x:v>Sí</x:v>
      </x:c>
      <x:c r="X143" s="41" t="str">
        <x:f>IF(L143&gt;=H143,"Weekly","No weekly")</x:f>
        <x:v>Weekly</x:v>
      </x:c>
      <x:c r="Y143" s="41" t="n">
        <x:f>IFERROR(I143-E143,"")</x:f>
        <x:v>0.3772320000000011</x:v>
      </x:c>
      <x:c r="Z143" s="41" t="n">
        <x:f>IFERROR(J143-F143,"")</x:f>
        <x:v>2.5695440000000005</x:v>
      </x:c>
      <x:c r="AA143" s="41" t="n">
        <x:v>11841</x:v>
      </x:c>
      <x:c r="AB143" s="41" t="n">
        <x:v>5689</x:v>
      </x:c>
    </x:row>
    <x:row r="144">
      <x:c r="A144" s="41" t="str">
        <x:v>HYP_REFINE_AUTO002_TOPN_6_V1_DDGRID_CHEAP_R12_C21_E75_CR40_REDD_RECOVERED_DD8_SL20</x:v>
      </x:c>
      <x:c r="B144" s="41" t="str">
        <x:v>dd_guard_grid</x:v>
      </x:c>
      <x:c r="C144" s="41" t="str">
        <x:v>1999-01-04</x:v>
      </x:c>
      <x:c r="D144" s="41" t="str">
        <x:v>2026-05-22</x:v>
      </x:c>
      <x:c r="E144" s="41" t="n">
        <x:v>13.18495</x:v>
      </x:c>
      <x:c r="F144" s="41" t="n">
        <x:v>-32.545222</x:v>
      </x:c>
      <x:c r="G144" s="41" t="n">
        <x:v>2869.298948</x:v>
      </x:c>
      <x:c r="H144" s="41" t="n">
        <x:f>IFERROR(E144/ABS(F144),"")</x:f>
        <x:v>0.4051270567458412</x:v>
      </x:c>
      <x:c r="I144" s="41" t="n">
        <x:v>13.504466</x:v>
      </x:c>
      <x:c r="J144" s="41" t="n">
        <x:v>-29.110571</x:v>
      </x:c>
      <x:c r="K144" s="41" t="n">
        <x:v>3107.542805</x:v>
      </x:c>
      <x:c r="L144" s="41" t="n">
        <x:f>IFERROR(I144/ABS(J144),"")</x:f>
        <x:v>0.46390247721351807</x:v>
      </x:c>
      <x:c r="M144" s="41" t="n">
        <x:v>6.802475</x:v>
      </x:c>
      <x:c r="N144" s="41" t="n">
        <x:v>-56.473669</x:v>
      </x:c>
      <x:c r="O144" s="41" t="n">
        <x:v>506.057416</x:v>
      </x:c>
      <x:c r="P144" s="41" t="n">
        <x:f>IFERROR(M144/ABS(N144),"")</x:f>
        <x:v>0.12045392340278087</x:v>
      </x:c>
      <x:c r="Q144" s="41" t="str">
        <x:f>IF(L144&gt;=MAX(H144,P144),"Weekly",IF(H144&gt;=MAX(L144,P144),"No weekly","SPY"))</x:f>
        <x:v>Weekly</x:v>
      </x:c>
      <x:c r="R144" s="41" t="n">
        <x:f>IFERROR(L144-P144,"")</x:f>
        <x:v>0.3434485538107372</x:v>
      </x:c>
      <x:c r="S144" s="41" t="n">
        <x:f>IFERROR(H144-P144,"")</x:f>
        <x:v>0.2846731333430603</x:v>
      </x:c>
      <x:c r="T144" s="41" t="n">
        <x:f>IFERROR(I144-M144,"")</x:f>
        <x:v>6.7019910000000005</x:v>
      </x:c>
      <x:c r="U144" s="41" t="n">
        <x:f>IFERROR(E144-M144,"")</x:f>
        <x:v>6.382475</x:v>
      </x:c>
      <x:c r="V144" s="41" t="str">
        <x:f>IF(AND(I144&gt;M144,J144&gt;N144),"Sí","No")</x:f>
        <x:v>Sí</x:v>
      </x:c>
      <x:c r="W144" s="41" t="str">
        <x:f>IF(AND(E144&gt;M144,F144&gt;N144),"Sí","No")</x:f>
        <x:v>Sí</x:v>
      </x:c>
      <x:c r="X144" s="41" t="str">
        <x:f>IF(L144&gt;=H144,"Weekly","No weekly")</x:f>
        <x:v>Weekly</x:v>
      </x:c>
      <x:c r="Y144" s="41" t="n">
        <x:f>IFERROR(I144-E144,"")</x:f>
        <x:v>0.31951600000000013</x:v>
      </x:c>
      <x:c r="Z144" s="41" t="n">
        <x:f>IFERROR(J144-F144,"")</x:f>
        <x:v>3.4346510000000023</x:v>
      </x:c>
      <x:c r="AA144" s="41" t="n">
        <x:v>11759</x:v>
      </x:c>
      <x:c r="AB144" s="41" t="n">
        <x:v>5852</x:v>
      </x:c>
    </x:row>
    <x:row r="145">
      <x:c r="A145" s="41" t="str">
        <x:v>HYP_REFINE_AUTO002_TOPN_6_V1_DDGRID_CHEAP_R12_C21_E75_CR40_REDD_RECOVERED_DD8_SL22</x:v>
      </x:c>
      <x:c r="B145" s="41" t="str">
        <x:v>dd_guard_grid</x:v>
      </x:c>
      <x:c r="C145" s="41" t="str">
        <x:v>1999-01-04</x:v>
      </x:c>
      <x:c r="D145" s="41" t="str">
        <x:v>2026-05-22</x:v>
      </x:c>
      <x:c r="E145" s="41" t="n">
        <x:v>11.05589</x:v>
      </x:c>
      <x:c r="F145" s="41" t="n">
        <x:v>-33.791205</x:v>
      </x:c>
      <x:c r="G145" s="41" t="n">
        <x:v>1665.472431</x:v>
      </x:c>
      <x:c r="H145" s="41" t="n">
        <x:f>IFERROR(E145/ABS(F145),"")</x:f>
        <x:v>0.32718247248063514</x:v>
      </x:c>
      <x:c r="I145" s="41" t="n">
        <x:v>12.455201</x:v>
      </x:c>
      <x:c r="J145" s="41" t="n">
        <x:v>-28.995952</x:v>
      </x:c>
      <x:c r="K145" s="41" t="n">
        <x:v>2387.390194</x:v>
      </x:c>
      <x:c r="L145" s="41" t="n">
        <x:f>IFERROR(I145/ABS(J145),"")</x:f>
        <x:v>0.42954964886133074</x:v>
      </x:c>
      <x:c r="M145" s="41" t="n">
        <x:v>6.802475</x:v>
      </x:c>
      <x:c r="N145" s="41" t="n">
        <x:v>-56.473669</x:v>
      </x:c>
      <x:c r="O145" s="41" t="n">
        <x:v>506.057416</x:v>
      </x:c>
      <x:c r="P145" s="41" t="n">
        <x:f>IFERROR(M145/ABS(N145),"")</x:f>
        <x:v>0.12045392340278087</x:v>
      </x:c>
      <x:c r="Q145" s="41" t="str">
        <x:f>IF(L145&gt;=MAX(H145,P145),"Weekly",IF(H145&gt;=MAX(L145,P145),"No weekly","SPY"))</x:f>
        <x:v>Weekly</x:v>
      </x:c>
      <x:c r="R145" s="41" t="n">
        <x:f>IFERROR(L145-P145,"")</x:f>
        <x:v>0.30909572545854985</x:v>
      </x:c>
      <x:c r="S145" s="41" t="n">
        <x:f>IFERROR(H145-P145,"")</x:f>
        <x:v>0.20672854907785426</x:v>
      </x:c>
      <x:c r="T145" s="41" t="n">
        <x:f>IFERROR(I145-M145,"")</x:f>
        <x:v>5.652726</x:v>
      </x:c>
      <x:c r="U145" s="41" t="n">
        <x:f>IFERROR(E145-M145,"")</x:f>
        <x:v>4.2534149999999995</x:v>
      </x:c>
      <x:c r="V145" s="41" t="str">
        <x:f>IF(AND(I145&gt;M145,J145&gt;N145),"Sí","No")</x:f>
        <x:v>Sí</x:v>
      </x:c>
      <x:c r="W145" s="41" t="str">
        <x:f>IF(AND(E145&gt;M145,F145&gt;N145),"Sí","No")</x:f>
        <x:v>Sí</x:v>
      </x:c>
      <x:c r="X145" s="41" t="str">
        <x:f>IF(L145&gt;=H145,"Weekly","No weekly")</x:f>
        <x:v>Weekly</x:v>
      </x:c>
      <x:c r="Y145" s="41" t="n">
        <x:f>IFERROR(I145-E145,"")</x:f>
        <x:v>1.3993110000000009</x:v>
      </x:c>
      <x:c r="Z145" s="41" t="n">
        <x:f>IFERROR(J145-F145,"")</x:f>
        <x:v>4.795252999999999</x:v>
      </x:c>
      <x:c r="AA145" s="41" t="n">
        <x:v>12129</x:v>
      </x:c>
      <x:c r="AB145" s="41" t="n">
        <x:v>5856</x:v>
      </x:c>
    </x:row>
    <x:row r="146">
      <x:c r="A146" s="41" t="str">
        <x:v>HYP_REFINE_AUTO002_TOPN_6_V1_DDGRID_CHEAP_R12_C21_E75_CR40_REDD_RECOVERED_DD9_SL20</x:v>
      </x:c>
      <x:c r="B146" s="41" t="str">
        <x:v>dd_guard_grid</x:v>
      </x:c>
      <x:c r="C146" s="41" t="str">
        <x:v>1999-01-04</x:v>
      </x:c>
      <x:c r="D146" s="41" t="str">
        <x:v>2026-05-22</x:v>
      </x:c>
      <x:c r="E146" s="41" t="n">
        <x:v>12.856123</x:v>
      </x:c>
      <x:c r="F146" s="41" t="n">
        <x:v>-32.545222</x:v>
      </x:c>
      <x:c r="G146" s="41" t="n">
        <x:v>2641.95029</x:v>
      </x:c>
      <x:c r="H146" s="41" t="n">
        <x:f>IFERROR(E146/ABS(F146),"")</x:f>
        <x:v>0.39502336164737173</x:v>
      </x:c>
      <x:c r="I146" s="41" t="n">
        <x:v>13.531321</x:v>
      </x:c>
      <x:c r="J146" s="41" t="n">
        <x:v>-29.110571</x:v>
      </x:c>
      <x:c r="K146" s="41" t="n">
        <x:v>3128.385167</x:v>
      </x:c>
      <x:c r="L146" s="41" t="n">
        <x:f>IFERROR(I146/ABS(J146),"")</x:f>
        <x:v>0.4648249943293795</x:v>
      </x:c>
      <x:c r="M146" s="41" t="n">
        <x:v>6.802475</x:v>
      </x:c>
      <x:c r="N146" s="41" t="n">
        <x:v>-56.473669</x:v>
      </x:c>
      <x:c r="O146" s="41" t="n">
        <x:v>506.057416</x:v>
      </x:c>
      <x:c r="P146" s="41" t="n">
        <x:f>IFERROR(M146/ABS(N146),"")</x:f>
        <x:v>0.12045392340278087</x:v>
      </x:c>
      <x:c r="Q146" s="41" t="str">
        <x:f>IF(L146&gt;=MAX(H146,P146),"Weekly",IF(H146&gt;=MAX(L146,P146),"No weekly","SPY"))</x:f>
        <x:v>Weekly</x:v>
      </x:c>
      <x:c r="R146" s="41" t="n">
        <x:f>IFERROR(L146-P146,"")</x:f>
        <x:v>0.34437107092659863</x:v>
      </x:c>
      <x:c r="S146" s="41" t="n">
        <x:f>IFERROR(H146-P146,"")</x:f>
        <x:v>0.27456943824459085</x:v>
      </x:c>
      <x:c r="T146" s="41" t="n">
        <x:f>IFERROR(I146-M146,"")</x:f>
        <x:v>6.728846</x:v>
      </x:c>
      <x:c r="U146" s="41" t="n">
        <x:f>IFERROR(E146-M146,"")</x:f>
        <x:v>6.053648</x:v>
      </x:c>
      <x:c r="V146" s="41" t="str">
        <x:f>IF(AND(I146&gt;M146,J146&gt;N146),"Sí","No")</x:f>
        <x:v>Sí</x:v>
      </x:c>
      <x:c r="W146" s="41" t="str">
        <x:f>IF(AND(E146&gt;M146,F146&gt;N146),"Sí","No")</x:f>
        <x:v>Sí</x:v>
      </x:c>
      <x:c r="X146" s="41" t="str">
        <x:f>IF(L146&gt;=H146,"Weekly","No weekly")</x:f>
        <x:v>Weekly</x:v>
      </x:c>
      <x:c r="Y146" s="41" t="n">
        <x:f>IFERROR(I146-E146,"")</x:f>
        <x:v>0.675198</x:v>
      </x:c>
      <x:c r="Z146" s="41" t="n">
        <x:f>IFERROR(J146-F146,"")</x:f>
        <x:v>3.4346510000000023</x:v>
      </x:c>
      <x:c r="AA146" s="41" t="n">
        <x:v>11706</x:v>
      </x:c>
      <x:c r="AB146" s="41" t="n">
        <x:v>5659</x:v>
      </x:c>
    </x:row>
    <x:row r="147">
      <x:c r="A147" s="41" t="str">
        <x:v>HYP_REFINE_AUTO002_TOPN_6_V1_DDGRID_CHEAP_R12_C21_E75_CR45_REDD_RECOVERED_DD8_SL20</x:v>
      </x:c>
      <x:c r="B147" s="41" t="str">
        <x:v>dd_guard_grid</x:v>
      </x:c>
      <x:c r="C147" s="41" t="str">
        <x:v>1999-01-04</x:v>
      </x:c>
      <x:c r="D147" s="41" t="str">
        <x:v>2026-05-22</x:v>
      </x:c>
      <x:c r="E147" s="41" t="n">
        <x:v>13.883892</x:v>
      </x:c>
      <x:c r="F147" s="41" t="n">
        <x:v>-33.712</x:v>
      </x:c>
      <x:c r="G147" s="41" t="n">
        <x:v>3414.419445</x:v>
      </x:c>
      <x:c r="H147" s="41" t="n">
        <x:f>IFERROR(E147/ABS(F147),"")</x:f>
        <x:v>0.4118382771713336</x:v>
      </x:c>
      <x:c r="I147" s="41" t="n">
        <x:v>13.737694</x:v>
      </x:c>
      <x:c r="J147" s="41" t="n">
        <x:v>-29.265353</x:v>
      </x:c>
      <x:c r="K147" s="41" t="n">
        <x:v>3292.96684</x:v>
      </x:c>
      <x:c r="L147" s="41" t="n">
        <x:f>IFERROR(I147/ABS(J147),"")</x:f>
        <x:v>0.46941835965552847</x:v>
      </x:c>
      <x:c r="M147" s="41" t="n">
        <x:v>6.802475</x:v>
      </x:c>
      <x:c r="N147" s="41" t="n">
        <x:v>-56.473669</x:v>
      </x:c>
      <x:c r="O147" s="41" t="n">
        <x:v>506.057416</x:v>
      </x:c>
      <x:c r="P147" s="41" t="n">
        <x:f>IFERROR(M147/ABS(N147),"")</x:f>
        <x:v>0.12045392340278087</x:v>
      </x:c>
      <x:c r="Q147" s="41" t="str">
        <x:f>IF(L147&gt;=MAX(H147,P147),"Weekly",IF(H147&gt;=MAX(L147,P147),"No weekly","SPY"))</x:f>
        <x:v>Weekly</x:v>
      </x:c>
      <x:c r="R147" s="41" t="n">
        <x:f>IFERROR(L147-P147,"")</x:f>
        <x:v>0.3489644362527476</x:v>
      </x:c>
      <x:c r="S147" s="41" t="n">
        <x:f>IFERROR(H147-P147,"")</x:f>
        <x:v>0.2913843537685527</x:v>
      </x:c>
      <x:c r="T147" s="41" t="n">
        <x:f>IFERROR(I147-M147,"")</x:f>
        <x:v>6.935218999999999</x:v>
      </x:c>
      <x:c r="U147" s="41" t="n">
        <x:f>IFERROR(E147-M147,"")</x:f>
        <x:v>7.081416999999999</x:v>
      </x:c>
      <x:c r="V147" s="41" t="str">
        <x:f>IF(AND(I147&gt;M147,J147&gt;N147),"Sí","No")</x:f>
        <x:v>Sí</x:v>
      </x:c>
      <x:c r="W147" s="41" t="str">
        <x:f>IF(AND(E147&gt;M147,F147&gt;N147),"Sí","No")</x:f>
        <x:v>Sí</x:v>
      </x:c>
      <x:c r="X147" s="41" t="str">
        <x:f>IF(L147&gt;=H147,"Weekly","No weekly")</x:f>
        <x:v>Weekly</x:v>
      </x:c>
      <x:c r="Y147" s="41" t="n">
        <x:f>IFERROR(I147-E147,"")</x:f>
        <x:v>-0.14619800000000005</x:v>
      </x:c>
      <x:c r="Z147" s="41" t="n">
        <x:f>IFERROR(J147-F147,"")</x:f>
        <x:v>4.446647000000002</x:v>
      </x:c>
      <x:c r="AA147" s="41" t="n">
        <x:v>11519</x:v>
      </x:c>
      <x:c r="AB147" s="41" t="n">
        <x:v>5587</x:v>
      </x:c>
    </x:row>
    <x:row r="148">
      <x:c r="A148" s="41" t="str">
        <x:v>HYP_REFINE_AUTO002_TOPN_6_V1_DDGRID_CHEAP_R12_C22_E70_CR40_REDD_RECOVERED_DD8_SL20</x:v>
      </x:c>
      <x:c r="B148" s="41" t="str">
        <x:v>dd_guard_grid</x:v>
      </x:c>
      <x:c r="C148" s="41" t="str">
        <x:v>1999-01-04</x:v>
      </x:c>
      <x:c r="D148" s="41" t="str">
        <x:v>2026-05-22</x:v>
      </x:c>
      <x:c r="E148" s="41" t="n">
        <x:v>13.627097</x:v>
      </x:c>
      <x:c r="F148" s="41" t="n">
        <x:v>-32.799855</x:v>
      </x:c>
      <x:c r="G148" s="41" t="n">
        <x:v>3203.78615</x:v>
      </x:c>
      <x:c r="H148" s="41" t="n">
        <x:f>IFERROR(E148/ABS(F148),"")</x:f>
        <x:v>0.41546211103677133</x:v>
      </x:c>
      <x:c r="I148" s="41" t="n">
        <x:v>13.16788</x:v>
      </x:c>
      <x:c r="J148" s="41" t="n">
        <x:v>-28.475135</x:v>
      </x:c>
      <x:c r="K148" s="41" t="n">
        <x:v>2857.062833</x:v>
      </x:c>
      <x:c r="L148" s="41" t="n">
        <x:f>IFERROR(I148/ABS(J148),"")</x:f>
        <x:v>0.4624343308644542</x:v>
      </x:c>
      <x:c r="M148" s="41" t="n">
        <x:v>6.802475</x:v>
      </x:c>
      <x:c r="N148" s="41" t="n">
        <x:v>-56.473669</x:v>
      </x:c>
      <x:c r="O148" s="41" t="n">
        <x:v>506.057416</x:v>
      </x:c>
      <x:c r="P148" s="41" t="n">
        <x:f>IFERROR(M148/ABS(N148),"")</x:f>
        <x:v>0.12045392340278087</x:v>
      </x:c>
      <x:c r="Q148" s="41" t="str">
        <x:f>IF(L148&gt;=MAX(H148,P148),"Weekly",IF(H148&gt;=MAX(L148,P148),"No weekly","SPY"))</x:f>
        <x:v>Weekly</x:v>
      </x:c>
      <x:c r="R148" s="41" t="n">
        <x:f>IFERROR(L148-P148,"")</x:f>
        <x:v>0.3419804074616733</x:v>
      </x:c>
      <x:c r="S148" s="41" t="n">
        <x:f>IFERROR(H148-P148,"")</x:f>
        <x:v>0.29500818763399045</x:v>
      </x:c>
      <x:c r="T148" s="41" t="n">
        <x:f>IFERROR(I148-M148,"")</x:f>
        <x:v>6.365405</x:v>
      </x:c>
      <x:c r="U148" s="41" t="n">
        <x:f>IFERROR(E148-M148,"")</x:f>
        <x:v>6.824621999999999</x:v>
      </x:c>
      <x:c r="V148" s="41" t="str">
        <x:f>IF(AND(I148&gt;M148,J148&gt;N148),"Sí","No")</x:f>
        <x:v>Sí</x:v>
      </x:c>
      <x:c r="W148" s="41" t="str">
        <x:f>IF(AND(E148&gt;M148,F148&gt;N148),"Sí","No")</x:f>
        <x:v>Sí</x:v>
      </x:c>
      <x:c r="X148" s="41" t="str">
        <x:f>IF(L148&gt;=H148,"Weekly","No weekly")</x:f>
        <x:v>Weekly</x:v>
      </x:c>
      <x:c r="Y148" s="41" t="n">
        <x:f>IFERROR(I148-E148,"")</x:f>
        <x:v>-0.4592169999999989</x:v>
      </x:c>
      <x:c r="Z148" s="41" t="n">
        <x:f>IFERROR(J148-F148,"")</x:f>
        <x:v>4.324719999999999</x:v>
      </x:c>
      <x:c r="AA148" s="41" t="n">
        <x:v>11681</x:v>
      </x:c>
      <x:c r="AB148" s="41" t="n">
        <x:v>5550</x:v>
      </x:c>
    </x:row>
    <x:row r="149">
      <x:c r="A149" s="41" t="str">
        <x:v>HYP_REFINE_AUTO002_TOPN_6_V1_DDGRID_CHEAP_R12_C22_E75_CR33_REDD_RECOVERED_DD8_SL20</x:v>
      </x:c>
      <x:c r="B149" s="41" t="str">
        <x:v>dd_guard_grid</x:v>
      </x:c>
      <x:c r="C149" s="41" t="str">
        <x:v>1999-01-04</x:v>
      </x:c>
      <x:c r="D149" s="41" t="str">
        <x:v>2026-05-22</x:v>
      </x:c>
      <x:c r="E149" s="41" t="n">
        <x:v>12.071727</x:v>
      </x:c>
      <x:c r="F149" s="41" t="n">
        <x:v>-31.579607</x:v>
      </x:c>
      <x:c r="G149" s="41" t="n">
        <x:v>2165.31405</x:v>
      </x:c>
      <x:c r="H149" s="41" t="n">
        <x:f>IFERROR(E149/ABS(F149),"")</x:f>
        <x:v>0.38226337015530304</x:v>
      </x:c>
      <x:c r="I149" s="41" t="n">
        <x:v>11.78276</x:v>
      </x:c>
      <x:c r="J149" s="41" t="n">
        <x:v>-29.57039</x:v>
      </x:c>
      <x:c r="K149" s="41" t="n">
        <x:v>2010.720169</x:v>
      </x:c>
      <x:c r="L149" s="41" t="n">
        <x:f>IFERROR(I149/ABS(J149),"")</x:f>
        <x:v>0.39846481564835634</x:v>
      </x:c>
      <x:c r="M149" s="41" t="n">
        <x:v>6.802475</x:v>
      </x:c>
      <x:c r="N149" s="41" t="n">
        <x:v>-56.473669</x:v>
      </x:c>
      <x:c r="O149" s="41" t="n">
        <x:v>506.057416</x:v>
      </x:c>
      <x:c r="P149" s="41" t="n">
        <x:f>IFERROR(M149/ABS(N149),"")</x:f>
        <x:v>0.12045392340278087</x:v>
      </x:c>
      <x:c r="Q149" s="41" t="str">
        <x:f>IF(L149&gt;=MAX(H149,P149),"Weekly",IF(H149&gt;=MAX(L149,P149),"No weekly","SPY"))</x:f>
        <x:v>Weekly</x:v>
      </x:c>
      <x:c r="R149" s="41" t="n">
        <x:f>IFERROR(L149-P149,"")</x:f>
        <x:v>0.27801089224557546</x:v>
      </x:c>
      <x:c r="S149" s="41" t="n">
        <x:f>IFERROR(H149-P149,"")</x:f>
        <x:v>0.26180944675252216</x:v>
      </x:c>
      <x:c r="T149" s="41" t="n">
        <x:f>IFERROR(I149-M149,"")</x:f>
        <x:v>4.980284999999999</x:v>
      </x:c>
      <x:c r="U149" s="41" t="n">
        <x:f>IFERROR(E149-M149,"")</x:f>
        <x:v>5.269251999999999</x:v>
      </x:c>
      <x:c r="V149" s="41" t="str">
        <x:f>IF(AND(I149&gt;M149,J149&gt;N149),"Sí","No")</x:f>
        <x:v>Sí</x:v>
      </x:c>
      <x:c r="W149" s="41" t="str">
        <x:f>IF(AND(E149&gt;M149,F149&gt;N149),"Sí","No")</x:f>
        <x:v>Sí</x:v>
      </x:c>
      <x:c r="X149" s="41" t="str">
        <x:f>IF(L149&gt;=H149,"Weekly","No weekly")</x:f>
        <x:v>Weekly</x:v>
      </x:c>
      <x:c r="Y149" s="41" t="n">
        <x:f>IFERROR(I149-E149,"")</x:f>
        <x:v>-0.28896699999999953</x:v>
      </x:c>
      <x:c r="Z149" s="41" t="n">
        <x:f>IFERROR(J149-F149,"")</x:f>
        <x:v>2.0092169999999996</x:v>
      </x:c>
      <x:c r="AA149" s="41" t="n">
        <x:v>12338</x:v>
      </x:c>
      <x:c r="AB149" s="41" t="n">
        <x:v>6141</x:v>
      </x:c>
    </x:row>
    <x:row r="150">
      <x:c r="A150" s="41" t="str">
        <x:v>HYP_REFINE_AUTO002_TOPN_6_V1_DDGRID_CHEAP_R12_C22_E75_CR40_REDD_RECOVERED_DD7_SL18</x:v>
      </x:c>
      <x:c r="B150" s="41" t="str">
        <x:v>dd_guard_grid</x:v>
      </x:c>
      <x:c r="C150" s="41" t="str">
        <x:v>1999-01-04</x:v>
      </x:c>
      <x:c r="D150" s="41" t="str">
        <x:v>2026-05-22</x:v>
      </x:c>
      <x:c r="E150" s="41" t="n">
        <x:v>13.522211</x:v>
      </x:c>
      <x:c r="F150" s="41" t="n">
        <x:v>-31.732312</x:v>
      </x:c>
      <x:c r="G150" s="41" t="n">
        <x:v>3121.300861</x:v>
      </x:c>
      <x:c r="H150" s="41" t="n">
        <x:f>IFERROR(E150/ABS(F150),"")</x:f>
        <x:v>0.4261338096007628</x:v>
      </x:c>
      <x:c r="I150" s="41" t="n">
        <x:v>11.655738</x:v>
      </x:c>
      <x:c r="J150" s="41" t="n">
        <x:v>-29.670864</x:v>
      </x:c>
      <x:c r="K150" s="41" t="n">
        <x:v>1946.028242</x:v>
      </x:c>
      <x:c r="L150" s="41" t="n">
        <x:f>IFERROR(I150/ABS(J150),"")</x:f>
        <x:v>0.39283446548775924</x:v>
      </x:c>
      <x:c r="M150" s="41" t="n">
        <x:v>6.802475</x:v>
      </x:c>
      <x:c r="N150" s="41" t="n">
        <x:v>-56.473669</x:v>
      </x:c>
      <x:c r="O150" s="41" t="n">
        <x:v>506.057416</x:v>
      </x:c>
      <x:c r="P150" s="41" t="n">
        <x:f>IFERROR(M150/ABS(N150),"")</x:f>
        <x:v>0.12045392340278087</x:v>
      </x:c>
      <x:c r="Q150" s="41" t="str">
        <x:f>IF(L150&gt;=MAX(H150,P150),"Weekly",IF(H150&gt;=MAX(L150,P150),"No weekly","SPY"))</x:f>
        <x:v>No weekly</x:v>
      </x:c>
      <x:c r="R150" s="41" t="n">
        <x:f>IFERROR(L150-P150,"")</x:f>
        <x:v>0.27238054208497836</x:v>
      </x:c>
      <x:c r="S150" s="41" t="n">
        <x:f>IFERROR(H150-P150,"")</x:f>
        <x:v>0.3056798861979819</x:v>
      </x:c>
      <x:c r="T150" s="41" t="n">
        <x:f>IFERROR(I150-M150,"")</x:f>
        <x:v>4.853262999999999</x:v>
      </x:c>
      <x:c r="U150" s="41" t="n">
        <x:f>IFERROR(E150-M150,"")</x:f>
        <x:v>6.719736</x:v>
      </x:c>
      <x:c r="V150" s="41" t="str">
        <x:f>IF(AND(I150&gt;M150,J150&gt;N150),"Sí","No")</x:f>
        <x:v>Sí</x:v>
      </x:c>
      <x:c r="W150" s="41" t="str">
        <x:f>IF(AND(E150&gt;M150,F150&gt;N150),"Sí","No")</x:f>
        <x:v>Sí</x:v>
      </x:c>
      <x:c r="X150" s="41" t="str">
        <x:f>IF(L150&gt;=H150,"Weekly","No weekly")</x:f>
        <x:v>No weekly</x:v>
      </x:c>
      <x:c r="Y150" s="41" t="n">
        <x:f>IFERROR(I150-E150,"")</x:f>
        <x:v>-1.866473000000001</x:v>
      </x:c>
      <x:c r="Z150" s="41" t="n">
        <x:f>IFERROR(J150-F150,"")</x:f>
        <x:v>2.0614479999999986</x:v>
      </x:c>
      <x:c r="AA150" s="41" t="n">
        <x:v>12217</x:v>
      </x:c>
      <x:c r="AB150" s="41" t="n">
        <x:v>5847</x:v>
      </x:c>
    </x:row>
    <x:row r="151">
      <x:c r="A151" s="41" t="str">
        <x:v>HYP_REFINE_AUTO002_TOPN_6_V1_DDGRID_CHEAP_R12_C22_E75_CR40_REDD_RECOVERED_DD7_SL20</x:v>
      </x:c>
      <x:c r="B151" s="41" t="str">
        <x:v>dd_guard_grid</x:v>
      </x:c>
      <x:c r="C151" s="41" t="str">
        <x:v>1999-01-04</x:v>
      </x:c>
      <x:c r="D151" s="41" t="str">
        <x:v>2026-05-22</x:v>
      </x:c>
      <x:c r="E151" s="41" t="n">
        <x:v>13.419154</x:v>
      </x:c>
      <x:c r="F151" s="41" t="n">
        <x:v>-32.641176</x:v>
      </x:c>
      <x:c r="G151" s="41" t="n">
        <x:v>3042.18781</x:v>
      </x:c>
      <x:c r="H151" s="41" t="n">
        <x:f>IFERROR(E151/ABS(F151),"")</x:f>
        <x:v>0.41111122957089535</x:v>
      </x:c>
      <x:c r="I151" s="41" t="n">
        <x:v>12.260468</x:v>
      </x:c>
      <x:c r="J151" s="41" t="n">
        <x:v>-29.435035</x:v>
      </x:c>
      <x:c r="K151" s="41" t="n">
        <x:v>2272.117056</x:v>
      </x:c>
      <x:c r="L151" s="41" t="n">
        <x:f>IFERROR(I151/ABS(J151),"")</x:f>
        <x:v>0.416526360508829</x:v>
      </x:c>
      <x:c r="M151" s="41" t="n">
        <x:v>6.802475</x:v>
      </x:c>
      <x:c r="N151" s="41" t="n">
        <x:v>-56.473669</x:v>
      </x:c>
      <x:c r="O151" s="41" t="n">
        <x:v>506.057416</x:v>
      </x:c>
      <x:c r="P151" s="41" t="n">
        <x:f>IFERROR(M151/ABS(N151),"")</x:f>
        <x:v>0.12045392340278087</x:v>
      </x:c>
      <x:c r="Q151" s="41" t="str">
        <x:f>IF(L151&gt;=MAX(H151,P151),"Weekly",IF(H151&gt;=MAX(L151,P151),"No weekly","SPY"))</x:f>
        <x:v>Weekly</x:v>
      </x:c>
      <x:c r="R151" s="41" t="n">
        <x:f>IFERROR(L151-P151,"")</x:f>
        <x:v>0.29607243710604814</x:v>
      </x:c>
      <x:c r="S151" s="41" t="n">
        <x:f>IFERROR(H151-P151,"")</x:f>
        <x:v>0.29065730616811447</x:v>
      </x:c>
      <x:c r="T151" s="41" t="n">
        <x:f>IFERROR(I151-M151,"")</x:f>
        <x:v>5.457992999999999</x:v>
      </x:c>
      <x:c r="U151" s="41" t="n">
        <x:f>IFERROR(E151-M151,"")</x:f>
        <x:v>6.616679</x:v>
      </x:c>
      <x:c r="V151" s="41" t="str">
        <x:f>IF(AND(I151&gt;M151,J151&gt;N151),"Sí","No")</x:f>
        <x:v>Sí</x:v>
      </x:c>
      <x:c r="W151" s="41" t="str">
        <x:f>IF(AND(E151&gt;M151,F151&gt;N151),"Sí","No")</x:f>
        <x:v>Sí</x:v>
      </x:c>
      <x:c r="X151" s="41" t="str">
        <x:f>IF(L151&gt;=H151,"Weekly","No weekly")</x:f>
        <x:v>Weekly</x:v>
      </x:c>
      <x:c r="Y151" s="41" t="n">
        <x:f>IFERROR(I151-E151,"")</x:f>
        <x:v>-1.1586860000000012</x:v>
      </x:c>
      <x:c r="Z151" s="41" t="n">
        <x:f>IFERROR(J151-F151,"")</x:f>
        <x:v>3.2061410000000024</x:v>
      </x:c>
      <x:c r="AA151" s="41" t="n">
        <x:v>12168</x:v>
      </x:c>
      <x:c r="AB151" s="41" t="n">
        <x:v>6038</x:v>
      </x:c>
    </x:row>
    <x:row r="152">
      <x:c r="A152" s="41" t="str">
        <x:v>HYP_REFINE_AUTO002_TOPN_6_V1_DDGRID_CHEAP_R12_C22_E75_CR40_REDD_RECOVERED_DD7_SL22</x:v>
      </x:c>
      <x:c r="B152" s="41" t="str">
        <x:v>dd_guard_grid</x:v>
      </x:c>
      <x:c r="C152" s="41" t="str">
        <x:v>1999-01-04</x:v>
      </x:c>
      <x:c r="D152" s="41" t="str">
        <x:v>2026-05-22</x:v>
      </x:c>
      <x:c r="E152" s="41" t="n">
        <x:v>12.321205</x:v>
      </x:c>
      <x:c r="F152" s="41" t="n">
        <x:v>-33.556578</x:v>
      </x:c>
      <x:c r="G152" s="41" t="n">
        <x:v>2307.506783</x:v>
      </x:c>
      <x:c r="H152" s="41" t="n">
        <x:f>IFERROR(E152/ABS(F152),"")</x:f>
        <x:v>0.3671770405194475</x:v>
      </x:c>
      <x:c r="I152" s="41" t="n">
        <x:v>12.182466</x:v>
      </x:c>
      <x:c r="J152" s="41" t="n">
        <x:v>-29.461895</x:v>
      </x:c>
      <x:c r="K152" s="41" t="n">
        <x:v>2227.402754</x:v>
      </x:c>
      <x:c r="L152" s="41" t="n">
        <x:f>IFERROR(I152/ABS(J152),"")</x:f>
        <x:v>0.4134990637907032</x:v>
      </x:c>
      <x:c r="M152" s="41" t="n">
        <x:v>6.802475</x:v>
      </x:c>
      <x:c r="N152" s="41" t="n">
        <x:v>-56.473669</x:v>
      </x:c>
      <x:c r="O152" s="41" t="n">
        <x:v>506.057416</x:v>
      </x:c>
      <x:c r="P152" s="41" t="n">
        <x:f>IFERROR(M152/ABS(N152),"")</x:f>
        <x:v>0.12045392340278087</x:v>
      </x:c>
      <x:c r="Q152" s="41" t="str">
        <x:f>IF(L152&gt;=MAX(H152,P152),"Weekly",IF(H152&gt;=MAX(L152,P152),"No weekly","SPY"))</x:f>
        <x:v>Weekly</x:v>
      </x:c>
      <x:c r="R152" s="41" t="n">
        <x:f>IFERROR(L152-P152,"")</x:f>
        <x:v>0.29304514038792234</x:v>
      </x:c>
      <x:c r="S152" s="41" t="n">
        <x:f>IFERROR(H152-P152,"")</x:f>
        <x:v>0.2467231171166666</x:v>
      </x:c>
      <x:c r="T152" s="41" t="n">
        <x:f>IFERROR(I152-M152,"")</x:f>
        <x:v>5.3799909999999995</x:v>
      </x:c>
      <x:c r="U152" s="41" t="n">
        <x:f>IFERROR(E152-M152,"")</x:f>
        <x:v>5.518730000000001</x:v>
      </x:c>
      <x:c r="V152" s="41" t="str">
        <x:f>IF(AND(I152&gt;M152,J152&gt;N152),"Sí","No")</x:f>
        <x:v>Sí</x:v>
      </x:c>
      <x:c r="W152" s="41" t="str">
        <x:f>IF(AND(E152&gt;M152,F152&gt;N152),"Sí","No")</x:f>
        <x:v>Sí</x:v>
      </x:c>
      <x:c r="X152" s="41" t="str">
        <x:f>IF(L152&gt;=H152,"Weekly","No weekly")</x:f>
        <x:v>Weekly</x:v>
      </x:c>
      <x:c r="Y152" s="41" t="n">
        <x:f>IFERROR(I152-E152,"")</x:f>
        <x:v>-0.13873900000000106</x:v>
      </x:c>
      <x:c r="Z152" s="41" t="n">
        <x:f>IFERROR(J152-F152,"")</x:f>
        <x:v>4.094683000000003</x:v>
      </x:c>
      <x:c r="AA152" s="41" t="n">
        <x:v>12290</x:v>
      </x:c>
      <x:c r="AB152" s="41" t="n">
        <x:v>5964</x:v>
      </x:c>
    </x:row>
    <x:row r="153">
      <x:c r="A153" s="41" t="str">
        <x:v>HYP_REFINE_AUTO002_TOPN_6_V1_DDGRID_CHEAP_R12_C22_E75_CR40_REDD_RECOVERED_DD8_SL18</x:v>
      </x:c>
      <x:c r="B153" s="41" t="str">
        <x:v>dd_guard_grid</x:v>
      </x:c>
      <x:c r="C153" s="41" t="str">
        <x:v>1999-01-04</x:v>
      </x:c>
      <x:c r="D153" s="41" t="str">
        <x:v>2026-05-22</x:v>
      </x:c>
      <x:c r="E153" s="41" t="n">
        <x:v>13.089487</x:v>
      </x:c>
      <x:c r="F153" s="41" t="n">
        <x:v>-31.732981</x:v>
      </x:c>
      <x:c r="G153" s="41" t="n">
        <x:v>2801.489978</x:v>
      </x:c>
      <x:c r="H153" s="41" t="n">
        <x:f>IFERROR(E153/ABS(F153),"")</x:f>
        <x:v>0.4124884138682086</x:v>
      </x:c>
      <x:c r="I153" s="41" t="n">
        <x:v>12.087292</x:v>
      </x:c>
      <x:c r="J153" s="41" t="n">
        <x:v>-29.670864</x:v>
      </x:c>
      <x:c r="K153" s="41" t="n">
        <x:v>2173.943189</x:v>
      </x:c>
      <x:c r="L153" s="41" t="n">
        <x:f>IFERROR(I153/ABS(J153),"")</x:f>
        <x:v>0.4073791717019093</x:v>
      </x:c>
      <x:c r="M153" s="41" t="n">
        <x:v>6.802475</x:v>
      </x:c>
      <x:c r="N153" s="41" t="n">
        <x:v>-56.473669</x:v>
      </x:c>
      <x:c r="O153" s="41" t="n">
        <x:v>506.057416</x:v>
      </x:c>
      <x:c r="P153" s="41" t="n">
        <x:f>IFERROR(M153/ABS(N153),"")</x:f>
        <x:v>0.12045392340278087</x:v>
      </x:c>
      <x:c r="Q153" s="41" t="str">
        <x:f>IF(L153&gt;=MAX(H153,P153),"Weekly",IF(H153&gt;=MAX(L153,P153),"No weekly","SPY"))</x:f>
        <x:v>No weekly</x:v>
      </x:c>
      <x:c r="R153" s="41" t="n">
        <x:f>IFERROR(L153-P153,"")</x:f>
        <x:v>0.2869252482991284</x:v>
      </x:c>
      <x:c r="S153" s="41" t="n">
        <x:f>IFERROR(H153-P153,"")</x:f>
        <x:v>0.29203449046542773</x:v>
      </x:c>
      <x:c r="T153" s="41" t="n">
        <x:f>IFERROR(I153-M153,"")</x:f>
        <x:v>5.284816999999999</x:v>
      </x:c>
      <x:c r="U153" s="41" t="n">
        <x:f>IFERROR(E153-M153,"")</x:f>
        <x:v>6.287012</x:v>
      </x:c>
      <x:c r="V153" s="41" t="str">
        <x:f>IF(AND(I153&gt;M153,J153&gt;N153),"Sí","No")</x:f>
        <x:v>Sí</x:v>
      </x:c>
      <x:c r="W153" s="41" t="str">
        <x:f>IF(AND(E153&gt;M153,F153&gt;N153),"Sí","No")</x:f>
        <x:v>Sí</x:v>
      </x:c>
      <x:c r="X153" s="41" t="str">
        <x:f>IF(L153&gt;=H153,"Weekly","No weekly")</x:f>
        <x:v>No weekly</x:v>
      </x:c>
      <x:c r="Y153" s="41" t="n">
        <x:f>IFERROR(I153-E153,"")</x:f>
        <x:v>-1.0021950000000004</x:v>
      </x:c>
      <x:c r="Z153" s="41" t="n">
        <x:f>IFERROR(J153-F153,"")</x:f>
        <x:v>2.062116999999997</x:v>
      </x:c>
      <x:c r="AA153" s="41" t="n">
        <x:v>11904</x:v>
      </x:c>
      <x:c r="AB153" s="41" t="n">
        <x:v>5768</x:v>
      </x:c>
    </x:row>
    <x:row r="154">
      <x:c r="A154" s="41" t="str">
        <x:v>HYP_REFINE_AUTO002_TOPN_6_V1_DDGRID_CHEAP_R12_C22_E75_CR40_REDD_RECOVERED_DD8_SL22</x:v>
      </x:c>
      <x:c r="B154" s="41" t="str">
        <x:v>dd_guard_grid</x:v>
      </x:c>
      <x:c r="C154" s="41" t="str">
        <x:v>1999-01-04</x:v>
      </x:c>
      <x:c r="D154" s="41" t="str">
        <x:v>2026-05-22</x:v>
      </x:c>
      <x:c r="E154" s="41" t="n">
        <x:v>12.399467</x:v>
      </x:c>
      <x:c r="F154" s="41" t="n">
        <x:v>-33.556578</x:v>
      </x:c>
      <x:c r="G154" s="41" t="n">
        <x:v>2353.857988</x:v>
      </x:c>
      <x:c r="H154" s="41" t="n">
        <x:f>IFERROR(E154/ABS(F154),"")</x:f>
        <x:v>0.3695092807139035</x:v>
      </x:c>
      <x:c r="I154" s="41" t="n">
        <x:v>12.510782</x:v>
      </x:c>
      <x:c r="J154" s="41" t="n">
        <x:v>-29.461895</x:v>
      </x:c>
      <x:c r="K154" s="41" t="n">
        <x:v>2421.269538</x:v>
      </x:c>
      <x:c r="L154" s="41" t="n">
        <x:f>IFERROR(I154/ABS(J154),"")</x:f>
        <x:v>0.42464281404845144</x:v>
      </x:c>
      <x:c r="M154" s="41" t="n">
        <x:v>6.802475</x:v>
      </x:c>
      <x:c r="N154" s="41" t="n">
        <x:v>-56.473669</x:v>
      </x:c>
      <x:c r="O154" s="41" t="n">
        <x:v>506.057416</x:v>
      </x:c>
      <x:c r="P154" s="41" t="n">
        <x:f>IFERROR(M154/ABS(N154),"")</x:f>
        <x:v>0.12045392340278087</x:v>
      </x:c>
      <x:c r="Q154" s="41" t="str">
        <x:f>IF(L154&gt;=MAX(H154,P154),"Weekly",IF(H154&gt;=MAX(L154,P154),"No weekly","SPY"))</x:f>
        <x:v>Weekly</x:v>
      </x:c>
      <x:c r="R154" s="41" t="n">
        <x:f>IFERROR(L154-P154,"")</x:f>
        <x:v>0.30418889064567056</x:v>
      </x:c>
      <x:c r="S154" s="41" t="n">
        <x:f>IFERROR(H154-P154,"")</x:f>
        <x:v>0.2490553573111226</x:v>
      </x:c>
      <x:c r="T154" s="41" t="n">
        <x:f>IFERROR(I154-M154,"")</x:f>
        <x:v>5.7083070000000005</x:v>
      </x:c>
      <x:c r="U154" s="41" t="n">
        <x:f>IFERROR(E154-M154,"")</x:f>
        <x:v>5.596991999999999</x:v>
      </x:c>
      <x:c r="V154" s="41" t="str">
        <x:f>IF(AND(I154&gt;M154,J154&gt;N154),"Sí","No")</x:f>
        <x:v>Sí</x:v>
      </x:c>
      <x:c r="W154" s="41" t="str">
        <x:f>IF(AND(E154&gt;M154,F154&gt;N154),"Sí","No")</x:f>
        <x:v>Sí</x:v>
      </x:c>
      <x:c r="X154" s="41" t="str">
        <x:f>IF(L154&gt;=H154,"Weekly","No weekly")</x:f>
        <x:v>Weekly</x:v>
      </x:c>
      <x:c r="Y154" s="41" t="n">
        <x:f>IFERROR(I154-E154,"")</x:f>
        <x:v>0.11131500000000116</x:v>
      </x:c>
      <x:c r="Z154" s="41" t="n">
        <x:f>IFERROR(J154-F154,"")</x:f>
        <x:v>4.094683000000003</x:v>
      </x:c>
      <x:c r="AA154" s="41" t="n">
        <x:v>12067</x:v>
      </x:c>
      <x:c r="AB154" s="41" t="n">
        <x:v>5817</x:v>
      </x:c>
    </x:row>
    <x:row r="155">
      <x:c r="A155" s="41" t="str">
        <x:v>HYP_REFINE_AUTO002_TOPN_6_V1_DDGRID_CHEAP_R12_C22_E75_CR40_REDD_RECOVERED_DD8_SLNONE</x:v>
      </x:c>
      <x:c r="B155" s="41" t="str">
        <x:v>dd_guard_grid</x:v>
      </x:c>
      <x:c r="C155" s="41" t="str">
        <x:v>1999-01-04</x:v>
      </x:c>
      <x:c r="D155" s="41" t="str">
        <x:v>2026-05-22</x:v>
      </x:c>
      <x:c r="E155" s="41" t="n">
        <x:v>12.520085</x:v>
      </x:c>
      <x:c r="F155" s="41" t="n">
        <x:v>-33.40545</x:v>
      </x:c>
      <x:c r="G155" s="41" t="n">
        <x:v>2426.983267</x:v>
      </x:c>
      <x:c r="H155" s="41" t="n">
        <x:f>IFERROR(E155/ABS(F155),"")</x:f>
        <x:v>0.3747916881826169</x:v>
      </x:c>
      <x:c r="I155" s="41" t="n">
        <x:v>13.470984</x:v>
      </x:c>
      <x:c r="J155" s="41" t="n">
        <x:v>-29.696181</x:v>
      </x:c>
      <x:c r="K155" s="41" t="n">
        <x:v>3081.738435</x:v>
      </x:c>
      <x:c r="L155" s="41" t="n">
        <x:f>IFERROR(I155/ABS(J155),"")</x:f>
        <x:v>0.4536268148419489</x:v>
      </x:c>
      <x:c r="M155" s="41" t="n">
        <x:v>6.802475</x:v>
      </x:c>
      <x:c r="N155" s="41" t="n">
        <x:v>-56.473669</x:v>
      </x:c>
      <x:c r="O155" s="41" t="n">
        <x:v>506.057416</x:v>
      </x:c>
      <x:c r="P155" s="41" t="n">
        <x:f>IFERROR(M155/ABS(N155),"")</x:f>
        <x:v>0.12045392340278087</x:v>
      </x:c>
      <x:c r="Q155" s="41" t="str">
        <x:f>IF(L155&gt;=MAX(H155,P155),"Weekly",IF(H155&gt;=MAX(L155,P155),"No weekly","SPY"))</x:f>
        <x:v>Weekly</x:v>
      </x:c>
      <x:c r="R155" s="41" t="n">
        <x:f>IFERROR(L155-P155,"")</x:f>
        <x:v>0.333172891439168</x:v>
      </x:c>
      <x:c r="S155" s="41" t="n">
        <x:f>IFERROR(H155-P155,"")</x:f>
        <x:v>0.254337764779836</x:v>
      </x:c>
      <x:c r="T155" s="41" t="n">
        <x:f>IFERROR(I155-M155,"")</x:f>
        <x:v>6.668508999999999</x:v>
      </x:c>
      <x:c r="U155" s="41" t="n">
        <x:f>IFERROR(E155-M155,"")</x:f>
        <x:v>5.71761</x:v>
      </x:c>
      <x:c r="V155" s="41" t="str">
        <x:f>IF(AND(I155&gt;M155,J155&gt;N155),"Sí","No")</x:f>
        <x:v>Sí</x:v>
      </x:c>
      <x:c r="W155" s="41" t="str">
        <x:f>IF(AND(E155&gt;M155,F155&gt;N155),"Sí","No")</x:f>
        <x:v>Sí</x:v>
      </x:c>
      <x:c r="X155" s="41" t="str">
        <x:f>IF(L155&gt;=H155,"Weekly","No weekly")</x:f>
        <x:v>Weekly</x:v>
      </x:c>
      <x:c r="Y155" s="41" t="n">
        <x:f>IFERROR(I155-E155,"")</x:f>
        <x:v>0.9508989999999997</x:v>
      </x:c>
      <x:c r="Z155" s="41" t="n">
        <x:f>IFERROR(J155-F155,"")</x:f>
        <x:v>3.7092690000000026</x:v>
      </x:c>
      <x:c r="AA155" s="41" t="n">
        <x:v>12161</x:v>
      </x:c>
      <x:c r="AB155" s="41" t="n">
        <x:v>6221</x:v>
      </x:c>
    </x:row>
    <x:row r="156">
      <x:c r="A156" s="41" t="str">
        <x:v>HYP_REFINE_AUTO002_TOPN_6_V1_DDGRID_CHEAP_R12_C22_E75_CR40_REDD_RECOVERED_DD9_SL18</x:v>
      </x:c>
      <x:c r="B156" s="41" t="str">
        <x:v>dd_guard_grid</x:v>
      </x:c>
      <x:c r="C156" s="41" t="str">
        <x:v>1999-01-04</x:v>
      </x:c>
      <x:c r="D156" s="41" t="str">
        <x:v>2026-05-22</x:v>
      </x:c>
      <x:c r="E156" s="41" t="n">
        <x:v>12.118869</x:v>
      </x:c>
      <x:c r="F156" s="41" t="n">
        <x:v>-31.731593</x:v>
      </x:c>
      <x:c r="G156" s="41" t="n">
        <x:v>2191.547613</x:v>
      </x:c>
      <x:c r="H156" s="41" t="n">
        <x:f>IFERROR(E156/ABS(F156),"")</x:f>
        <x:v>0.3819180776710454</x:v>
      </x:c>
      <x:c r="I156" s="41" t="n">
        <x:v>11.889516</x:v>
      </x:c>
      <x:c r="J156" s="41" t="n">
        <x:v>-29.670864</x:v>
      </x:c>
      <x:c r="K156" s="41" t="n">
        <x:v>2066.610478</x:v>
      </x:c>
      <x:c r="L156" s="41" t="n">
        <x:f>IFERROR(I156/ABS(J156),"")</x:f>
        <x:v>0.40071350803940187</x:v>
      </x:c>
      <x:c r="M156" s="41" t="n">
        <x:v>6.802475</x:v>
      </x:c>
      <x:c r="N156" s="41" t="n">
        <x:v>-56.473669</x:v>
      </x:c>
      <x:c r="O156" s="41" t="n">
        <x:v>506.057416</x:v>
      </x:c>
      <x:c r="P156" s="41" t="n">
        <x:f>IFERROR(M156/ABS(N156),"")</x:f>
        <x:v>0.12045392340278087</x:v>
      </x:c>
      <x:c r="Q156" s="41" t="str">
        <x:f>IF(L156&gt;=MAX(H156,P156),"Weekly",IF(H156&gt;=MAX(L156,P156),"No weekly","SPY"))</x:f>
        <x:v>Weekly</x:v>
      </x:c>
      <x:c r="R156" s="41" t="n">
        <x:f>IFERROR(L156-P156,"")</x:f>
        <x:v>0.280259584636621</x:v>
      </x:c>
      <x:c r="S156" s="41" t="n">
        <x:f>IFERROR(H156-P156,"")</x:f>
        <x:v>0.2614641542682645</x:v>
      </x:c>
      <x:c r="T156" s="41" t="n">
        <x:f>IFERROR(I156-M156,"")</x:f>
        <x:v>5.087041</x:v>
      </x:c>
      <x:c r="U156" s="41" t="n">
        <x:f>IFERROR(E156-M156,"")</x:f>
        <x:v>5.316394</x:v>
      </x:c>
      <x:c r="V156" s="41" t="str">
        <x:f>IF(AND(I156&gt;M156,J156&gt;N156),"Sí","No")</x:f>
        <x:v>Sí</x:v>
      </x:c>
      <x:c r="W156" s="41" t="str">
        <x:f>IF(AND(E156&gt;M156,F156&gt;N156),"Sí","No")</x:f>
        <x:v>Sí</x:v>
      </x:c>
      <x:c r="X156" s="41" t="str">
        <x:f>IF(L156&gt;=H156,"Weekly","No weekly")</x:f>
        <x:v>Weekly</x:v>
      </x:c>
      <x:c r="Y156" s="41" t="n">
        <x:f>IFERROR(I156-E156,"")</x:f>
        <x:v>-0.2293529999999997</x:v>
      </x:c>
      <x:c r="Z156" s="41" t="n">
        <x:f>IFERROR(J156-F156,"")</x:f>
        <x:v>2.0607289999999985</x:v>
      </x:c>
      <x:c r="AA156" s="41" t="n">
        <x:v>11893</x:v>
      </x:c>
      <x:c r="AB156" s="41" t="n">
        <x:v>5508</x:v>
      </x:c>
    </x:row>
    <x:row r="157">
      <x:c r="A157" s="41" t="str">
        <x:v>HYP_REFINE_AUTO002_TOPN_6_V1_DDGRID_CHEAP_R12_C22_E75_CR40_REDD_RECOVERED_DD9_SL20</x:v>
      </x:c>
      <x:c r="B157" s="41" t="str">
        <x:v>dd_guard_grid</x:v>
      </x:c>
      <x:c r="C157" s="41" t="str">
        <x:v>1999-01-04</x:v>
      </x:c>
      <x:c r="D157" s="41" t="str">
        <x:v>2026-05-22</x:v>
      </x:c>
      <x:c r="E157" s="41" t="n">
        <x:v>13.092484</x:v>
      </x:c>
      <x:c r="F157" s="41" t="n">
        <x:v>-32.641176</x:v>
      </x:c>
      <x:c r="G157" s="41" t="n">
        <x:v>2803.595636</x:v>
      </x:c>
      <x:c r="H157" s="41" t="n">
        <x:f>IFERROR(E157/ABS(F157),"")</x:f>
        <x:v>0.40110331809123545</x:v>
      </x:c>
      <x:c r="I157" s="41" t="n">
        <x:v>12.555243</x:v>
      </x:c>
      <x:c r="J157" s="41" t="n">
        <x:v>-29.435035</x:v>
      </x:c>
      <x:c r="K157" s="41" t="n">
        <x:v>2448.689888</x:v>
      </x:c>
      <x:c r="L157" s="41" t="n">
        <x:f>IFERROR(I157/ABS(J157),"")</x:f>
        <x:v>0.42654078719457955</x:v>
      </x:c>
      <x:c r="M157" s="41" t="n">
        <x:v>6.802475</x:v>
      </x:c>
      <x:c r="N157" s="41" t="n">
        <x:v>-56.473669</x:v>
      </x:c>
      <x:c r="O157" s="41" t="n">
        <x:v>506.057416</x:v>
      </x:c>
      <x:c r="P157" s="41" t="n">
        <x:f>IFERROR(M157/ABS(N157),"")</x:f>
        <x:v>0.12045392340278087</x:v>
      </x:c>
      <x:c r="Q157" s="41" t="str">
        <x:f>IF(L157&gt;=MAX(H157,P157),"Weekly",IF(H157&gt;=MAX(L157,P157),"No weekly","SPY"))</x:f>
        <x:v>Weekly</x:v>
      </x:c>
      <x:c r="R157" s="41" t="n">
        <x:f>IFERROR(L157-P157,"")</x:f>
        <x:v>0.30608686379179867</x:v>
      </x:c>
      <x:c r="S157" s="41" t="n">
        <x:f>IFERROR(H157-P157,"")</x:f>
        <x:v>0.28064939468845457</x:v>
      </x:c>
      <x:c r="T157" s="41" t="n">
        <x:f>IFERROR(I157-M157,"")</x:f>
        <x:v>5.7527680000000005</x:v>
      </x:c>
      <x:c r="U157" s="41" t="n">
        <x:f>IFERROR(E157-M157,"")</x:f>
        <x:v>6.290009</x:v>
      </x:c>
      <x:c r="V157" s="41" t="str">
        <x:f>IF(AND(I157&gt;M157,J157&gt;N157),"Sí","No")</x:f>
        <x:v>Sí</x:v>
      </x:c>
      <x:c r="W157" s="41" t="str">
        <x:f>IF(AND(E157&gt;M157,F157&gt;N157),"Sí","No")</x:f>
        <x:v>Sí</x:v>
      </x:c>
      <x:c r="X157" s="41" t="str">
        <x:f>IF(L157&gt;=H157,"Weekly","No weekly")</x:f>
        <x:v>Weekly</x:v>
      </x:c>
      <x:c r="Y157" s="41" t="n">
        <x:f>IFERROR(I157-E157,"")</x:f>
        <x:v>-0.5372409999999999</x:v>
      </x:c>
      <x:c r="Z157" s="41" t="n">
        <x:f>IFERROR(J157-F157,"")</x:f>
        <x:v>3.2061410000000024</x:v>
      </x:c>
      <x:c r="AA157" s="41" t="n">
        <x:v>11797</x:v>
      </x:c>
      <x:c r="AB157" s="41" t="n">
        <x:v>5818</x:v>
      </x:c>
    </x:row>
    <x:row r="158">
      <x:c r="A158" s="41" t="str">
        <x:v>HYP_REFINE_AUTO002_TOPN_6_V1_DDGRID_CHEAP_R12_C22_E75_CR40_REDD_RECOVERED_DD9_SL22</x:v>
      </x:c>
      <x:c r="B158" s="41" t="str">
        <x:v>dd_guard_grid</x:v>
      </x:c>
      <x:c r="C158" s="41" t="str">
        <x:v>1999-01-04</x:v>
      </x:c>
      <x:c r="D158" s="41" t="str">
        <x:v>2026-05-22</x:v>
      </x:c>
      <x:c r="E158" s="41" t="n">
        <x:v>11.573733</x:v>
      </x:c>
      <x:c r="F158" s="41" t="n">
        <x:v>-33.556578</x:v>
      </x:c>
      <x:c r="G158" s="41" t="n">
        <x:v>1905.282807</x:v>
      </x:c>
      <x:c r="H158" s="41" t="n">
        <x:f>IFERROR(E158/ABS(F158),"")</x:f>
        <x:v>0.34490206361328024</x:v>
      </x:c>
      <x:c r="I158" s="41" t="n">
        <x:v>12.288288</x:v>
      </x:c>
      <x:c r="J158" s="41" t="n">
        <x:v>-29.461895</x:v>
      </x:c>
      <x:c r="K158" s="41" t="n">
        <x:v>2288.264726</x:v>
      </x:c>
      <x:c r="L158" s="41" t="n">
        <x:f>IFERROR(I158/ABS(J158),"")</x:f>
        <x:v>0.41709088977474124</x:v>
      </x:c>
      <x:c r="M158" s="41" t="n">
        <x:v>6.802475</x:v>
      </x:c>
      <x:c r="N158" s="41" t="n">
        <x:v>-56.473669</x:v>
      </x:c>
      <x:c r="O158" s="41" t="n">
        <x:v>506.057416</x:v>
      </x:c>
      <x:c r="P158" s="41" t="n">
        <x:f>IFERROR(M158/ABS(N158),"")</x:f>
        <x:v>0.12045392340278087</x:v>
      </x:c>
      <x:c r="Q158" s="41" t="str">
        <x:f>IF(L158&gt;=MAX(H158,P158),"Weekly",IF(H158&gt;=MAX(L158,P158),"No weekly","SPY"))</x:f>
        <x:v>Weekly</x:v>
      </x:c>
      <x:c r="R158" s="41" t="n">
        <x:f>IFERROR(L158-P158,"")</x:f>
        <x:v>0.29663696637196035</x:v>
      </x:c>
      <x:c r="S158" s="41" t="n">
        <x:f>IFERROR(H158-P158,"")</x:f>
        <x:v>0.22444814021049936</x:v>
      </x:c>
      <x:c r="T158" s="41" t="n">
        <x:f>IFERROR(I158-M158,"")</x:f>
        <x:v>5.485812999999999</x:v>
      </x:c>
      <x:c r="U158" s="41" t="n">
        <x:f>IFERROR(E158-M158,"")</x:f>
        <x:v>4.771258</x:v>
      </x:c>
      <x:c r="V158" s="41" t="str">
        <x:f>IF(AND(I158&gt;M158,J158&gt;N158),"Sí","No")</x:f>
        <x:v>Sí</x:v>
      </x:c>
      <x:c r="W158" s="41" t="str">
        <x:f>IF(AND(E158&gt;M158,F158&gt;N158),"Sí","No")</x:f>
        <x:v>Sí</x:v>
      </x:c>
      <x:c r="X158" s="41" t="str">
        <x:f>IF(L158&gt;=H158,"Weekly","No weekly")</x:f>
        <x:v>Weekly</x:v>
      </x:c>
      <x:c r="Y158" s="41" t="n">
        <x:f>IFERROR(I158-E158,"")</x:f>
        <x:v>0.7145549999999989</x:v>
      </x:c>
      <x:c r="Z158" s="41" t="n">
        <x:f>IFERROR(J158-F158,"")</x:f>
        <x:v>4.094683000000003</x:v>
      </x:c>
      <x:c r="AA158" s="41" t="n">
        <x:v>12091</x:v>
      </x:c>
      <x:c r="AB158" s="41" t="n">
        <x:v>5821</x:v>
      </x:c>
    </x:row>
    <x:row r="159">
      <x:c r="A159" s="41" t="str">
        <x:v>HYP_REFINE_AUTO002_TOPN_6_V1_DDGRID_CHEAP_R12_C22_E75_CR45_REDD_RECOVERED_DD8_SL20</x:v>
      </x:c>
      <x:c r="B159" s="41" t="str">
        <x:v>dd_guard_grid</x:v>
      </x:c>
      <x:c r="C159" s="41" t="str">
        <x:v>1999-01-04</x:v>
      </x:c>
      <x:c r="D159" s="41" t="str">
        <x:v>2026-05-22</x:v>
      </x:c>
      <x:c r="E159" s="41" t="n">
        <x:v>14.189268</x:v>
      </x:c>
      <x:c r="F159" s="41" t="n">
        <x:v>-33.754857</x:v>
      </x:c>
      <x:c r="G159" s="41" t="n">
        <x:v>3681.764125</x:v>
      </x:c>
      <x:c r="H159" s="41" t="n">
        <x:f>IFERROR(E159/ABS(F159),"")</x:f>
        <x:v>0.42036226075554106</x:v>
      </x:c>
      <x:c r="I159" s="41" t="n">
        <x:v>13.961714</x:v>
      </x:c>
      <x:c r="J159" s="41" t="n">
        <x:v>-29.842062</x:v>
      </x:c>
      <x:c r="K159" s="41" t="n">
        <x:v>3480.766566</x:v>
      </x:c>
      <x:c r="L159" s="41" t="n">
        <x:f>IFERROR(I159/ABS(J159),"")</x:f>
        <x:v>0.4678535283520288</x:v>
      </x:c>
      <x:c r="M159" s="41" t="n">
        <x:v>6.802475</x:v>
      </x:c>
      <x:c r="N159" s="41" t="n">
        <x:v>-56.473669</x:v>
      </x:c>
      <x:c r="O159" s="41" t="n">
        <x:v>506.057416</x:v>
      </x:c>
      <x:c r="P159" s="41" t="n">
        <x:f>IFERROR(M159/ABS(N159),"")</x:f>
        <x:v>0.12045392340278087</x:v>
      </x:c>
      <x:c r="Q159" s="41" t="str">
        <x:f>IF(L159&gt;=MAX(H159,P159),"Weekly",IF(H159&gt;=MAX(L159,P159),"No weekly","SPY"))</x:f>
        <x:v>Weekly</x:v>
      </x:c>
      <x:c r="R159" s="41" t="n">
        <x:f>IFERROR(L159-P159,"")</x:f>
        <x:v>0.34739960494924793</x:v>
      </x:c>
      <x:c r="S159" s="41" t="n">
        <x:f>IFERROR(H159-P159,"")</x:f>
        <x:v>0.2999083373527602</x:v>
      </x:c>
      <x:c r="T159" s="41" t="n">
        <x:f>IFERROR(I159-M159,"")</x:f>
        <x:v>7.159239</x:v>
      </x:c>
      <x:c r="U159" s="41" t="n">
        <x:f>IFERROR(E159-M159,"")</x:f>
        <x:v>7.386793</x:v>
      </x:c>
      <x:c r="V159" s="41" t="str">
        <x:f>IF(AND(I159&gt;M159,J159&gt;N159),"Sí","No")</x:f>
        <x:v>Sí</x:v>
      </x:c>
      <x:c r="W159" s="41" t="str">
        <x:f>IF(AND(E159&gt;M159,F159&gt;N159),"Sí","No")</x:f>
        <x:v>Sí</x:v>
      </x:c>
      <x:c r="X159" s="41" t="str">
        <x:f>IF(L159&gt;=H159,"Weekly","No weekly")</x:f>
        <x:v>Weekly</x:v>
      </x:c>
      <x:c r="Y159" s="41" t="n">
        <x:f>IFERROR(I159-E159,"")</x:f>
        <x:v>-0.2275539999999996</x:v>
      </x:c>
      <x:c r="Z159" s="41" t="n">
        <x:f>IFERROR(J159-F159,"")</x:f>
        <x:v>3.9127950000000027</x:v>
      </x:c>
      <x:c r="AA159" s="41" t="n">
        <x:v>11384</x:v>
      </x:c>
      <x:c r="AB159" s="41" t="n">
        <x:v>5369</x:v>
      </x:c>
    </x:row>
    <x:row r="160">
      <x:c r="A160" s="41" t="str">
        <x:v>HYP_REFINE_AUTO002_TOPN_6_V1_DDGRID_CHEAP_R12_C22_E80_CR40_REDD_RECOVERED_DD8_SL20</x:v>
      </x:c>
      <x:c r="B160" s="41" t="str">
        <x:v>dd_guard_grid</x:v>
      </x:c>
      <x:c r="C160" s="41" t="str">
        <x:v>1999-01-04</x:v>
      </x:c>
      <x:c r="D160" s="41" t="str">
        <x:v>2026-05-22</x:v>
      </x:c>
      <x:c r="E160" s="41" t="n">
        <x:v>12.141196</x:v>
      </x:c>
      <x:c r="F160" s="41" t="n">
        <x:v>-33.329993</x:v>
      </x:c>
      <x:c r="G160" s="41" t="n">
        <x:v>2204.074272</x:v>
      </x:c>
      <x:c r="H160" s="41" t="n">
        <x:f>IFERROR(E160/ABS(F160),"")</x:f>
        <x:v>0.36427238373557413</x:v>
      </x:c>
      <x:c r="I160" s="41" t="n">
        <x:v>12.544172</x:v>
      </x:c>
      <x:c r="J160" s="41" t="n">
        <x:v>-29.600381</x:v>
      </x:c>
      <x:c r="K160" s="41" t="n">
        <x:v>2441.835541</x:v>
      </x:c>
      <x:c r="L160" s="41" t="n">
        <x:f>IFERROR(I160/ABS(J160),"")</x:f>
        <x:v>0.4237841398054978</x:v>
      </x:c>
      <x:c r="M160" s="41" t="n">
        <x:v>6.802475</x:v>
      </x:c>
      <x:c r="N160" s="41" t="n">
        <x:v>-56.473669</x:v>
      </x:c>
      <x:c r="O160" s="41" t="n">
        <x:v>506.057416</x:v>
      </x:c>
      <x:c r="P160" s="41" t="n">
        <x:f>IFERROR(M160/ABS(N160),"")</x:f>
        <x:v>0.12045392340278087</x:v>
      </x:c>
      <x:c r="Q160" s="41" t="str">
        <x:f>IF(L160&gt;=MAX(H160,P160),"Weekly",IF(H160&gt;=MAX(L160,P160),"No weekly","SPY"))</x:f>
        <x:v>Weekly</x:v>
      </x:c>
      <x:c r="R160" s="41" t="n">
        <x:f>IFERROR(L160-P160,"")</x:f>
        <x:v>0.3033302164027169</x:v>
      </x:c>
      <x:c r="S160" s="41" t="n">
        <x:f>IFERROR(H160-P160,"")</x:f>
        <x:v>0.24381846033279325</x:v>
      </x:c>
      <x:c r="T160" s="41" t="n">
        <x:f>IFERROR(I160-M160,"")</x:f>
        <x:v>5.741696999999999</x:v>
      </x:c>
      <x:c r="U160" s="41" t="n">
        <x:f>IFERROR(E160-M160,"")</x:f>
        <x:v>5.3387210000000005</x:v>
      </x:c>
      <x:c r="V160" s="41" t="str">
        <x:f>IF(AND(I160&gt;M160,J160&gt;N160),"Sí","No")</x:f>
        <x:v>Sí</x:v>
      </x:c>
      <x:c r="W160" s="41" t="str">
        <x:f>IF(AND(E160&gt;M160,F160&gt;N160),"Sí","No")</x:f>
        <x:v>Sí</x:v>
      </x:c>
      <x:c r="X160" s="41" t="str">
        <x:f>IF(L160&gt;=H160,"Weekly","No weekly")</x:f>
        <x:v>Weekly</x:v>
      </x:c>
      <x:c r="Y160" s="41" t="n">
        <x:f>IFERROR(I160-E160,"")</x:f>
        <x:v>0.4029759999999989</x:v>
      </x:c>
      <x:c r="Z160" s="41" t="n">
        <x:f>IFERROR(J160-F160,"")</x:f>
        <x:v>3.729612000000003</x:v>
      </x:c>
      <x:c r="AA160" s="41" t="n">
        <x:v>11913</x:v>
      </x:c>
      <x:c r="AB160" s="41" t="n">
        <x:v>5913</x:v>
      </x:c>
    </x:row>
    <x:row r="161">
      <x:c r="A161" s="41" t="str">
        <x:v>HYP_REFINE_AUTO002_TOPN_6_V1_DDGRID_CHEAP_R12_C23_E75_CR40_REDD_RECOVERED_DD7_SL20</x:v>
      </x:c>
      <x:c r="B161" s="41" t="str">
        <x:v>dd_guard_grid</x:v>
      </x:c>
      <x:c r="C161" s="41" t="str">
        <x:v>1999-01-04</x:v>
      </x:c>
      <x:c r="D161" s="41" t="str">
        <x:v>2026-05-22</x:v>
      </x:c>
      <x:c r="E161" s="41" t="n">
        <x:v>13.002665</x:v>
      </x:c>
      <x:c r="F161" s="41" t="n">
        <x:v>-33.768143</x:v>
      </x:c>
      <x:c r="G161" s="41" t="n">
        <x:v>2741.116495</x:v>
      </x:c>
      <x:c r="H161" s="41" t="n">
        <x:f>IFERROR(E161/ABS(F161),"")</x:f>
        <x:v>0.3850571528318865</x:v>
      </x:c>
      <x:c r="I161" s="41" t="n">
        <x:v>12.701717</x:v>
      </x:c>
      <x:c r="J161" s="41" t="n">
        <x:v>-30.056923</x:v>
      </x:c>
      <x:c r="K161" s="41" t="n">
        <x:v>2541.07373</x:v>
      </x:c>
      <x:c r="L161" s="41" t="n">
        <x:f>IFERROR(I161/ABS(J161),"")</x:f>
        <x:v>0.42258873271891473</x:v>
      </x:c>
      <x:c r="M161" s="41" t="n">
        <x:v>6.802475</x:v>
      </x:c>
      <x:c r="N161" s="41" t="n">
        <x:v>-56.473669</x:v>
      </x:c>
      <x:c r="O161" s="41" t="n">
        <x:v>506.057416</x:v>
      </x:c>
      <x:c r="P161" s="41" t="n">
        <x:f>IFERROR(M161/ABS(N161),"")</x:f>
        <x:v>0.12045392340278087</x:v>
      </x:c>
      <x:c r="Q161" s="41" t="str">
        <x:f>IF(L161&gt;=MAX(H161,P161),"Weekly",IF(H161&gt;=MAX(L161,P161),"No weekly","SPY"))</x:f>
        <x:v>Weekly</x:v>
      </x:c>
      <x:c r="R161" s="41" t="n">
        <x:f>IFERROR(L161-P161,"")</x:f>
        <x:v>0.30213480931613385</x:v>
      </x:c>
      <x:c r="S161" s="41" t="n">
        <x:f>IFERROR(H161-P161,"")</x:f>
        <x:v>0.26460322942910564</x:v>
      </x:c>
      <x:c r="T161" s="41" t="n">
        <x:f>IFERROR(I161-M161,"")</x:f>
        <x:v>5.899242</x:v>
      </x:c>
      <x:c r="U161" s="41" t="n">
        <x:f>IFERROR(E161-M161,"")</x:f>
        <x:v>6.20019</x:v>
      </x:c>
      <x:c r="V161" s="41" t="str">
        <x:f>IF(AND(I161&gt;M161,J161&gt;N161),"Sí","No")</x:f>
        <x:v>Sí</x:v>
      </x:c>
      <x:c r="W161" s="41" t="str">
        <x:f>IF(AND(E161&gt;M161,F161&gt;N161),"Sí","No")</x:f>
        <x:v>Sí</x:v>
      </x:c>
      <x:c r="X161" s="41" t="str">
        <x:f>IF(L161&gt;=H161,"Weekly","No weekly")</x:f>
        <x:v>Weekly</x:v>
      </x:c>
      <x:c r="Y161" s="41" t="n">
        <x:f>IFERROR(I161-E161,"")</x:f>
        <x:v>-0.300948</x:v>
      </x:c>
      <x:c r="Z161" s="41" t="n">
        <x:f>IFERROR(J161-F161,"")</x:f>
        <x:v>3.711220000000001</x:v>
      </x:c>
      <x:c r="AA161" s="41" t="n">
        <x:v>11879</x:v>
      </x:c>
      <x:c r="AB161" s="41" t="n">
        <x:v>5746</x:v>
      </x:c>
    </x:row>
    <x:row r="162">
      <x:c r="A162" s="41" t="str">
        <x:v>HYP_REFINE_AUTO002_TOPN_6_V1_DDGRID_CHEAP_R12_C23_E75_CR40_REDD_RECOVERED_DD8_SL18</x:v>
      </x:c>
      <x:c r="B162" s="41" t="str">
        <x:v>dd_guard_grid</x:v>
      </x:c>
      <x:c r="C162" s="41" t="str">
        <x:v>1999-01-04</x:v>
      </x:c>
      <x:c r="D162" s="41" t="str">
        <x:v>2026-05-22</x:v>
      </x:c>
      <x:c r="E162" s="41" t="n">
        <x:v>12.63008</x:v>
      </x:c>
      <x:c r="F162" s="41" t="n">
        <x:v>-33.120684</x:v>
      </x:c>
      <x:c r="G162" s="41" t="n">
        <x:v>2495.495011</x:v>
      </x:c>
      <x:c r="H162" s="41" t="n">
        <x:f>IFERROR(E162/ABS(F162),"")</x:f>
        <x:v>0.3813351197698695</x:v>
      </x:c>
      <x:c r="I162" s="41" t="n">
        <x:v>11.760994</x:v>
      </x:c>
      <x:c r="J162" s="41" t="n">
        <x:v>-30.389067</x:v>
      </x:c>
      <x:c r="K162" s="41" t="n">
        <x:v>1999.496645</x:v>
      </x:c>
      <x:c r="L162" s="41" t="n">
        <x:f>IFERROR(I162/ABS(J162),"")</x:f>
        <x:v>0.3870139876291694</x:v>
      </x:c>
      <x:c r="M162" s="41" t="n">
        <x:v>6.802475</x:v>
      </x:c>
      <x:c r="N162" s="41" t="n">
        <x:v>-56.473669</x:v>
      </x:c>
      <x:c r="O162" s="41" t="n">
        <x:v>506.057416</x:v>
      </x:c>
      <x:c r="P162" s="41" t="n">
        <x:f>IFERROR(M162/ABS(N162),"")</x:f>
        <x:v>0.12045392340278087</x:v>
      </x:c>
      <x:c r="Q162" s="41" t="str">
        <x:f>IF(L162&gt;=MAX(H162,P162),"Weekly",IF(H162&gt;=MAX(L162,P162),"No weekly","SPY"))</x:f>
        <x:v>Weekly</x:v>
      </x:c>
      <x:c r="R162" s="41" t="n">
        <x:f>IFERROR(L162-P162,"")</x:f>
        <x:v>0.2665600642263885</x:v>
      </x:c>
      <x:c r="S162" s="41" t="n">
        <x:f>IFERROR(H162-P162,"")</x:f>
        <x:v>0.2608811963670886</x:v>
      </x:c>
      <x:c r="T162" s="41" t="n">
        <x:f>IFERROR(I162-M162,"")</x:f>
        <x:v>4.958519</x:v>
      </x:c>
      <x:c r="U162" s="41" t="n">
        <x:f>IFERROR(E162-M162,"")</x:f>
        <x:v>5.827604999999999</x:v>
      </x:c>
      <x:c r="V162" s="41" t="str">
        <x:f>IF(AND(I162&gt;M162,J162&gt;N162),"Sí","No")</x:f>
        <x:v>Sí</x:v>
      </x:c>
      <x:c r="W162" s="41" t="str">
        <x:f>IF(AND(E162&gt;M162,F162&gt;N162),"Sí","No")</x:f>
        <x:v>Sí</x:v>
      </x:c>
      <x:c r="X162" s="41" t="str">
        <x:f>IF(L162&gt;=H162,"Weekly","No weekly")</x:f>
        <x:v>Weekly</x:v>
      </x:c>
      <x:c r="Y162" s="41" t="n">
        <x:f>IFERROR(I162-E162,"")</x:f>
        <x:v>-0.8690859999999994</x:v>
      </x:c>
      <x:c r="Z162" s="41" t="n">
        <x:f>IFERROR(J162-F162,"")</x:f>
        <x:v>2.7316169999999964</x:v>
      </x:c>
      <x:c r="AA162" s="41" t="n">
        <x:v>12130</x:v>
      </x:c>
      <x:c r="AB162" s="41" t="n">
        <x:v>5542</x:v>
      </x:c>
    </x:row>
    <x:row r="163">
      <x:c r="A163" s="41" t="str">
        <x:v>HYP_REFINE_AUTO002_TOPN_6_V1_DDGRID_CHEAP_R12_C23_E75_CR40_REDD_RECOVERED_DD8_SL20</x:v>
      </x:c>
      <x:c r="B163" s="41" t="str">
        <x:v>dd_guard_grid</x:v>
      </x:c>
      <x:c r="C163" s="41" t="str">
        <x:v>1999-01-04</x:v>
      </x:c>
      <x:c r="D163" s="41" t="str">
        <x:v>2026-05-22</x:v>
      </x:c>
      <x:c r="E163" s="41" t="n">
        <x:v>12.893961</x:v>
      </x:c>
      <x:c r="F163" s="41" t="n">
        <x:v>-33.768143</x:v>
      </x:c>
      <x:c r="G163" s="41" t="n">
        <x:v>2667.231659</x:v>
      </x:c>
      <x:c r="H163" s="41" t="n">
        <x:f>IFERROR(E163/ABS(F163),"")</x:f>
        <x:v>0.3818380240808622</x:v>
      </x:c>
      <x:c r="I163" s="41" t="n">
        <x:v>13.045767</x:v>
      </x:c>
      <x:c r="J163" s="41" t="n">
        <x:v>-30.056923</x:v>
      </x:c>
      <x:c r="K163" s="41" t="n">
        <x:v>2770.935331</x:v>
      </x:c>
      <x:c r="L163" s="41" t="n">
        <x:f>IFERROR(I163/ABS(J163),"")</x:f>
        <x:v>0.4340353468650134</x:v>
      </x:c>
      <x:c r="M163" s="41" t="n">
        <x:v>6.802475</x:v>
      </x:c>
      <x:c r="N163" s="41" t="n">
        <x:v>-56.473669</x:v>
      </x:c>
      <x:c r="O163" s="41" t="n">
        <x:v>506.057416</x:v>
      </x:c>
      <x:c r="P163" s="41" t="n">
        <x:f>IFERROR(M163/ABS(N163),"")</x:f>
        <x:v>0.12045392340278087</x:v>
      </x:c>
      <x:c r="Q163" s="41" t="str">
        <x:f>IF(L163&gt;=MAX(H163,P163),"Weekly",IF(H163&gt;=MAX(L163,P163),"No weekly","SPY"))</x:f>
        <x:v>Weekly</x:v>
      </x:c>
      <x:c r="R163" s="41" t="n">
        <x:f>IFERROR(L163-P163,"")</x:f>
        <x:v>0.3135814234622325</x:v>
      </x:c>
      <x:c r="S163" s="41" t="n">
        <x:f>IFERROR(H163-P163,"")</x:f>
        <x:v>0.2613841006780813</x:v>
      </x:c>
      <x:c r="T163" s="41" t="n">
        <x:f>IFERROR(I163-M163,"")</x:f>
        <x:v>6.243291999999999</x:v>
      </x:c>
      <x:c r="U163" s="41" t="n">
        <x:f>IFERROR(E163-M163,"")</x:f>
        <x:v>6.091485999999999</x:v>
      </x:c>
      <x:c r="V163" s="41" t="str">
        <x:f>IF(AND(I163&gt;M163,J163&gt;N163),"Sí","No")</x:f>
        <x:v>Sí</x:v>
      </x:c>
      <x:c r="W163" s="41" t="str">
        <x:f>IF(AND(E163&gt;M163,F163&gt;N163),"Sí","No")</x:f>
        <x:v>Sí</x:v>
      </x:c>
      <x:c r="X163" s="41" t="str">
        <x:f>IF(L163&gt;=H163,"Weekly","No weekly")</x:f>
        <x:v>Weekly</x:v>
      </x:c>
      <x:c r="Y163" s="41" t="n">
        <x:f>IFERROR(I163-E163,"")</x:f>
        <x:v>0.15180600000000055</x:v>
      </x:c>
      <x:c r="Z163" s="41" t="n">
        <x:f>IFERROR(J163-F163,"")</x:f>
        <x:v>3.711220000000001</x:v>
      </x:c>
      <x:c r="AA163" s="41" t="n">
        <x:v>11670</x:v>
      </x:c>
      <x:c r="AB163" s="41" t="n">
        <x:v>5623</x:v>
      </x:c>
    </x:row>
    <x:row r="164">
      <x:c r="A164" s="41" t="str">
        <x:v>HYP_REFINE_AUTO002_TOPN_6_V1_DDGRID_CHEAP_R12_C23_E75_CR40_REDD_RECOVERED_DD8_SL22</x:v>
      </x:c>
      <x:c r="B164" s="41" t="str">
        <x:v>dd_guard_grid</x:v>
      </x:c>
      <x:c r="C164" s="41" t="str">
        <x:v>1999-01-04</x:v>
      </x:c>
      <x:c r="D164" s="41" t="str">
        <x:v>2026-05-22</x:v>
      </x:c>
      <x:c r="E164" s="41" t="n">
        <x:v>14.215276</x:v>
      </x:c>
      <x:c r="F164" s="41" t="n">
        <x:v>-34.327584</x:v>
      </x:c>
      <x:c r="G164" s="41" t="n">
        <x:v>3705.417239</x:v>
      </x:c>
      <x:c r="H164" s="41" t="n">
        <x:f>IFERROR(E164/ABS(F164),"")</x:f>
        <x:v>0.41410650979690267</x:v>
      </x:c>
      <x:c r="I164" s="41" t="n">
        <x:v>13.138632</x:v>
      </x:c>
      <x:c r="J164" s="41" t="n">
        <x:v>-28.108438</x:v>
      </x:c>
      <x:c r="K164" s="41" t="n">
        <x:v>2836.209619</x:v>
      </x:c>
      <x:c r="L164" s="41" t="n">
        <x:f>IFERROR(I164/ABS(J164),"")</x:f>
        <x:v>0.4674266140295665</x:v>
      </x:c>
      <x:c r="M164" s="41" t="n">
        <x:v>6.802475</x:v>
      </x:c>
      <x:c r="N164" s="41" t="n">
        <x:v>-56.473669</x:v>
      </x:c>
      <x:c r="O164" s="41" t="n">
        <x:v>506.057416</x:v>
      </x:c>
      <x:c r="P164" s="41" t="n">
        <x:f>IFERROR(M164/ABS(N164),"")</x:f>
        <x:v>0.12045392340278087</x:v>
      </x:c>
      <x:c r="Q164" s="41" t="str">
        <x:f>IF(L164&gt;=MAX(H164,P164),"Weekly",IF(H164&gt;=MAX(L164,P164),"No weekly","SPY"))</x:f>
        <x:v>Weekly</x:v>
      </x:c>
      <x:c r="R164" s="41" t="n">
        <x:f>IFERROR(L164-P164,"")</x:f>
        <x:v>0.3469726906267856</x:v>
      </x:c>
      <x:c r="S164" s="41" t="n">
        <x:f>IFERROR(H164-P164,"")</x:f>
        <x:v>0.2936525863941218</x:v>
      </x:c>
      <x:c r="T164" s="41" t="n">
        <x:f>IFERROR(I164-M164,"")</x:f>
        <x:v>6.336156999999999</x:v>
      </x:c>
      <x:c r="U164" s="41" t="n">
        <x:f>IFERROR(E164-M164,"")</x:f>
        <x:v>7.412800999999999</x:v>
      </x:c>
      <x:c r="V164" s="41" t="str">
        <x:f>IF(AND(I164&gt;M164,J164&gt;N164),"Sí","No")</x:f>
        <x:v>Sí</x:v>
      </x:c>
      <x:c r="W164" s="41" t="str">
        <x:f>IF(AND(E164&gt;M164,F164&gt;N164),"Sí","No")</x:f>
        <x:v>Sí</x:v>
      </x:c>
      <x:c r="X164" s="41" t="str">
        <x:f>IF(L164&gt;=H164,"Weekly","No weekly")</x:f>
        <x:v>Weekly</x:v>
      </x:c>
      <x:c r="Y164" s="41" t="n">
        <x:f>IFERROR(I164-E164,"")</x:f>
        <x:v>-1.076644</x:v>
      </x:c>
      <x:c r="Z164" s="41" t="n">
        <x:f>IFERROR(J164-F164,"")</x:f>
        <x:v>6.219146000000002</x:v>
      </x:c>
      <x:c r="AA164" s="41" t="n">
        <x:v>11585</x:v>
      </x:c>
      <x:c r="AB164" s="41" t="n">
        <x:v>5493</x:v>
      </x:c>
    </x:row>
    <x:row r="165">
      <x:c r="A165" s="41" t="str">
        <x:v>HYP_REFINE_AUTO002_TOPN_6_V1_DDGRID_CHEAP_R12_C23_E75_CR40_REDD_RECOVERED_DD9_SL20</x:v>
      </x:c>
      <x:c r="B165" s="41" t="str">
        <x:v>dd_guard_grid</x:v>
      </x:c>
      <x:c r="C165" s="41" t="str">
        <x:v>1999-01-04</x:v>
      </x:c>
      <x:c r="D165" s="41" t="str">
        <x:v>2026-05-22</x:v>
      </x:c>
      <x:c r="E165" s="41" t="n">
        <x:v>12.715925</x:v>
      </x:c>
      <x:c r="F165" s="41" t="n">
        <x:v>-33.768143</x:v>
      </x:c>
      <x:c r="G165" s="41" t="n">
        <x:v>2550.204674</x:v>
      </x:c>
      <x:c r="H165" s="41" t="n">
        <x:f>IFERROR(E165/ABS(F165),"")</x:f>
        <x:v>0.3765657175758821</x:v>
      </x:c>
      <x:c r="I165" s="41" t="n">
        <x:v>13.138842</x:v>
      </x:c>
      <x:c r="J165" s="41" t="n">
        <x:v>-30.056923</x:v>
      </x:c>
      <x:c r="K165" s="41" t="n">
        <x:v>2836.359211</x:v>
      </x:c>
      <x:c r="L165" s="41" t="n">
        <x:f>IFERROR(I165/ABS(J165),"")</x:f>
        <x:v>0.4371319712267287</x:v>
      </x:c>
      <x:c r="M165" s="41" t="n">
        <x:v>6.802475</x:v>
      </x:c>
      <x:c r="N165" s="41" t="n">
        <x:v>-56.473669</x:v>
      </x:c>
      <x:c r="O165" s="41" t="n">
        <x:v>506.057416</x:v>
      </x:c>
      <x:c r="P165" s="41" t="n">
        <x:f>IFERROR(M165/ABS(N165),"")</x:f>
        <x:v>0.12045392340278087</x:v>
      </x:c>
      <x:c r="Q165" s="41" t="str">
        <x:f>IF(L165&gt;=MAX(H165,P165),"Weekly",IF(H165&gt;=MAX(L165,P165),"No weekly","SPY"))</x:f>
        <x:v>Weekly</x:v>
      </x:c>
      <x:c r="R165" s="41" t="n">
        <x:f>IFERROR(L165-P165,"")</x:f>
        <x:v>0.3166780478239478</x:v>
      </x:c>
      <x:c r="S165" s="41" t="n">
        <x:f>IFERROR(H165-P165,"")</x:f>
        <x:v>0.2561117941731012</x:v>
      </x:c>
      <x:c r="T165" s="41" t="n">
        <x:f>IFERROR(I165-M165,"")</x:f>
        <x:v>6.336367</x:v>
      </x:c>
      <x:c r="U165" s="41" t="n">
        <x:f>IFERROR(E165-M165,"")</x:f>
        <x:v>5.91345</x:v>
      </x:c>
      <x:c r="V165" s="41" t="str">
        <x:f>IF(AND(I165&gt;M165,J165&gt;N165),"Sí","No")</x:f>
        <x:v>Sí</x:v>
      </x:c>
      <x:c r="W165" s="41" t="str">
        <x:f>IF(AND(E165&gt;M165,F165&gt;N165),"Sí","No")</x:f>
        <x:v>Sí</x:v>
      </x:c>
      <x:c r="X165" s="41" t="str">
        <x:f>IF(L165&gt;=H165,"Weekly","No weekly")</x:f>
        <x:v>Weekly</x:v>
      </x:c>
      <x:c r="Y165" s="41" t="n">
        <x:f>IFERROR(I165-E165,"")</x:f>
        <x:v>0.422917</x:v>
      </x:c>
      <x:c r="Z165" s="41" t="n">
        <x:f>IFERROR(J165-F165,"")</x:f>
        <x:v>3.711220000000001</x:v>
      </x:c>
      <x:c r="AA165" s="41" t="n">
        <x:v>11544</x:v>
      </x:c>
      <x:c r="AB165" s="41" t="n">
        <x:v>5578</x:v>
      </x:c>
    </x:row>
    <x:row r="166">
      <x:c r="A166" s="41" t="str">
        <x:v>HYP_REFINE_AUTO002_TOPN_6_V1_DDGRID_CHEAP_R12_C23_E75_CR45_REDD_RECOVERED_DD8_SL20</x:v>
      </x:c>
      <x:c r="B166" s="41" t="str">
        <x:v>dd_guard_grid</x:v>
      </x:c>
      <x:c r="C166" s="41" t="str">
        <x:v>1999-01-04</x:v>
      </x:c>
      <x:c r="D166" s="41" t="str">
        <x:v>2026-05-22</x:v>
      </x:c>
      <x:c r="E166" s="41" t="n">
        <x:v>13.144285</x:v>
      </x:c>
      <x:c r="F166" s="41" t="n">
        <x:v>-34.417137</x:v>
      </x:c>
      <x:c r="G166" s="41" t="n">
        <x:v>2840.229291</x:v>
      </x:c>
      <x:c r="H166" s="41" t="n">
        <x:f>IFERROR(E166/ABS(F166),"")</x:f>
        <x:v>0.38191105204363746</x:v>
      </x:c>
      <x:c r="I166" s="41" t="n">
        <x:v>14.007761</x:v>
      </x:c>
      <x:c r="J166" s="41" t="n">
        <x:v>-28.821215</x:v>
      </x:c>
      <x:c r="K166" s="41" t="n">
        <x:v>3520.590225</x:v>
      </x:c>
      <x:c r="L166" s="41" t="n">
        <x:f>IFERROR(I166/ABS(J166),"")</x:f>
        <x:v>0.4860225705266069</x:v>
      </x:c>
      <x:c r="M166" s="41" t="n">
        <x:v>6.802475</x:v>
      </x:c>
      <x:c r="N166" s="41" t="n">
        <x:v>-56.473669</x:v>
      </x:c>
      <x:c r="O166" s="41" t="n">
        <x:v>506.057416</x:v>
      </x:c>
      <x:c r="P166" s="41" t="n">
        <x:f>IFERROR(M166/ABS(N166),"")</x:f>
        <x:v>0.12045392340278087</x:v>
      </x:c>
      <x:c r="Q166" s="41" t="str">
        <x:f>IF(L166&gt;=MAX(H166,P166),"Weekly",IF(H166&gt;=MAX(L166,P166),"No weekly","SPY"))</x:f>
        <x:v>Weekly</x:v>
      </x:c>
      <x:c r="R166" s="41" t="n">
        <x:f>IFERROR(L166-P166,"")</x:f>
        <x:v>0.36556864712382603</x:v>
      </x:c>
      <x:c r="S166" s="41" t="n">
        <x:f>IFERROR(H166-P166,"")</x:f>
        <x:v>0.2614571286408566</x:v>
      </x:c>
      <x:c r="T166" s="41" t="n">
        <x:f>IFERROR(I166-M166,"")</x:f>
        <x:v>7.205286</x:v>
      </x:c>
      <x:c r="U166" s="41" t="n">
        <x:f>IFERROR(E166-M166,"")</x:f>
        <x:v>6.34181</x:v>
      </x:c>
      <x:c r="V166" s="41" t="str">
        <x:f>IF(AND(I166&gt;M166,J166&gt;N166),"Sí","No")</x:f>
        <x:v>Sí</x:v>
      </x:c>
      <x:c r="W166" s="41" t="str">
        <x:f>IF(AND(E166&gt;M166,F166&gt;N166),"Sí","No")</x:f>
        <x:v>Sí</x:v>
      </x:c>
      <x:c r="X166" s="41" t="str">
        <x:f>IF(L166&gt;=H166,"Weekly","No weekly")</x:f>
        <x:v>Weekly</x:v>
      </x:c>
      <x:c r="Y166" s="41" t="n">
        <x:f>IFERROR(I166-E166,"")</x:f>
        <x:v>0.8634760000000004</x:v>
      </x:c>
      <x:c r="Z166" s="41" t="n">
        <x:f>IFERROR(J166-F166,"")</x:f>
        <x:v>5.595921999999998</x:v>
      </x:c>
      <x:c r="AA166" s="41" t="n">
        <x:v>11421</x:v>
      </x:c>
      <x:c r="AB166" s="41" t="n">
        <x:v>5548</x:v>
      </x:c>
    </x:row>
    <x:row r="167">
      <x:c r="A167" s="41" t="str">
        <x:v>HYP_REFINE_AUTO002_TOPN_6_V1_DDGRID_CHEAP_R12_C24_E75_CR40_REDD_RECOVERED_DD7_SL20</x:v>
      </x:c>
      <x:c r="B167" s="41" t="str">
        <x:v>dd_guard_grid</x:v>
      </x:c>
      <x:c r="C167" s="41" t="str">
        <x:v>1999-01-04</x:v>
      </x:c>
      <x:c r="D167" s="41" t="str">
        <x:v>2026-05-22</x:v>
      </x:c>
      <x:c r="E167" s="41" t="n">
        <x:v>13.311284</x:v>
      </x:c>
      <x:c r="F167" s="41" t="n">
        <x:v>-33.937267</x:v>
      </x:c>
      <x:c r="G167" s="41" t="n">
        <x:v>2961.386809</x:v>
      </x:c>
      <x:c r="H167" s="41" t="n">
        <x:f>IFERROR(E167/ABS(F167),"")</x:f>
        <x:v>0.39223205569264025</x:v>
      </x:c>
      <x:c r="I167" s="41" t="n">
        <x:v>12.567362</x:v>
      </x:c>
      <x:c r="J167" s="41" t="n">
        <x:v>-29.150912</x:v>
      </x:c>
      <x:c r="K167" s="41" t="n">
        <x:v>2456.213964</x:v>
      </x:c>
      <x:c r="L167" s="41" t="n">
        <x:f>IFERROR(I167/ABS(J167),"")</x:f>
        <x:v>0.43111385331615004</x:v>
      </x:c>
      <x:c r="M167" s="41" t="n">
        <x:v>6.802475</x:v>
      </x:c>
      <x:c r="N167" s="41" t="n">
        <x:v>-56.473669</x:v>
      </x:c>
      <x:c r="O167" s="41" t="n">
        <x:v>506.057416</x:v>
      </x:c>
      <x:c r="P167" s="41" t="n">
        <x:f>IFERROR(M167/ABS(N167),"")</x:f>
        <x:v>0.12045392340278087</x:v>
      </x:c>
      <x:c r="Q167" s="41" t="str">
        <x:f>IF(L167&gt;=MAX(H167,P167),"Weekly",IF(H167&gt;=MAX(L167,P167),"No weekly","SPY"))</x:f>
        <x:v>Weekly</x:v>
      </x:c>
      <x:c r="R167" s="41" t="n">
        <x:f>IFERROR(L167-P167,"")</x:f>
        <x:v>0.31065992991336916</x:v>
      </x:c>
      <x:c r="S167" s="41" t="n">
        <x:f>IFERROR(H167-P167,"")</x:f>
        <x:v>0.27177813228985936</x:v>
      </x:c>
      <x:c r="T167" s="41" t="n">
        <x:f>IFERROR(I167-M167,"")</x:f>
        <x:v>5.764886999999999</x:v>
      </x:c>
      <x:c r="U167" s="41" t="n">
        <x:f>IFERROR(E167-M167,"")</x:f>
        <x:v>6.508809</x:v>
      </x:c>
      <x:c r="V167" s="41" t="str">
        <x:f>IF(AND(I167&gt;M167,J167&gt;N167),"Sí","No")</x:f>
        <x:v>Sí</x:v>
      </x:c>
      <x:c r="W167" s="41" t="str">
        <x:f>IF(AND(E167&gt;M167,F167&gt;N167),"Sí","No")</x:f>
        <x:v>Sí</x:v>
      </x:c>
      <x:c r="X167" s="41" t="str">
        <x:f>IF(L167&gt;=H167,"Weekly","No weekly")</x:f>
        <x:v>Weekly</x:v>
      </x:c>
      <x:c r="Y167" s="41" t="n">
        <x:f>IFERROR(I167-E167,"")</x:f>
        <x:v>-0.7439220000000013</x:v>
      </x:c>
      <x:c r="Z167" s="41" t="n">
        <x:f>IFERROR(J167-F167,"")</x:f>
        <x:v>4.786354999999997</x:v>
      </x:c>
      <x:c r="AA167" s="41" t="n">
        <x:v>11825</x:v>
      </x:c>
      <x:c r="AB167" s="41" t="n">
        <x:v>5492</x:v>
      </x:c>
    </x:row>
    <x:row r="168">
      <x:c r="A168" s="41" t="str">
        <x:v>HYP_REFINE_AUTO002_TOPN_6_V1_DDGRID_CHEAP_R13_C21_E75_CR40_REDD_RECOVERED_DD8_SL20</x:v>
      </x:c>
      <x:c r="B168" s="41" t="str">
        <x:v>dd_guard_grid</x:v>
      </x:c>
      <x:c r="C168" s="41" t="str">
        <x:v>1999-01-04</x:v>
      </x:c>
      <x:c r="D168" s="41" t="str">
        <x:v>2026-05-22</x:v>
      </x:c>
      <x:c r="E168" s="41" t="n">
        <x:v>12.490906</x:v>
      </x:c>
      <x:c r="F168" s="41" t="n">
        <x:v>-32.545222</x:v>
      </x:c>
      <x:c r="G168" s="41" t="n">
        <x:v>2409.103456</x:v>
      </x:c>
      <x:c r="H168" s="41" t="n">
        <x:f>IFERROR(E168/ABS(F168),"")</x:f>
        <x:v>0.38380153006791595</x:v>
      </x:c>
      <x:c r="I168" s="41" t="n">
        <x:v>12.937039</x:v>
      </x:c>
      <x:c r="J168" s="41" t="n">
        <x:v>-29.110571</x:v>
      </x:c>
      <x:c r="K168" s="41" t="n">
        <x:v>2696.286848</x:v>
      </x:c>
      <x:c r="L168" s="41" t="n">
        <x:f>IFERROR(I168/ABS(J168),"")</x:f>
        <x:v>0.4444103483919982</x:v>
      </x:c>
      <x:c r="M168" s="41" t="n">
        <x:v>6.802475</x:v>
      </x:c>
      <x:c r="N168" s="41" t="n">
        <x:v>-56.473669</x:v>
      </x:c>
      <x:c r="O168" s="41" t="n">
        <x:v>506.057416</x:v>
      </x:c>
      <x:c r="P168" s="41" t="n">
        <x:f>IFERROR(M168/ABS(N168),"")</x:f>
        <x:v>0.12045392340278087</x:v>
      </x:c>
      <x:c r="Q168" s="41" t="str">
        <x:f>IF(L168&gt;=MAX(H168,P168),"Weekly",IF(H168&gt;=MAX(L168,P168),"No weekly","SPY"))</x:f>
        <x:v>Weekly</x:v>
      </x:c>
      <x:c r="R168" s="41" t="n">
        <x:f>IFERROR(L168-P168,"")</x:f>
        <x:v>0.32395642498921734</x:v>
      </x:c>
      <x:c r="S168" s="41" t="n">
        <x:f>IFERROR(H168-P168,"")</x:f>
        <x:v>0.26334760666513507</x:v>
      </x:c>
      <x:c r="T168" s="41" t="n">
        <x:f>IFERROR(I168-M168,"")</x:f>
        <x:v>6.134564</x:v>
      </x:c>
      <x:c r="U168" s="41" t="n">
        <x:f>IFERROR(E168-M168,"")</x:f>
        <x:v>5.6884310000000005</x:v>
      </x:c>
      <x:c r="V168" s="41" t="str">
        <x:f>IF(AND(I168&gt;M168,J168&gt;N168),"Sí","No")</x:f>
        <x:v>Sí</x:v>
      </x:c>
      <x:c r="W168" s="41" t="str">
        <x:f>IF(AND(E168&gt;M168,F168&gt;N168),"Sí","No")</x:f>
        <x:v>Sí</x:v>
      </x:c>
      <x:c r="X168" s="41" t="str">
        <x:f>IF(L168&gt;=H168,"Weekly","No weekly")</x:f>
        <x:v>Weekly</x:v>
      </x:c>
      <x:c r="Y168" s="41" t="n">
        <x:f>IFERROR(I168-E168,"")</x:f>
        <x:v>0.44613299999999967</x:v>
      </x:c>
      <x:c r="Z168" s="41" t="n">
        <x:f>IFERROR(J168-F168,"")</x:f>
        <x:v>3.4346510000000023</x:v>
      </x:c>
      <x:c r="AA168" s="41" t="n">
        <x:v>11549</x:v>
      </x:c>
      <x:c r="AB168" s="41" t="n">
        <x:v>5981</x:v>
      </x:c>
    </x:row>
    <x:row r="169">
      <x:c r="A169" s="41" t="str">
        <x:v>HYP_REFINE_AUTO002_TOPN_6_V1_DDGRID_CHEAP_R13_C22_E75_CR40_REDD_RECOVERED_DD7_SL20</x:v>
      </x:c>
      <x:c r="B169" s="41" t="str">
        <x:v>dd_guard_grid</x:v>
      </x:c>
      <x:c r="C169" s="41" t="str">
        <x:v>1999-01-04</x:v>
      </x:c>
      <x:c r="D169" s="41" t="str">
        <x:v>2026-05-22</x:v>
      </x:c>
      <x:c r="E169" s="41" t="n">
        <x:v>12.096927</x:v>
      </x:c>
      <x:c r="F169" s="41" t="n">
        <x:v>-32.641176</x:v>
      </x:c>
      <x:c r="G169" s="41" t="n">
        <x:v>2179.301116</x:v>
      </x:c>
      <x:c r="H169" s="41" t="n">
        <x:f>IFERROR(E169/ABS(F169),"")</x:f>
        <x:v>0.3706032834111124</x:v>
      </x:c>
      <x:c r="I169" s="41" t="n">
        <x:v>12.450008</x:v>
      </x:c>
      <x:c r="J169" s="41" t="n">
        <x:v>-29.435035</x:v>
      </x:c>
      <x:c r="K169" s="41" t="n">
        <x:v>2384.247444</x:v>
      </x:c>
      <x:c r="L169" s="41" t="n">
        <x:f>IFERROR(I169/ABS(J169),"")</x:f>
        <x:v>0.4229656258265024</x:v>
      </x:c>
      <x:c r="M169" s="41" t="n">
        <x:v>6.802475</x:v>
      </x:c>
      <x:c r="N169" s="41" t="n">
        <x:v>-56.473669</x:v>
      </x:c>
      <x:c r="O169" s="41" t="n">
        <x:v>506.057416</x:v>
      </x:c>
      <x:c r="P169" s="41" t="n">
        <x:f>IFERROR(M169/ABS(N169),"")</x:f>
        <x:v>0.12045392340278087</x:v>
      </x:c>
      <x:c r="Q169" s="41" t="str">
        <x:f>IF(L169&gt;=MAX(H169,P169),"Weekly",IF(H169&gt;=MAX(L169,P169),"No weekly","SPY"))</x:f>
        <x:v>Weekly</x:v>
      </x:c>
      <x:c r="R169" s="41" t="n">
        <x:f>IFERROR(L169-P169,"")</x:f>
        <x:v>0.3025117024237215</x:v>
      </x:c>
      <x:c r="S169" s="41" t="n">
        <x:f>IFERROR(H169-P169,"")</x:f>
        <x:v>0.25014936000833154</x:v>
      </x:c>
      <x:c r="T169" s="41" t="n">
        <x:f>IFERROR(I169-M169,"")</x:f>
        <x:v>5.647533</x:v>
      </x:c>
      <x:c r="U169" s="41" t="n">
        <x:f>IFERROR(E169-M169,"")</x:f>
        <x:v>5.294452000000001</x:v>
      </x:c>
      <x:c r="V169" s="41" t="str">
        <x:f>IF(AND(I169&gt;M169,J169&gt;N169),"Sí","No")</x:f>
        <x:v>Sí</x:v>
      </x:c>
      <x:c r="W169" s="41" t="str">
        <x:f>IF(AND(E169&gt;M169,F169&gt;N169),"Sí","No")</x:f>
        <x:v>Sí</x:v>
      </x:c>
      <x:c r="X169" s="41" t="str">
        <x:f>IF(L169&gt;=H169,"Weekly","No weekly")</x:f>
        <x:v>Weekly</x:v>
      </x:c>
      <x:c r="Y169" s="41" t="n">
        <x:f>IFERROR(I169-E169,"")</x:f>
        <x:v>0.35308099999999953</x:v>
      </x:c>
      <x:c r="Z169" s="41" t="n">
        <x:f>IFERROR(J169-F169,"")</x:f>
        <x:v>3.2061410000000024</x:v>
      </x:c>
      <x:c r="AA169" s="41" t="n">
        <x:v>11887</x:v>
      </x:c>
      <x:c r="AB169" s="41" t="n">
        <x:v>6318</x:v>
      </x:c>
    </x:row>
    <x:row r="170">
      <x:c r="A170" s="41" t="str">
        <x:v>HYP_REFINE_AUTO002_TOPN_6_V1_DDGRID_CHEAP_R13_C22_E75_CR40_REDD_RECOVERED_DD8_SL18</x:v>
      </x:c>
      <x:c r="B170" s="41" t="str">
        <x:v>dd_guard_grid</x:v>
      </x:c>
      <x:c r="C170" s="41" t="str">
        <x:v>1999-01-04</x:v>
      </x:c>
      <x:c r="D170" s="41" t="str">
        <x:v>2026-05-22</x:v>
      </x:c>
      <x:c r="E170" s="41" t="n">
        <x:v>13.05902</x:v>
      </x:c>
      <x:c r="F170" s="41" t="n">
        <x:v>-31.740414</x:v>
      </x:c>
      <x:c r="G170" s="41" t="n">
        <x:v>2780.164557</x:v>
      </x:c>
      <x:c r="H170" s="41" t="n">
        <x:f>IFERROR(E170/ABS(F170),"")</x:f>
        <x:v>0.41143193658406596</x:v>
      </x:c>
      <x:c r="I170" s="41" t="n">
        <x:v>12.414237</x:v>
      </x:c>
      <x:c r="J170" s="41" t="n">
        <x:v>-29.670864</x:v>
      </x:c>
      <x:c r="K170" s="41" t="n">
        <x:v>2362.702052</x:v>
      </x:c>
      <x:c r="L170" s="41" t="n">
        <x:f>IFERROR(I170/ABS(J170),"")</x:f>
        <x:v>0.4183982306683081</x:v>
      </x:c>
      <x:c r="M170" s="41" t="n">
        <x:v>6.802475</x:v>
      </x:c>
      <x:c r="N170" s="41" t="n">
        <x:v>-56.473669</x:v>
      </x:c>
      <x:c r="O170" s="41" t="n">
        <x:v>506.057416</x:v>
      </x:c>
      <x:c r="P170" s="41" t="n">
        <x:f>IFERROR(M170/ABS(N170),"")</x:f>
        <x:v>0.12045392340278087</x:v>
      </x:c>
      <x:c r="Q170" s="41" t="str">
        <x:f>IF(L170&gt;=MAX(H170,P170),"Weekly",IF(H170&gt;=MAX(L170,P170),"No weekly","SPY"))</x:f>
        <x:v>Weekly</x:v>
      </x:c>
      <x:c r="R170" s="41" t="n">
        <x:f>IFERROR(L170-P170,"")</x:f>
        <x:v>0.29794430726552723</x:v>
      </x:c>
      <x:c r="S170" s="41" t="n">
        <x:f>IFERROR(H170-P170,"")</x:f>
        <x:v>0.2909780131812851</x:v>
      </x:c>
      <x:c r="T170" s="41" t="n">
        <x:f>IFERROR(I170-M170,"")</x:f>
        <x:v>5.611762</x:v>
      </x:c>
      <x:c r="U170" s="41" t="n">
        <x:f>IFERROR(E170-M170,"")</x:f>
        <x:v>6.256545</x:v>
      </x:c>
      <x:c r="V170" s="41" t="str">
        <x:f>IF(AND(I170&gt;M170,J170&gt;N170),"Sí","No")</x:f>
        <x:v>Sí</x:v>
      </x:c>
      <x:c r="W170" s="41" t="str">
        <x:f>IF(AND(E170&gt;M170,F170&gt;N170),"Sí","No")</x:f>
        <x:v>Sí</x:v>
      </x:c>
      <x:c r="X170" s="41" t="str">
        <x:f>IF(L170&gt;=H170,"Weekly","No weekly")</x:f>
        <x:v>Weekly</x:v>
      </x:c>
      <x:c r="Y170" s="41" t="n">
        <x:f>IFERROR(I170-E170,"")</x:f>
        <x:v>-0.6447830000000003</x:v>
      </x:c>
      <x:c r="Z170" s="41" t="n">
        <x:f>IFERROR(J170-F170,"")</x:f>
        <x:v>2.0695499999999996</x:v>
      </x:c>
      <x:c r="AA170" s="41" t="n">
        <x:v>11568</x:v>
      </x:c>
      <x:c r="AB170" s="41" t="n">
        <x:v>5632</x:v>
      </x:c>
    </x:row>
    <x:row r="171">
      <x:c r="A171" s="41" t="str">
        <x:v>HYP_REFINE_AUTO002_TOPN_6_V1_DDGRID_CHEAP_R13_C22_E75_CR40_REDD_RECOVERED_DD8_SL20</x:v>
      </x:c>
      <x:c r="B171" s="41" t="str">
        <x:v>dd_guard_grid</x:v>
      </x:c>
      <x:c r="C171" s="41" t="str">
        <x:v>1999-01-04</x:v>
      </x:c>
      <x:c r="D171" s="41" t="str">
        <x:v>2026-05-22</x:v>
      </x:c>
      <x:c r="E171" s="41" t="n">
        <x:v>13.286677</x:v>
      </x:c>
      <x:c r="F171" s="41" t="n">
        <x:v>-32.641176</x:v>
      </x:c>
      <x:c r="G171" s="41" t="n">
        <x:v>2943.236479</x:v>
      </x:c>
      <x:c r="H171" s="41" t="n">
        <x:f>IFERROR(E171/ABS(F171),"")</x:f>
        <x:v>0.4070526441816924</x:v>
      </x:c>
      <x:c r="I171" s="41" t="n">
        <x:v>12.857884</x:v>
      </x:c>
      <x:c r="J171" s="41" t="n">
        <x:v>-29.435035</x:v>
      </x:c>
      <x:c r="K171" s="41" t="n">
        <x:v>2643.121889</x:v>
      </x:c>
      <x:c r="L171" s="41" t="n">
        <x:f>IFERROR(I171/ABS(J171),"")</x:f>
        <x:v>0.43682244644859436</x:v>
      </x:c>
      <x:c r="M171" s="41" t="n">
        <x:v>6.802475</x:v>
      </x:c>
      <x:c r="N171" s="41" t="n">
        <x:v>-56.473669</x:v>
      </x:c>
      <x:c r="O171" s="41" t="n">
        <x:v>506.057416</x:v>
      </x:c>
      <x:c r="P171" s="41" t="n">
        <x:f>IFERROR(M171/ABS(N171),"")</x:f>
        <x:v>0.12045392340278087</x:v>
      </x:c>
      <x:c r="Q171" s="41" t="str">
        <x:f>IF(L171&gt;=MAX(H171,P171),"Weekly",IF(H171&gt;=MAX(L171,P171),"No weekly","SPY"))</x:f>
        <x:v>Weekly</x:v>
      </x:c>
      <x:c r="R171" s="41" t="n">
        <x:f>IFERROR(L171-P171,"")</x:f>
        <x:v>0.3163685230458135</x:v>
      </x:c>
      <x:c r="S171" s="41" t="n">
        <x:f>IFERROR(H171-P171,"")</x:f>
        <x:v>0.2865987207789115</x:v>
      </x:c>
      <x:c r="T171" s="41" t="n">
        <x:f>IFERROR(I171-M171,"")</x:f>
        <x:v>6.055409</x:v>
      </x:c>
      <x:c r="U171" s="41" t="n">
        <x:f>IFERROR(E171-M171,"")</x:f>
        <x:v>6.484201999999999</x:v>
      </x:c>
      <x:c r="V171" s="41" t="str">
        <x:f>IF(AND(I171&gt;M171,J171&gt;N171),"Sí","No")</x:f>
        <x:v>Sí</x:v>
      </x:c>
      <x:c r="W171" s="41" t="str">
        <x:f>IF(AND(E171&gt;M171,F171&gt;N171),"Sí","No")</x:f>
        <x:v>Sí</x:v>
      </x:c>
      <x:c r="X171" s="41" t="str">
        <x:f>IF(L171&gt;=H171,"Weekly","No weekly")</x:f>
        <x:v>Weekly</x:v>
      </x:c>
      <x:c r="Y171" s="41" t="n">
        <x:f>IFERROR(I171-E171,"")</x:f>
        <x:v>-0.42879299999999887</x:v>
      </x:c>
      <x:c r="Z171" s="41" t="n">
        <x:f>IFERROR(J171-F171,"")</x:f>
        <x:v>3.2061410000000024</x:v>
      </x:c>
      <x:c r="AA171" s="41" t="n">
        <x:v>11541</x:v>
      </x:c>
      <x:c r="AB171" s="41" t="n">
        <x:v>5937</x:v>
      </x:c>
    </x:row>
    <x:row r="172">
      <x:c r="A172" s="41" t="str">
        <x:v>HYP_REFINE_AUTO002_TOPN_6_V1_DDGRID_CHEAP_R13_C22_E75_CR40_REDD_RECOVERED_DD8_SL22</x:v>
      </x:c>
      <x:c r="B172" s="41" t="str">
        <x:v>dd_guard_grid</x:v>
      </x:c>
      <x:c r="C172" s="41" t="str">
        <x:v>1999-01-04</x:v>
      </x:c>
      <x:c r="D172" s="41" t="str">
        <x:v>2026-05-22</x:v>
      </x:c>
      <x:c r="E172" s="41" t="n">
        <x:v>12.115912</x:v>
      </x:c>
      <x:c r="F172" s="41" t="n">
        <x:v>-33.556578</x:v>
      </x:c>
      <x:c r="G172" s="41" t="n">
        <x:v>2189.893531</x:v>
      </x:c>
      <x:c r="H172" s="41" t="n">
        <x:f>IFERROR(E172/ABS(F172),"")</x:f>
        <x:v>0.3610592236192856</x:v>
      </x:c>
      <x:c r="I172" s="41" t="n">
        <x:v>12.600071</x:v>
      </x:c>
      <x:c r="J172" s="41" t="n">
        <x:v>-29.461895</x:v>
      </x:c>
      <x:c r="K172" s="41" t="n">
        <x:v>2476.628155</x:v>
      </x:c>
      <x:c r="L172" s="41" t="n">
        <x:f>IFERROR(I172/ABS(J172),"")</x:f>
        <x:v>0.4276734744998582</x:v>
      </x:c>
      <x:c r="M172" s="41" t="n">
        <x:v>6.802475</x:v>
      </x:c>
      <x:c r="N172" s="41" t="n">
        <x:v>-56.473669</x:v>
      </x:c>
      <x:c r="O172" s="41" t="n">
        <x:v>506.057416</x:v>
      </x:c>
      <x:c r="P172" s="41" t="n">
        <x:f>IFERROR(M172/ABS(N172),"")</x:f>
        <x:v>0.12045392340278087</x:v>
      </x:c>
      <x:c r="Q172" s="41" t="str">
        <x:f>IF(L172&gt;=MAX(H172,P172),"Weekly",IF(H172&gt;=MAX(L172,P172),"No weekly","SPY"))</x:f>
        <x:v>Weekly</x:v>
      </x:c>
      <x:c r="R172" s="41" t="n">
        <x:f>IFERROR(L172-P172,"")</x:f>
        <x:v>0.3072195510970773</x:v>
      </x:c>
      <x:c r="S172" s="41" t="n">
        <x:f>IFERROR(H172-P172,"")</x:f>
        <x:v>0.24060530021650472</x:v>
      </x:c>
      <x:c r="T172" s="41" t="n">
        <x:f>IFERROR(I172-M172,"")</x:f>
        <x:v>5.7975959999999995</x:v>
      </x:c>
      <x:c r="U172" s="41" t="n">
        <x:f>IFERROR(E172-M172,"")</x:f>
        <x:v>5.3134369999999995</x:v>
      </x:c>
      <x:c r="V172" s="41" t="str">
        <x:f>IF(AND(I172&gt;M172,J172&gt;N172),"Sí","No")</x:f>
        <x:v>Sí</x:v>
      </x:c>
      <x:c r="W172" s="41" t="str">
        <x:f>IF(AND(E172&gt;M172,F172&gt;N172),"Sí","No")</x:f>
        <x:v>Sí</x:v>
      </x:c>
      <x:c r="X172" s="41" t="str">
        <x:f>IF(L172&gt;=H172,"Weekly","No weekly")</x:f>
        <x:v>Weekly</x:v>
      </x:c>
      <x:c r="Y172" s="41" t="n">
        <x:f>IFERROR(I172-E172,"")</x:f>
        <x:v>0.484159</x:v>
      </x:c>
      <x:c r="Z172" s="41" t="n">
        <x:f>IFERROR(J172-F172,"")</x:f>
        <x:v>4.094683000000003</x:v>
      </x:c>
      <x:c r="AA172" s="41" t="n">
        <x:v>11817</x:v>
      </x:c>
      <x:c r="AB172" s="41" t="n">
        <x:v>5926</x:v>
      </x:c>
    </x:row>
    <x:row r="173">
      <x:c r="A173" s="41" t="str">
        <x:v>HYP_REFINE_AUTO002_TOPN_6_V1_DDGRID_CHEAP_R13_C22_E75_CR40_REDD_RECOVERED_DD9_SL20</x:v>
      </x:c>
      <x:c r="B173" s="41" t="str">
        <x:v>dd_guard_grid</x:v>
      </x:c>
      <x:c r="C173" s="41" t="str">
        <x:v>1999-01-04</x:v>
      </x:c>
      <x:c r="D173" s="41" t="str">
        <x:v>2026-05-22</x:v>
      </x:c>
      <x:c r="E173" s="41" t="n">
        <x:v>13.1739</x:v>
      </x:c>
      <x:c r="F173" s="41" t="n">
        <x:v>-32.641176</x:v>
      </x:c>
      <x:c r="G173" s="41" t="n">
        <x:v>2861.372447</x:v>
      </x:c>
      <x:c r="H173" s="41" t="n">
        <x:f>IFERROR(E173/ABS(F173),"")</x:f>
        <x:v>0.4035975909691489</x:v>
      </x:c>
      <x:c r="I173" s="41" t="n">
        <x:v>12.382763</x:v>
      </x:c>
      <x:c r="J173" s="41" t="n">
        <x:v>-29.435035</x:v>
      </x:c>
      <x:c r="K173" s="41" t="n">
        <x:v>2343.893603</x:v>
      </x:c>
      <x:c r="L173" s="41" t="n">
        <x:f>IFERROR(I173/ABS(J173),"")</x:f>
        <x:v>0.42068110331786596</x:v>
      </x:c>
      <x:c r="M173" s="41" t="n">
        <x:v>6.802475</x:v>
      </x:c>
      <x:c r="N173" s="41" t="n">
        <x:v>-56.473669</x:v>
      </x:c>
      <x:c r="O173" s="41" t="n">
        <x:v>506.057416</x:v>
      </x:c>
      <x:c r="P173" s="41" t="n">
        <x:f>IFERROR(M173/ABS(N173),"")</x:f>
        <x:v>0.12045392340278087</x:v>
      </x:c>
      <x:c r="Q173" s="41" t="str">
        <x:f>IF(L173&gt;=MAX(H173,P173),"Weekly",IF(H173&gt;=MAX(L173,P173),"No weekly","SPY"))</x:f>
        <x:v>Weekly</x:v>
      </x:c>
      <x:c r="R173" s="41" t="n">
        <x:f>IFERROR(L173-P173,"")</x:f>
        <x:v>0.3002271799150851</x:v>
      </x:c>
      <x:c r="S173" s="41" t="n">
        <x:f>IFERROR(H173-P173,"")</x:f>
        <x:v>0.283143667566368</x:v>
      </x:c>
      <x:c r="T173" s="41" t="n">
        <x:f>IFERROR(I173-M173,"")</x:f>
        <x:v>5.580288</x:v>
      </x:c>
      <x:c r="U173" s="41" t="n">
        <x:f>IFERROR(E173-M173,"")</x:f>
        <x:v>6.3714249999999995</x:v>
      </x:c>
      <x:c r="V173" s="41" t="str">
        <x:f>IF(AND(I173&gt;M173,J173&gt;N173),"Sí","No")</x:f>
        <x:v>Sí</x:v>
      </x:c>
      <x:c r="W173" s="41" t="str">
        <x:f>IF(AND(E173&gt;M173,F173&gt;N173),"Sí","No")</x:f>
        <x:v>Sí</x:v>
      </x:c>
      <x:c r="X173" s="41" t="str">
        <x:f>IF(L173&gt;=H173,"Weekly","No weekly")</x:f>
        <x:v>Weekly</x:v>
      </x:c>
      <x:c r="Y173" s="41" t="n">
        <x:f>IFERROR(I173-E173,"")</x:f>
        <x:v>-0.7911369999999991</x:v>
      </x:c>
      <x:c r="Z173" s="41" t="n">
        <x:f>IFERROR(J173-F173,"")</x:f>
        <x:v>3.2061410000000024</x:v>
      </x:c>
      <x:c r="AA173" s="41" t="n">
        <x:v>11568</x:v>
      </x:c>
      <x:c r="AB173" s="41" t="n">
        <x:v>5780</x:v>
      </x:c>
    </x:row>
    <x:row r="174">
      <x:c r="A174" s="41" t="str">
        <x:v>HYP_REFINE_AUTO002_TOPN_6_V1_DDGRID_CHEAP_R13_C23_E75_CR40_REDD_RECOVERED_DD8_SL20</x:v>
      </x:c>
      <x:c r="B174" s="41" t="str">
        <x:v>dd_guard_grid</x:v>
      </x:c>
      <x:c r="C174" s="41" t="str">
        <x:v>1999-01-04</x:v>
      </x:c>
      <x:c r="D174" s="41" t="str">
        <x:v>2026-05-22</x:v>
      </x:c>
      <x:c r="E174" s="41" t="n">
        <x:v>12.339667</x:v>
      </x:c>
      <x:c r="F174" s="41" t="n">
        <x:v>-33.768143</x:v>
      </x:c>
      <x:c r="G174" s="41" t="n">
        <x:v>2318.364261</x:v>
      </x:c>
      <x:c r="H174" s="41" t="n">
        <x:f>IFERROR(E174/ABS(F174),"")</x:f>
        <x:v>0.36542332221229934</x:v>
      </x:c>
      <x:c r="I174" s="41" t="n">
        <x:v>13.366354</x:v>
      </x:c>
      <x:c r="J174" s="41" t="n">
        <x:v>-30.056923</x:v>
      </x:c>
      <x:c r="K174" s="41" t="n">
        <x:v>3002.383769</x:v>
      </x:c>
      <x:c r="L174" s="41" t="n">
        <x:f>IFERROR(I174/ABS(J174),"")</x:f>
        <x:v>0.44470134218329666</x:v>
      </x:c>
      <x:c r="M174" s="41" t="n">
        <x:v>6.802475</x:v>
      </x:c>
      <x:c r="N174" s="41" t="n">
        <x:v>-56.473669</x:v>
      </x:c>
      <x:c r="O174" s="41" t="n">
        <x:v>506.057416</x:v>
      </x:c>
      <x:c r="P174" s="41" t="n">
        <x:f>IFERROR(M174/ABS(N174),"")</x:f>
        <x:v>0.12045392340278087</x:v>
      </x:c>
      <x:c r="Q174" s="41" t="str">
        <x:f>IF(L174&gt;=MAX(H174,P174),"Weekly",IF(H174&gt;=MAX(L174,P174),"No weekly","SPY"))</x:f>
        <x:v>Weekly</x:v>
      </x:c>
      <x:c r="R174" s="41" t="n">
        <x:f>IFERROR(L174-P174,"")</x:f>
        <x:v>0.3242474187805158</x:v>
      </x:c>
      <x:c r="S174" s="41" t="n">
        <x:f>IFERROR(H174-P174,"")</x:f>
        <x:v>0.24496939880951846</x:v>
      </x:c>
      <x:c r="T174" s="41" t="n">
        <x:f>IFERROR(I174-M174,"")</x:f>
        <x:v>6.563878999999999</x:v>
      </x:c>
      <x:c r="U174" s="41" t="n">
        <x:f>IFERROR(E174-M174,"")</x:f>
        <x:v>5.537192</x:v>
      </x:c>
      <x:c r="V174" s="41" t="str">
        <x:f>IF(AND(I174&gt;M174,J174&gt;N174),"Sí","No")</x:f>
        <x:v>Sí</x:v>
      </x:c>
      <x:c r="W174" s="41" t="str">
        <x:f>IF(AND(E174&gt;M174,F174&gt;N174),"Sí","No")</x:f>
        <x:v>Sí</x:v>
      </x:c>
      <x:c r="X174" s="41" t="str">
        <x:f>IF(L174&gt;=H174,"Weekly","No weekly")</x:f>
        <x:v>Weekly</x:v>
      </x:c>
      <x:c r="Y174" s="41" t="n">
        <x:f>IFERROR(I174-E174,"")</x:f>
        <x:v>1.026686999999999</x:v>
      </x:c>
      <x:c r="Z174" s="41" t="n">
        <x:f>IFERROR(J174-F174,"")</x:f>
        <x:v>3.711220000000001</x:v>
      </x:c>
      <x:c r="AA174" s="41" t="n">
        <x:v>11334</x:v>
      </x:c>
      <x:c r="AB174" s="41" t="n">
        <x:v>5740</x:v>
      </x:c>
    </x:row>
    <x:row r="175">
      <x:c r="A175" s="41" t="str">
        <x:v>HYP_REFINE_AUTO002_TOPN_6_V1_DDGRID_EXT_FINE_R10_C22_E75_CR50_REDD_RECOVERED_DD6_SL18</x:v>
      </x:c>
      <x:c r="B175" s="41" t="str">
        <x:v>dd_guard_grid</x:v>
      </x:c>
      <x:c r="C175" s="41" t="str">
        <x:v>1999-01-04</x:v>
      </x:c>
      <x:c r="D175" s="41" t="str">
        <x:v>2026-05-22</x:v>
      </x:c>
      <x:c r="E175" s="41" t="n">
        <x:v>13.796367</x:v>
      </x:c>
      <x:c r="F175" s="41" t="n">
        <x:v>-33.804171</x:v>
      </x:c>
      <x:c r="G175" s="41" t="n">
        <x:v>3341.214326</x:v>
      </x:c>
      <x:c r="H175" s="41" t="n">
        <x:f>IFERROR(E175/ABS(F175),"")</x:f>
        <x:v>0.40812617472559826</x:v>
      </x:c>
      <x:c r="I175" s="41" t="n">
        <x:v>13.787237</x:v>
      </x:c>
      <x:c r="J175" s="41" t="n">
        <x:v>-30.624296</x:v>
      </x:c>
      <x:c r="K175" s="41" t="n">
        <x:v>3333.663303</x:v>
      </x:c>
      <x:c r="L175" s="41" t="n">
        <x:f>IFERROR(I175/ABS(J175),"")</x:f>
        <x:v>0.45020584309921763</x:v>
      </x:c>
      <x:c r="M175" s="41" t="n">
        <x:v>6.802475</x:v>
      </x:c>
      <x:c r="N175" s="41" t="n">
        <x:v>-56.473669</x:v>
      </x:c>
      <x:c r="O175" s="41" t="n">
        <x:v>506.057416</x:v>
      </x:c>
      <x:c r="P175" s="41" t="n">
        <x:f>IFERROR(M175/ABS(N175),"")</x:f>
        <x:v>0.12045392340278087</x:v>
      </x:c>
      <x:c r="Q175" s="41" t="str">
        <x:f>IF(L175&gt;=MAX(H175,P175),"Weekly",IF(H175&gt;=MAX(L175,P175),"No weekly","SPY"))</x:f>
        <x:v>Weekly</x:v>
      </x:c>
      <x:c r="R175" s="41" t="n">
        <x:f>IFERROR(L175-P175,"")</x:f>
        <x:v>0.32975191969643675</x:v>
      </x:c>
      <x:c r="S175" s="41" t="n">
        <x:f>IFERROR(H175-P175,"")</x:f>
        <x:v>0.2876722513228174</x:v>
      </x:c>
      <x:c r="T175" s="41" t="n">
        <x:f>IFERROR(I175-M175,"")</x:f>
        <x:v>6.984761999999999</x:v>
      </x:c>
      <x:c r="U175" s="41" t="n">
        <x:f>IFERROR(E175-M175,"")</x:f>
        <x:v>6.993892</x:v>
      </x:c>
      <x:c r="V175" s="41" t="str">
        <x:f>IF(AND(I175&gt;M175,J175&gt;N175),"Sí","No")</x:f>
        <x:v>Sí</x:v>
      </x:c>
      <x:c r="W175" s="41" t="str">
        <x:f>IF(AND(E175&gt;M175,F175&gt;N175),"Sí","No")</x:f>
        <x:v>Sí</x:v>
      </x:c>
      <x:c r="X175" s="41" t="str">
        <x:f>IF(L175&gt;=H175,"Weekly","No weekly")</x:f>
        <x:v>Weekly</x:v>
      </x:c>
      <x:c r="Y175" s="41" t="n">
        <x:f>IFERROR(I175-E175,"")</x:f>
        <x:v>-0.009130000000000749</x:v>
      </x:c>
      <x:c r="Z175" s="41" t="n">
        <x:f>IFERROR(J175-F175,"")</x:f>
        <x:v>3.1798749999999956</x:v>
      </x:c>
      <x:c r="AA175" s="41" t="n">
        <x:v>11662</x:v>
      </x:c>
      <x:c r="AB175" s="41" t="n">
        <x:v>5731</x:v>
      </x:c>
    </x:row>
    <x:row r="176">
      <x:c r="A176" s="41" t="str">
        <x:v>HYP_REFINE_AUTO002_TOPN_6_V1_DDGRID_EXT_FINE_R10_C24_E75_CR50_REDD_RECOVERED_DD8_SL20</x:v>
      </x:c>
      <x:c r="B176" s="41" t="str">
        <x:v>dd_guard_grid</x:v>
      </x:c>
      <x:c r="C176" s="41" t="str">
        <x:v>1999-01-04</x:v>
      </x:c>
      <x:c r="D176" s="41" t="str">
        <x:v>2026-05-22</x:v>
      </x:c>
      <x:c r="E176" s="41" t="n">
        <x:v>14.564729</x:v>
      </x:c>
      <x:c r="F176" s="41" t="n">
        <x:v>-36.040647</x:v>
      </x:c>
      <x:c r="G176" s="41" t="n">
        <x:v>4037.389568</x:v>
      </x:c>
      <x:c r="H176" s="41" t="n">
        <x:f>IFERROR(E176/ABS(F176),"")</x:f>
        <x:v>0.4041195209397878</x:v>
      </x:c>
      <x:c r="I176" s="41" t="n">
        <x:v>14.777962</x:v>
      </x:c>
      <x:c r="J176" s="41" t="n">
        <x:v>-30.044477</x:v>
      </x:c>
      <x:c r="K176" s="41" t="n">
        <x:v>4253.48156</x:v>
      </x:c>
      <x:c r="L176" s="41" t="n">
        <x:f>IFERROR(I176/ABS(J176),"")</x:f>
        <x:v>0.4918695040023496</x:v>
      </x:c>
      <x:c r="M176" s="41" t="n">
        <x:v>6.802475</x:v>
      </x:c>
      <x:c r="N176" s="41" t="n">
        <x:v>-56.473669</x:v>
      </x:c>
      <x:c r="O176" s="41" t="n">
        <x:v>506.057416</x:v>
      </x:c>
      <x:c r="P176" s="41" t="n">
        <x:f>IFERROR(M176/ABS(N176),"")</x:f>
        <x:v>0.12045392340278087</x:v>
      </x:c>
      <x:c r="Q176" s="41" t="str">
        <x:f>IF(L176&gt;=MAX(H176,P176),"Weekly",IF(H176&gt;=MAX(L176,P176),"No weekly","SPY"))</x:f>
        <x:v>Weekly</x:v>
      </x:c>
      <x:c r="R176" s="41" t="n">
        <x:f>IFERROR(L176-P176,"")</x:f>
        <x:v>0.3714155805995687</x:v>
      </x:c>
      <x:c r="S176" s="41" t="n">
        <x:f>IFERROR(H176-P176,"")</x:f>
        <x:v>0.28366559753700693</x:v>
      </x:c>
      <x:c r="T176" s="41" t="n">
        <x:f>IFERROR(I176-M176,"")</x:f>
        <x:v>7.975487</x:v>
      </x:c>
      <x:c r="U176" s="41" t="n">
        <x:f>IFERROR(E176-M176,"")</x:f>
        <x:v>7.7622539999999995</x:v>
      </x:c>
      <x:c r="V176" s="41" t="str">
        <x:f>IF(AND(I176&gt;M176,J176&gt;N176),"Sí","No")</x:f>
        <x:v>Sí</x:v>
      </x:c>
      <x:c r="W176" s="41" t="str">
        <x:f>IF(AND(E176&gt;M176,F176&gt;N176),"Sí","No")</x:f>
        <x:v>Sí</x:v>
      </x:c>
      <x:c r="X176" s="41" t="str">
        <x:f>IF(L176&gt;=H176,"Weekly","No weekly")</x:f>
        <x:v>Weekly</x:v>
      </x:c>
      <x:c r="Y176" s="41" t="n">
        <x:f>IFERROR(I176-E176,"")</x:f>
        <x:v>0.21323300000000067</x:v>
      </x:c>
      <x:c r="Z176" s="41" t="n">
        <x:f>IFERROR(J176-F176,"")</x:f>
        <x:v>5.996169999999999</x:v>
      </x:c>
      <x:c r="AA176" s="41" t="n">
        <x:v>11424</x:v>
      </x:c>
      <x:c r="AB176" s="41" t="n">
        <x:v>5211</x:v>
      </x:c>
    </x:row>
    <x:row r="177">
      <x:c r="A177" s="41" t="str">
        <x:v>HYP_REFINE_AUTO002_TOPN_6_V1_DDGRID_EXT_FINE_R12_C24_E75_CR50_REDD_RECOVERED_DD8_SL20</x:v>
      </x:c>
      <x:c r="B177" s="41" t="str">
        <x:v>dd_guard_grid</x:v>
      </x:c>
      <x:c r="C177" s="41" t="str">
        <x:v>1999-01-04</x:v>
      </x:c>
      <x:c r="D177" s="41" t="str">
        <x:v>2026-05-22</x:v>
      </x:c>
      <x:c r="E177" s="41" t="n">
        <x:v>14.703639</x:v>
      </x:c>
      <x:c r="F177" s="41" t="n">
        <x:v>-36.040647</x:v>
      </x:c>
      <x:c r="G177" s="41" t="n">
        <x:v>4176.955171</x:v>
      </x:c>
      <x:c r="H177" s="41" t="n">
        <x:f>IFERROR(E177/ABS(F177),"")</x:f>
        <x:v>0.4079737802709258</x:v>
      </x:c>
      <x:c r="I177" s="41" t="n">
        <x:v>14.85345</x:v>
      </x:c>
      <x:c r="J177" s="41" t="n">
        <x:v>-30.044477</x:v>
      </x:c>
      <x:c r="K177" s="41" t="n">
        <x:v>4332.556005</x:v>
      </x:c>
      <x:c r="L177" s="41" t="n">
        <x:f>IFERROR(I177/ABS(J177),"")</x:f>
        <x:v>0.49438204565850824</x:v>
      </x:c>
      <x:c r="M177" s="41" t="n">
        <x:v>6.802475</x:v>
      </x:c>
      <x:c r="N177" s="41" t="n">
        <x:v>-56.473669</x:v>
      </x:c>
      <x:c r="O177" s="41" t="n">
        <x:v>506.057416</x:v>
      </x:c>
      <x:c r="P177" s="41" t="n">
        <x:f>IFERROR(M177/ABS(N177),"")</x:f>
        <x:v>0.12045392340278087</x:v>
      </x:c>
      <x:c r="Q177" s="41" t="str">
        <x:f>IF(L177&gt;=MAX(H177,P177),"Weekly",IF(H177&gt;=MAX(L177,P177),"No weekly","SPY"))</x:f>
        <x:v>Weekly</x:v>
      </x:c>
      <x:c r="R177" s="41" t="n">
        <x:f>IFERROR(L177-P177,"")</x:f>
        <x:v>0.37392812225572736</x:v>
      </x:c>
      <x:c r="S177" s="41" t="n">
        <x:f>IFERROR(H177-P177,"")</x:f>
        <x:v>0.2875198568681449</x:v>
      </x:c>
      <x:c r="T177" s="41" t="n">
        <x:f>IFERROR(I177-M177,"")</x:f>
        <x:v>8.050975000000001</x:v>
      </x:c>
      <x:c r="U177" s="41" t="n">
        <x:f>IFERROR(E177-M177,"")</x:f>
        <x:v>7.9011640000000005</x:v>
      </x:c>
      <x:c r="V177" s="41" t="str">
        <x:f>IF(AND(I177&gt;M177,J177&gt;N177),"Sí","No")</x:f>
        <x:v>Sí</x:v>
      </x:c>
      <x:c r="W177" s="41" t="str">
        <x:f>IF(AND(E177&gt;M177,F177&gt;N177),"Sí","No")</x:f>
        <x:v>Sí</x:v>
      </x:c>
      <x:c r="X177" s="41" t="str">
        <x:f>IF(L177&gt;=H177,"Weekly","No weekly")</x:f>
        <x:v>Weekly</x:v>
      </x:c>
      <x:c r="Y177" s="41" t="n">
        <x:f>IFERROR(I177-E177,"")</x:f>
        <x:v>0.1498109999999997</x:v>
      </x:c>
      <x:c r="Z177" s="41" t="n">
        <x:f>IFERROR(J177-F177,"")</x:f>
        <x:v>5.996169999999999</x:v>
      </x:c>
      <x:c r="AA177" s="41" t="n">
        <x:v>11162</x:v>
      </x:c>
      <x:c r="AB177" s="41" t="n">
        <x:v>5269</x:v>
      </x:c>
    </x:row>
    <x:row r="178">
      <x:c r="A178" s="41" t="str">
        <x:v>HYP_REFINE_AUTO002_TOPN_6_V1_DDGRID_EXT_FINE_R12_C25_E66_CR40_REDD_RECOVERED_DD8_SL20</x:v>
      </x:c>
      <x:c r="B178" s="41" t="str">
        <x:v>dd_guard_grid</x:v>
      </x:c>
      <x:c r="C178" s="41" t="str">
        <x:v>1999-01-04</x:v>
      </x:c>
      <x:c r="D178" s="41" t="str">
        <x:v>2026-05-22</x:v>
      </x:c>
      <x:c r="E178" s="41" t="n">
        <x:v>13.931127</x:v>
      </x:c>
      <x:c r="F178" s="41" t="n">
        <x:v>-34.383645</x:v>
      </x:c>
      <x:c r="G178" s="41" t="n">
        <x:v>3454.546894</x:v>
      </x:c>
      <x:c r="H178" s="41" t="n">
        <x:f>IFERROR(E178/ABS(F178),"")</x:f>
        <x:v>0.4051672532100654</x:v>
      </x:c>
      <x:c r="I178" s="41" t="n">
        <x:v>14.803013</x:v>
      </x:c>
      <x:c r="J178" s="41" t="n">
        <x:v>-29.221842</x:v>
      </x:c>
      <x:c r="K178" s="41" t="n">
        <x:v>4279.570531</x:v>
      </x:c>
      <x:c r="L178" s="41" t="n">
        <x:f>IFERROR(I178/ABS(J178),"")</x:f>
        <x:v>0.5065735760257687</x:v>
      </x:c>
      <x:c r="M178" s="41" t="n">
        <x:v>6.802475</x:v>
      </x:c>
      <x:c r="N178" s="41" t="n">
        <x:v>-56.473669</x:v>
      </x:c>
      <x:c r="O178" s="41" t="n">
        <x:v>506.057416</x:v>
      </x:c>
      <x:c r="P178" s="41" t="n">
        <x:f>IFERROR(M178/ABS(N178),"")</x:f>
        <x:v>0.12045392340278087</x:v>
      </x:c>
      <x:c r="Q178" s="41" t="str">
        <x:f>IF(L178&gt;=MAX(H178,P178),"Weekly",IF(H178&gt;=MAX(L178,P178),"No weekly","SPY"))</x:f>
        <x:v>Weekly</x:v>
      </x:c>
      <x:c r="R178" s="41" t="n">
        <x:f>IFERROR(L178-P178,"")</x:f>
        <x:v>0.3861196526229878</x:v>
      </x:c>
      <x:c r="S178" s="41" t="n">
        <x:f>IFERROR(H178-P178,"")</x:f>
        <x:v>0.28471332980728453</x:v>
      </x:c>
      <x:c r="T178" s="41" t="n">
        <x:f>IFERROR(I178-M178,"")</x:f>
        <x:v>8.000537999999999</x:v>
      </x:c>
      <x:c r="U178" s="41" t="n">
        <x:f>IFERROR(E178-M178,"")</x:f>
        <x:v>7.128652</x:v>
      </x:c>
      <x:c r="V178" s="41" t="str">
        <x:f>IF(AND(I178&gt;M178,J178&gt;N178),"Sí","No")</x:f>
        <x:v>Sí</x:v>
      </x:c>
      <x:c r="W178" s="41" t="str">
        <x:f>IF(AND(E178&gt;M178,F178&gt;N178),"Sí","No")</x:f>
        <x:v>Sí</x:v>
      </x:c>
      <x:c r="X178" s="41" t="str">
        <x:f>IF(L178&gt;=H178,"Weekly","No weekly")</x:f>
        <x:v>Weekly</x:v>
      </x:c>
      <x:c r="Y178" s="41" t="n">
        <x:f>IFERROR(I178-E178,"")</x:f>
        <x:v>0.8718859999999999</x:v>
      </x:c>
      <x:c r="Z178" s="41" t="n">
        <x:f>IFERROR(J178-F178,"")</x:f>
        <x:v>5.161803000000003</x:v>
      </x:c>
      <x:c r="AA178" s="41" t="n">
        <x:v>11587</x:v>
      </x:c>
      <x:c r="AB178" s="41" t="n">
        <x:v>5320</x:v>
      </x:c>
    </x:row>
    <x:row r="179">
      <x:c r="A179" s="41" t="str">
        <x:v>HYP_REFINE_AUTO002_TOPN_6_V1_DDGRID_EXT_FINE_R12_C25_E66_CR50_REDD_RECOVERED_DD8_SL20</x:v>
      </x:c>
      <x:c r="B179" s="41" t="str">
        <x:v>dd_guard_grid</x:v>
      </x:c>
      <x:c r="C179" s="41" t="str">
        <x:v>1999-01-04</x:v>
      </x:c>
      <x:c r="D179" s="41" t="str">
        <x:v>2026-05-22</x:v>
      </x:c>
      <x:c r="E179" s="41" t="n">
        <x:v>14.153837</x:v>
      </x:c>
      <x:c r="F179" s="41" t="n">
        <x:v>-34.507009</x:v>
      </x:c>
      <x:c r="G179" s="41" t="n">
        <x:v>3649.768504</x:v>
      </x:c>
      <x:c r="H179" s="41" t="n">
        <x:f>IFERROR(E179/ABS(F179),"")</x:f>
        <x:v>0.41017281445633264</x:v>
      </x:c>
      <x:c r="I179" s="41" t="n">
        <x:v>14.93791</x:v>
      </x:c>
      <x:c r="J179" s="41" t="n">
        <x:v>-29.927234</x:v>
      </x:c>
      <x:c r="K179" s="41" t="n">
        <x:v>4422.669681</x:v>
      </x:c>
      <x:c r="L179" s="41" t="n">
        <x:f>IFERROR(I179/ABS(J179),"")</x:f>
        <x:v>0.49914101650690473</x:v>
      </x:c>
      <x:c r="M179" s="41" t="n">
        <x:v>6.802475</x:v>
      </x:c>
      <x:c r="N179" s="41" t="n">
        <x:v>-56.473669</x:v>
      </x:c>
      <x:c r="O179" s="41" t="n">
        <x:v>506.057416</x:v>
      </x:c>
      <x:c r="P179" s="41" t="n">
        <x:f>IFERROR(M179/ABS(N179),"")</x:f>
        <x:v>0.12045392340278087</x:v>
      </x:c>
      <x:c r="Q179" s="41" t="str">
        <x:f>IF(L179&gt;=MAX(H179,P179),"Weekly",IF(H179&gt;=MAX(L179,P179),"No weekly","SPY"))</x:f>
        <x:v>Weekly</x:v>
      </x:c>
      <x:c r="R179" s="41" t="n">
        <x:f>IFERROR(L179-P179,"")</x:f>
        <x:v>0.37868709310412385</x:v>
      </x:c>
      <x:c r="S179" s="41" t="n">
        <x:f>IFERROR(H179-P179,"")</x:f>
        <x:v>0.28971889105355175</x:v>
      </x:c>
      <x:c r="T179" s="41" t="n">
        <x:f>IFERROR(I179-M179,"")</x:f>
        <x:v>8.135435000000001</x:v>
      </x:c>
      <x:c r="U179" s="41" t="n">
        <x:f>IFERROR(E179-M179,"")</x:f>
        <x:v>7.351361999999999</x:v>
      </x:c>
      <x:c r="V179" s="41" t="str">
        <x:f>IF(AND(I179&gt;M179,J179&gt;N179),"Sí","No")</x:f>
        <x:v>Sí</x:v>
      </x:c>
      <x:c r="W179" s="41" t="str">
        <x:f>IF(AND(E179&gt;M179,F179&gt;N179),"Sí","No")</x:f>
        <x:v>Sí</x:v>
      </x:c>
      <x:c r="X179" s="41" t="str">
        <x:f>IF(L179&gt;=H179,"Weekly","No weekly")</x:f>
        <x:v>Weekly</x:v>
      </x:c>
      <x:c r="Y179" s="41" t="n">
        <x:f>IFERROR(I179-E179,"")</x:f>
        <x:v>0.7840730000000011</x:v>
      </x:c>
      <x:c r="Z179" s="41" t="n">
        <x:f>IFERROR(J179-F179,"")</x:f>
        <x:v>4.579774999999998</x:v>
      </x:c>
      <x:c r="AA179" s="41" t="n">
        <x:v>11342</x:v>
      </x:c>
      <x:c r="AB179" s="41" t="n">
        <x:v>5379</x:v>
      </x:c>
    </x:row>
    <x:row r="180">
      <x:c r="A180" s="41" t="str">
        <x:v>HYP_REFINE_AUTO002_TOPN_6_V1_DDGRID_EXT_FINE_R12_C25_E75_CR40_REDD_RECOVERED_DD8_SL20</x:v>
      </x:c>
      <x:c r="B180" s="41" t="str">
        <x:v>dd_guard_grid</x:v>
      </x:c>
      <x:c r="C180" s="41" t="str">
        <x:v>1999-01-04</x:v>
      </x:c>
      <x:c r="D180" s="41" t="str">
        <x:v>2026-05-22</x:v>
      </x:c>
      <x:c r="E180" s="41" t="n">
        <x:v>13.247623</x:v>
      </x:c>
      <x:c r="F180" s="41" t="n">
        <x:v>-34.568769</x:v>
      </x:c>
      <x:c r="G180" s="41" t="n">
        <x:v>2914.643948</x:v>
      </x:c>
      <x:c r="H180" s="41" t="n">
        <x:f>IFERROR(E180/ABS(F180),"")</x:f>
        <x:v>0.3832251880302709</x:v>
      </x:c>
      <x:c r="I180" s="41" t="n">
        <x:v>13.626849</x:v>
      </x:c>
      <x:c r="J180" s="41" t="n">
        <x:v>-32.201421</x:v>
      </x:c>
      <x:c r="K180" s="41" t="n">
        <x:v>3203.588861</x:v>
      </x:c>
      <x:c r="L180" s="41" t="n">
        <x:f>IFERROR(I180/ABS(J180),"")</x:f>
        <x:v>0.4231753934088809</x:v>
      </x:c>
      <x:c r="M180" s="41" t="n">
        <x:v>6.802475</x:v>
      </x:c>
      <x:c r="N180" s="41" t="n">
        <x:v>-56.473669</x:v>
      </x:c>
      <x:c r="O180" s="41" t="n">
        <x:v>506.057416</x:v>
      </x:c>
      <x:c r="P180" s="41" t="n">
        <x:f>IFERROR(M180/ABS(N180),"")</x:f>
        <x:v>0.12045392340278087</x:v>
      </x:c>
      <x:c r="Q180" s="41" t="str">
        <x:f>IF(L180&gt;=MAX(H180,P180),"Weekly",IF(H180&gt;=MAX(L180,P180),"No weekly","SPY"))</x:f>
        <x:v>Weekly</x:v>
      </x:c>
      <x:c r="R180" s="41" t="n">
        <x:f>IFERROR(L180-P180,"")</x:f>
        <x:v>0.3027214700061</x:v>
      </x:c>
      <x:c r="S180" s="41" t="n">
        <x:f>IFERROR(H180-P180,"")</x:f>
        <x:v>0.26277126462749</x:v>
      </x:c>
      <x:c r="T180" s="41" t="n">
        <x:f>IFERROR(I180-M180,"")</x:f>
        <x:v>6.824374</x:v>
      </x:c>
      <x:c r="U180" s="41" t="n">
        <x:f>IFERROR(E180-M180,"")</x:f>
        <x:v>6.4451480000000005</x:v>
      </x:c>
      <x:c r="V180" s="41" t="str">
        <x:f>IF(AND(I180&gt;M180,J180&gt;N180),"Sí","No")</x:f>
        <x:v>Sí</x:v>
      </x:c>
      <x:c r="W180" s="41" t="str">
        <x:f>IF(AND(E180&gt;M180,F180&gt;N180),"Sí","No")</x:f>
        <x:v>Sí</x:v>
      </x:c>
      <x:c r="X180" s="41" t="str">
        <x:f>IF(L180&gt;=H180,"Weekly","No weekly")</x:f>
        <x:v>Weekly</x:v>
      </x:c>
      <x:c r="Y180" s="41" t="n">
        <x:f>IFERROR(I180-E180,"")</x:f>
        <x:v>0.3792259999999992</x:v>
      </x:c>
      <x:c r="Z180" s="41" t="n">
        <x:f>IFERROR(J180-F180,"")</x:f>
        <x:v>2.367348</x:v>
      </x:c>
      <x:c r="AA180" s="41" t="n">
        <x:v>11947</x:v>
      </x:c>
      <x:c r="AB180" s="41" t="n">
        <x:v>5316</x:v>
      </x:c>
    </x:row>
    <x:row r="181">
      <x:c r="A181" s="41" t="str">
        <x:v>HYP_REFINE_AUTO002_TOPN_6_V1_DDGRID_EXT_FINE_R12_C25_E75_CR50_REDD_RECOVERED_DD10_SL20</x:v>
      </x:c>
      <x:c r="B181" s="41" t="str">
        <x:v>dd_guard_grid</x:v>
      </x:c>
      <x:c r="C181" s="41" t="str">
        <x:v>1999-01-04</x:v>
      </x:c>
      <x:c r="D181" s="41" t="str">
        <x:v>2026-05-22</x:v>
      </x:c>
      <x:c r="E181" s="41" t="n">
        <x:v>14.549402</x:v>
      </x:c>
      <x:c r="F181" s="41" t="n">
        <x:v>-36.658572</x:v>
      </x:c>
      <x:c r="G181" s="41" t="n">
        <x:v>4022.26156</x:v>
      </x:c>
      <x:c r="H181" s="41" t="n">
        <x:f>IFERROR(E181/ABS(F181),"")</x:f>
        <x:v>0.39688949149464964</x:v>
      </x:c>
      <x:c r="I181" s="41" t="n">
        <x:v>15.401908</x:v>
      </x:c>
      <x:c r="J181" s="41" t="n">
        <x:v>-30.717465</x:v>
      </x:c>
      <x:c r="K181" s="41" t="n">
        <x:v>4950.086525</x:v>
      </x:c>
      <x:c r="L181" s="41" t="n">
        <x:f>IFERROR(I181/ABS(J181),"")</x:f>
        <x:v>0.5014055684608089</x:v>
      </x:c>
      <x:c r="M181" s="41" t="n">
        <x:v>6.802475</x:v>
      </x:c>
      <x:c r="N181" s="41" t="n">
        <x:v>-56.473669</x:v>
      </x:c>
      <x:c r="O181" s="41" t="n">
        <x:v>506.057416</x:v>
      </x:c>
      <x:c r="P181" s="41" t="n">
        <x:f>IFERROR(M181/ABS(N181),"")</x:f>
        <x:v>0.12045392340278087</x:v>
      </x:c>
      <x:c r="Q181" s="41" t="str">
        <x:f>IF(L181&gt;=MAX(H181,P181),"Weekly",IF(H181&gt;=MAX(L181,P181),"No weekly","SPY"))</x:f>
        <x:v>Weekly</x:v>
      </x:c>
      <x:c r="R181" s="41" t="n">
        <x:f>IFERROR(L181-P181,"")</x:f>
        <x:v>0.380951645058028</x:v>
      </x:c>
      <x:c r="S181" s="41" t="n">
        <x:f>IFERROR(H181-P181,"")</x:f>
        <x:v>0.27643556809186876</x:v>
      </x:c>
      <x:c r="T181" s="41" t="n">
        <x:f>IFERROR(I181-M181,"")</x:f>
        <x:v>8.599433000000001</x:v>
      </x:c>
      <x:c r="U181" s="41" t="n">
        <x:f>IFERROR(E181-M181,"")</x:f>
        <x:v>7.746927</x:v>
      </x:c>
      <x:c r="V181" s="41" t="str">
        <x:f>IF(AND(I181&gt;M181,J181&gt;N181),"Sí","No")</x:f>
        <x:v>Sí</x:v>
      </x:c>
      <x:c r="W181" s="41" t="str">
        <x:f>IF(AND(E181&gt;M181,F181&gt;N181),"Sí","No")</x:f>
        <x:v>Sí</x:v>
      </x:c>
      <x:c r="X181" s="41" t="str">
        <x:f>IF(L181&gt;=H181,"Weekly","No weekly")</x:f>
        <x:v>Weekly</x:v>
      </x:c>
      <x:c r="Y181" s="41" t="n">
        <x:f>IFERROR(I181-E181,"")</x:f>
        <x:v>0.852506</x:v>
      </x:c>
      <x:c r="Z181" s="41" t="n">
        <x:f>IFERROR(J181-F181,"")</x:f>
        <x:v>5.941106999999999</x:v>
      </x:c>
      <x:c r="AA181" s="41" t="n">
        <x:v>10697</x:v>
      </x:c>
      <x:c r="AB181" s="41" t="n">
        <x:v>4875</x:v>
      </x:c>
    </x:row>
    <x:row r="182">
      <x:c r="A182" s="41" t="str">
        <x:v>HYP_REFINE_AUTO002_TOPN_6_V1_DDGRID_EXT_FINE_R12_C25_E75_CR50_REDD_RECOVERED_DD6_SL20</x:v>
      </x:c>
      <x:c r="B182" s="41" t="str">
        <x:v>dd_guard_grid</x:v>
      </x:c>
      <x:c r="C182" s="41" t="str">
        <x:v>1999-01-04</x:v>
      </x:c>
      <x:c r="D182" s="41" t="str">
        <x:v>2026-05-22</x:v>
      </x:c>
      <x:c r="E182" s="41" t="n">
        <x:v>14.756718</x:v>
      </x:c>
      <x:c r="F182" s="41" t="n">
        <x:v>-36.658572</x:v>
      </x:c>
      <x:c r="G182" s="41" t="n">
        <x:v>4231.474275</x:v>
      </x:c>
      <x:c r="H182" s="41" t="n">
        <x:f>IFERROR(E182/ABS(F182),"")</x:f>
        <x:v>0.4025448127111989</x:v>
      </x:c>
      <x:c r="I182" s="41" t="n">
        <x:v>14.999468</x:v>
      </x:c>
      <x:c r="J182" s="41" t="n">
        <x:v>-30.717465</x:v>
      </x:c>
      <x:c r="K182" s="41" t="n">
        <x:v>4489.456787</x:v>
      </x:c>
      <x:c r="L182" s="41" t="n">
        <x:f>IFERROR(I182/ABS(J182),"")</x:f>
        <x:v>0.48830422692758013</x:v>
      </x:c>
      <x:c r="M182" s="41" t="n">
        <x:v>6.802475</x:v>
      </x:c>
      <x:c r="N182" s="41" t="n">
        <x:v>-56.473669</x:v>
      </x:c>
      <x:c r="O182" s="41" t="n">
        <x:v>506.057416</x:v>
      </x:c>
      <x:c r="P182" s="41" t="n">
        <x:f>IFERROR(M182/ABS(N182),"")</x:f>
        <x:v>0.12045392340278087</x:v>
      </x:c>
      <x:c r="Q182" s="41" t="str">
        <x:f>IF(L182&gt;=MAX(H182,P182),"Weekly",IF(H182&gt;=MAX(L182,P182),"No weekly","SPY"))</x:f>
        <x:v>Weekly</x:v>
      </x:c>
      <x:c r="R182" s="41" t="n">
        <x:f>IFERROR(L182-P182,"")</x:f>
        <x:v>0.36785030352479925</x:v>
      </x:c>
      <x:c r="S182" s="41" t="n">
        <x:f>IFERROR(H182-P182,"")</x:f>
        <x:v>0.282090889308418</x:v>
      </x:c>
      <x:c r="T182" s="41" t="n">
        <x:f>IFERROR(I182-M182,"")</x:f>
        <x:v>8.196992999999999</x:v>
      </x:c>
      <x:c r="U182" s="41" t="n">
        <x:f>IFERROR(E182-M182,"")</x:f>
        <x:v>7.954242999999999</x:v>
      </x:c>
      <x:c r="V182" s="41" t="str">
        <x:f>IF(AND(I182&gt;M182,J182&gt;N182),"Sí","No")</x:f>
        <x:v>Sí</x:v>
      </x:c>
      <x:c r="W182" s="41" t="str">
        <x:f>IF(AND(E182&gt;M182,F182&gt;N182),"Sí","No")</x:f>
        <x:v>Sí</x:v>
      </x:c>
      <x:c r="X182" s="41" t="str">
        <x:f>IF(L182&gt;=H182,"Weekly","No weekly")</x:f>
        <x:v>Weekly</x:v>
      </x:c>
      <x:c r="Y182" s="41" t="n">
        <x:f>IFERROR(I182-E182,"")</x:f>
        <x:v>0.2427500000000009</x:v>
      </x:c>
      <x:c r="Z182" s="41" t="n">
        <x:f>IFERROR(J182-F182,"")</x:f>
        <x:v>5.941106999999999</x:v>
      </x:c>
      <x:c r="AA182" s="41" t="n">
        <x:v>11578</x:v>
      </x:c>
      <x:c r="AB182" s="41" t="n">
        <x:v>5531</x:v>
      </x:c>
    </x:row>
    <x:row r="183">
      <x:c r="A183" s="41" t="str">
        <x:v>HYP_REFINE_AUTO002_TOPN_6_V1_DDGRID_EXT_FINE_R12_C25_E75_CR50_REDD_RECOVERED_DD8_SL18</x:v>
      </x:c>
      <x:c r="B183" s="41" t="str">
        <x:v>dd_guard_grid</x:v>
      </x:c>
      <x:c r="C183" s="41" t="str">
        <x:v>1999-01-04</x:v>
      </x:c>
      <x:c r="D183" s="41" t="str">
        <x:v>2026-05-22</x:v>
      </x:c>
      <x:c r="E183" s="41" t="n">
        <x:v>14.07933</x:v>
      </x:c>
      <x:c r="F183" s="41" t="n">
        <x:v>-35.652721</x:v>
      </x:c>
      <x:c r="G183" s="41" t="n">
        <x:v>3583.335307</x:v>
      </x:c>
      <x:c r="H183" s="41" t="n">
        <x:f>IFERROR(E183/ABS(F183),"")</x:f>
        <x:v>0.3949019767663736</x:v>
      </x:c>
      <x:c r="I183" s="41" t="n">
        <x:v>15.23861</x:v>
      </x:c>
      <x:c r="J183" s="41" t="n">
        <x:v>-30.881589</x:v>
      </x:c>
      <x:c r="K183" s="41" t="n">
        <x:v>4758.045622</x:v>
      </x:c>
      <x:c r="L183" s="41" t="n">
        <x:f>IFERROR(I183/ABS(J183),"")</x:f>
        <x:v>0.4934529113770667</x:v>
      </x:c>
      <x:c r="M183" s="41" t="n">
        <x:v>6.802475</x:v>
      </x:c>
      <x:c r="N183" s="41" t="n">
        <x:v>-56.473669</x:v>
      </x:c>
      <x:c r="O183" s="41" t="n">
        <x:v>506.057416</x:v>
      </x:c>
      <x:c r="P183" s="41" t="n">
        <x:f>IFERROR(M183/ABS(N183),"")</x:f>
        <x:v>0.12045392340278087</x:v>
      </x:c>
      <x:c r="Q183" s="41" t="str">
        <x:f>IF(L183&gt;=MAX(H183,P183),"Weekly",IF(H183&gt;=MAX(L183,P183),"No weekly","SPY"))</x:f>
        <x:v>Weekly</x:v>
      </x:c>
      <x:c r="R183" s="41" t="n">
        <x:f>IFERROR(L183-P183,"")</x:f>
        <x:v>0.3729989879742858</x:v>
      </x:c>
      <x:c r="S183" s="41" t="n">
        <x:f>IFERROR(H183-P183,"")</x:f>
        <x:v>0.27444805336359274</x:v>
      </x:c>
      <x:c r="T183" s="41" t="n">
        <x:f>IFERROR(I183-M183,"")</x:f>
        <x:v>8.436135</x:v>
      </x:c>
      <x:c r="U183" s="41" t="n">
        <x:f>IFERROR(E183-M183,"")</x:f>
        <x:v>7.276855</x:v>
      </x:c>
      <x:c r="V183" s="41" t="str">
        <x:f>IF(AND(I183&gt;M183,J183&gt;N183),"Sí","No")</x:f>
        <x:v>Sí</x:v>
      </x:c>
      <x:c r="W183" s="41" t="str">
        <x:f>IF(AND(E183&gt;M183,F183&gt;N183),"Sí","No")</x:f>
        <x:v>Sí</x:v>
      </x:c>
      <x:c r="X183" s="41" t="str">
        <x:f>IF(L183&gt;=H183,"Weekly","No weekly")</x:f>
        <x:v>Weekly</x:v>
      </x:c>
      <x:c r="Y183" s="41" t="n">
        <x:f>IFERROR(I183-E183,"")</x:f>
        <x:v>1.159279999999999</x:v>
      </x:c>
      <x:c r="Z183" s="41" t="n">
        <x:f>IFERROR(J183-F183,"")</x:f>
        <x:v>4.771131999999998</x:v>
      </x:c>
      <x:c r="AA183" s="41" t="n">
        <x:v>10788</x:v>
      </x:c>
      <x:c r="AB183" s="41" t="n">
        <x:v>5083</x:v>
      </x:c>
    </x:row>
    <x:row r="184">
      <x:c r="A184" s="41" t="str">
        <x:v>HYP_REFINE_AUTO002_TOPN_6_V1_DDGRID_EXT_FINE_R12_C25_E75_CR50_REDD_RECOVERED_DD8_SL22</x:v>
      </x:c>
      <x:c r="B184" s="41" t="str">
        <x:v>dd_guard_grid</x:v>
      </x:c>
      <x:c r="C184" s="41" t="str">
        <x:v>1999-01-04</x:v>
      </x:c>
      <x:c r="D184" s="41" t="str">
        <x:v>2026-05-22</x:v>
      </x:c>
      <x:c r="E184" s="41" t="n">
        <x:v>14.444968</x:v>
      </x:c>
      <x:c r="F184" s="41" t="n">
        <x:v>-36.817186</x:v>
      </x:c>
      <x:c r="G184" s="41" t="n">
        <x:v>3920.594157</x:v>
      </x:c>
      <x:c r="H184" s="41" t="n">
        <x:f>IFERROR(E184/ABS(F184),"")</x:f>
        <x:v>0.3923430758667976</x:v>
      </x:c>
      <x:c r="I184" s="41" t="n">
        <x:v>15.251965</x:v>
      </x:c>
      <x:c r="J184" s="41" t="n">
        <x:v>-30.885162</x:v>
      </x:c>
      <x:c r="K184" s="41" t="n">
        <x:v>4773.484313</x:v>
      </x:c>
      <x:c r="L184" s="41" t="n">
        <x:f>IFERROR(I184/ABS(J184),"")</x:f>
        <x:v>0.4938282337648091</x:v>
      </x:c>
      <x:c r="M184" s="41" t="n">
        <x:v>6.802475</x:v>
      </x:c>
      <x:c r="N184" s="41" t="n">
        <x:v>-56.473669</x:v>
      </x:c>
      <x:c r="O184" s="41" t="n">
        <x:v>506.057416</x:v>
      </x:c>
      <x:c r="P184" s="41" t="n">
        <x:f>IFERROR(M184/ABS(N184),"")</x:f>
        <x:v>0.12045392340278087</x:v>
      </x:c>
      <x:c r="Q184" s="41" t="str">
        <x:f>IF(L184&gt;=MAX(H184,P184),"Weekly",IF(H184&gt;=MAX(L184,P184),"No weekly","SPY"))</x:f>
        <x:v>Weekly</x:v>
      </x:c>
      <x:c r="R184" s="41" t="n">
        <x:f>IFERROR(L184-P184,"")</x:f>
        <x:v>0.37337431036202823</x:v>
      </x:c>
      <x:c r="S184" s="41" t="n">
        <x:f>IFERROR(H184-P184,"")</x:f>
        <x:v>0.27188915246401674</x:v>
      </x:c>
      <x:c r="T184" s="41" t="n">
        <x:f>IFERROR(I184-M184,"")</x:f>
        <x:v>8.44949</x:v>
      </x:c>
      <x:c r="U184" s="41" t="n">
        <x:f>IFERROR(E184-M184,"")</x:f>
        <x:v>7.642492999999999</x:v>
      </x:c>
      <x:c r="V184" s="41" t="str">
        <x:f>IF(AND(I184&gt;M184,J184&gt;N184),"Sí","No")</x:f>
        <x:v>Sí</x:v>
      </x:c>
      <x:c r="W184" s="41" t="str">
        <x:f>IF(AND(E184&gt;M184,F184&gt;N184),"Sí","No")</x:f>
        <x:v>Sí</x:v>
      </x:c>
      <x:c r="X184" s="41" t="str">
        <x:f>IF(L184&gt;=H184,"Weekly","No weekly")</x:f>
        <x:v>Weekly</x:v>
      </x:c>
      <x:c r="Y184" s="41" t="n">
        <x:f>IFERROR(I184-E184,"")</x:f>
        <x:v>0.8069970000000009</x:v>
      </x:c>
      <x:c r="Z184" s="41" t="n">
        <x:f>IFERROR(J184-F184,"")</x:f>
        <x:v>5.932023999999998</x:v>
      </x:c>
      <x:c r="AA184" s="41" t="n">
        <x:v>11362</x:v>
      </x:c>
      <x:c r="AB184" s="41" t="n">
        <x:v>5363</x:v>
      </x:c>
    </x:row>
    <x:row r="185">
      <x:c r="A185" s="41" t="str">
        <x:v>HYP_REFINE_AUTO002_TOPN_6_V1_DDGRID_EXT_FINE_R12_C25_E75_CR50_REDD_RECOVERED_DD8_SLNONE</x:v>
      </x:c>
      <x:c r="B185" s="41" t="str">
        <x:v>dd_guard_grid</x:v>
      </x:c>
      <x:c r="C185" s="41" t="str">
        <x:v>1999-01-04</x:v>
      </x:c>
      <x:c r="D185" s="41" t="str">
        <x:v>2026-05-22</x:v>
      </x:c>
      <x:c r="E185" s="41" t="n">
        <x:v>14.258104</x:v>
      </x:c>
      <x:c r="F185" s="41" t="n">
        <x:v>-37.64575</x:v>
      </x:c>
      <x:c r="G185" s="41" t="n">
        <x:v>3744.678869</x:v>
      </x:c>
      <x:c r="H185" s="41" t="n">
        <x:f>IFERROR(E185/ABS(F185),"")</x:f>
        <x:v>0.37874405477377926</x:v>
      </x:c>
      <x:c r="I185" s="41" t="n">
        <x:v>15.645929</x:v>
      </x:c>
      <x:c r="J185" s="41" t="n">
        <x:v>-29.816397</x:v>
      </x:c>
      <x:c r="K185" s="41" t="n">
        <x:v>5250.750709</x:v>
      </x:c>
      <x:c r="L185" s="41" t="n">
        <x:f>IFERROR(I185/ABS(J185),"")</x:f>
        <x:v>0.5247424428914064</x:v>
      </x:c>
      <x:c r="M185" s="41" t="n">
        <x:v>6.802475</x:v>
      </x:c>
      <x:c r="N185" s="41" t="n">
        <x:v>-56.473669</x:v>
      </x:c>
      <x:c r="O185" s="41" t="n">
        <x:v>506.057416</x:v>
      </x:c>
      <x:c r="P185" s="41" t="n">
        <x:f>IFERROR(M185/ABS(N185),"")</x:f>
        <x:v>0.12045392340278087</x:v>
      </x:c>
      <x:c r="Q185" s="41" t="str">
        <x:f>IF(L185&gt;=MAX(H185,P185),"Weekly",IF(H185&gt;=MAX(L185,P185),"No weekly","SPY"))</x:f>
        <x:v>Weekly</x:v>
      </x:c>
      <x:c r="R185" s="41" t="n">
        <x:f>IFERROR(L185-P185,"")</x:f>
        <x:v>0.4042885194886255</x:v>
      </x:c>
      <x:c r="S185" s="41" t="n">
        <x:f>IFERROR(H185-P185,"")</x:f>
        <x:v>0.2582901313709984</x:v>
      </x:c>
      <x:c r="T185" s="41" t="n">
        <x:f>IFERROR(I185-M185,"")</x:f>
        <x:v>8.843454000000001</x:v>
      </x:c>
      <x:c r="U185" s="41" t="n">
        <x:f>IFERROR(E185-M185,"")</x:f>
        <x:v>7.455628999999999</x:v>
      </x:c>
      <x:c r="V185" s="41" t="str">
        <x:f>IF(AND(I185&gt;M185,J185&gt;N185),"Sí","No")</x:f>
        <x:v>Sí</x:v>
      </x:c>
      <x:c r="W185" s="41" t="str">
        <x:f>IF(AND(E185&gt;M185,F185&gt;N185),"Sí","No")</x:f>
        <x:v>Sí</x:v>
      </x:c>
      <x:c r="X185" s="41" t="str">
        <x:f>IF(L185&gt;=H185,"Weekly","No weekly")</x:f>
        <x:v>Weekly</x:v>
      </x:c>
      <x:c r="Y185" s="41" t="n">
        <x:f>IFERROR(I185-E185,"")</x:f>
        <x:v>1.3878250000000012</x:v>
      </x:c>
      <x:c r="Z185" s="41" t="n">
        <x:f>IFERROR(J185-F185,"")</x:f>
        <x:v>7.829353000000001</x:v>
      </x:c>
      <x:c r="AA185" s="41" t="n">
        <x:v>11265</x:v>
      </x:c>
      <x:c r="AB185" s="41" t="n">
        <x:v>5730</x:v>
      </x:c>
    </x:row>
    <x:row r="186">
      <x:c r="A186" s="41" t="str">
        <x:v>HYP_REFINE_AUTO002_TOPN_6_V1_DDGRID_EXT_FINE_R12_C26_E75_CR50_REDD_RECOVERED_DD8_SL20</x:v>
      </x:c>
      <x:c r="B186" s="41" t="str">
        <x:v>dd_guard_grid</x:v>
      </x:c>
      <x:c r="C186" s="41" t="str">
        <x:v>1999-01-04</x:v>
      </x:c>
      <x:c r="D186" s="41" t="str">
        <x:v>2026-05-22</x:v>
      </x:c>
      <x:c r="E186" s="41" t="n">
        <x:v>14.843109</x:v>
      </x:c>
      <x:c r="F186" s="41" t="n">
        <x:v>-37.017024</x:v>
      </x:c>
      <x:c r="G186" s="41" t="n">
        <x:v>4321.641831</x:v>
      </x:c>
      <x:c r="H186" s="41" t="n">
        <x:f>IFERROR(E186/ABS(F186),"")</x:f>
        <x:v>0.40098061367656135</x:v>
      </x:c>
      <x:c r="I186" s="41" t="n">
        <x:v>16.187924</x:v>
      </x:c>
      <x:c r="J186" s="41" t="n">
        <x:v>-31.078635</x:v>
      </x:c>
      <x:c r="K186" s="41" t="n">
        <x:v>5981.500811</x:v>
      </x:c>
      <x:c r="L186" s="41" t="n">
        <x:f>IFERROR(I186/ABS(J186),"")</x:f>
        <x:v>0.5208698515877547</x:v>
      </x:c>
      <x:c r="M186" s="41" t="n">
        <x:v>6.802475</x:v>
      </x:c>
      <x:c r="N186" s="41" t="n">
        <x:v>-56.473669</x:v>
      </x:c>
      <x:c r="O186" s="41" t="n">
        <x:v>506.057416</x:v>
      </x:c>
      <x:c r="P186" s="41" t="n">
        <x:f>IFERROR(M186/ABS(N186),"")</x:f>
        <x:v>0.12045392340278087</x:v>
      </x:c>
      <x:c r="Q186" s="41" t="str">
        <x:f>IF(L186&gt;=MAX(H186,P186),"Weekly",IF(H186&gt;=MAX(L186,P186),"No weekly","SPY"))</x:f>
        <x:v>Weekly</x:v>
      </x:c>
      <x:c r="R186" s="41" t="n">
        <x:f>IFERROR(L186-P186,"")</x:f>
        <x:v>0.4004159281849738</x:v>
      </x:c>
      <x:c r="S186" s="41" t="n">
        <x:f>IFERROR(H186-P186,"")</x:f>
        <x:v>0.28052669027378047</x:v>
      </x:c>
      <x:c r="T186" s="41" t="n">
        <x:f>IFERROR(I186-M186,"")</x:f>
        <x:v>9.385448999999998</x:v>
      </x:c>
      <x:c r="U186" s="41" t="n">
        <x:f>IFERROR(E186-M186,"")</x:f>
        <x:v>8.040634</x:v>
      </x:c>
      <x:c r="V186" s="41" t="str">
        <x:f>IF(AND(I186&gt;M186,J186&gt;N186),"Sí","No")</x:f>
        <x:v>Sí</x:v>
      </x:c>
      <x:c r="W186" s="41" t="str">
        <x:f>IF(AND(E186&gt;M186,F186&gt;N186),"Sí","No")</x:f>
        <x:v>Sí</x:v>
      </x:c>
      <x:c r="X186" s="41" t="str">
        <x:f>IF(L186&gt;=H186,"Weekly","No weekly")</x:f>
        <x:v>Weekly</x:v>
      </x:c>
      <x:c r="Y186" s="41" t="n">
        <x:f>IFERROR(I186-E186,"")</x:f>
        <x:v>1.3448149999999988</x:v>
      </x:c>
      <x:c r="Z186" s="41" t="n">
        <x:f>IFERROR(J186-F186,"")</x:f>
        <x:v>5.938389000000001</x:v>
      </x:c>
      <x:c r="AA186" s="41" t="n">
        <x:v>11116</x:v>
      </x:c>
      <x:c r="AB186" s="41" t="n">
        <x:v>5145</x:v>
      </x:c>
    </x:row>
    <x:row r="187">
      <x:c r="A187" s="41" t="str">
        <x:v>HYP_REFINE_AUTO002_TOPN_6_V1_DDGRID_EXT_FINE_R14_C25_E75_CR50_REDD_RECOVERED_DD8_SL20</x:v>
      </x:c>
      <x:c r="B187" s="41" t="str">
        <x:v>dd_guard_grid</x:v>
      </x:c>
      <x:c r="C187" s="41" t="str">
        <x:v>1999-01-04</x:v>
      </x:c>
      <x:c r="D187" s="41" t="str">
        <x:v>2026-05-22</x:v>
      </x:c>
      <x:c r="E187" s="41" t="n">
        <x:v>14.361536</x:v>
      </x:c>
      <x:c r="F187" s="41" t="n">
        <x:v>-36.776373</x:v>
      </x:c>
      <x:c r="G187" s="41" t="n">
        <x:v>3841.112699</x:v>
      </x:c>
      <x:c r="H187" s="41" t="n">
        <x:f>IFERROR(E187/ABS(F187),"")</x:f>
        <x:v>0.3905098526165155</x:v>
      </x:c>
      <x:c r="I187" s="41" t="n">
        <x:v>15.054566</x:v>
      </x:c>
      <x:c r="J187" s="41" t="n">
        <x:v>-31.312643</x:v>
      </x:c>
      <x:c r="K187" s="41" t="n">
        <x:v>4550.040798</x:v>
      </x:c>
      <x:c r="L187" s="41" t="n">
        <x:f>IFERROR(I187/ABS(J187),"")</x:f>
        <x:v>0.480782347245488</x:v>
      </x:c>
      <x:c r="M187" s="41" t="n">
        <x:v>6.802475</x:v>
      </x:c>
      <x:c r="N187" s="41" t="n">
        <x:v>-56.473669</x:v>
      </x:c>
      <x:c r="O187" s="41" t="n">
        <x:v>506.057416</x:v>
      </x:c>
      <x:c r="P187" s="41" t="n">
        <x:f>IFERROR(M187/ABS(N187),"")</x:f>
        <x:v>0.12045392340278087</x:v>
      </x:c>
      <x:c r="Q187" s="41" t="str">
        <x:f>IF(L187&gt;=MAX(H187,P187),"Weekly",IF(H187&gt;=MAX(L187,P187),"No weekly","SPY"))</x:f>
        <x:v>Weekly</x:v>
      </x:c>
      <x:c r="R187" s="41" t="n">
        <x:f>IFERROR(L187-P187,"")</x:f>
        <x:v>0.36032842384270714</x:v>
      </x:c>
      <x:c r="S187" s="41" t="n">
        <x:f>IFERROR(H187-P187,"")</x:f>
        <x:v>0.2700559292137346</x:v>
      </x:c>
      <x:c r="T187" s="41" t="n">
        <x:f>IFERROR(I187-M187,"")</x:f>
        <x:v>8.252091</x:v>
      </x:c>
      <x:c r="U187" s="41" t="n">
        <x:f>IFERROR(E187-M187,"")</x:f>
        <x:v>7.559060999999999</x:v>
      </x:c>
      <x:c r="V187" s="41" t="str">
        <x:f>IF(AND(I187&gt;M187,J187&gt;N187),"Sí","No")</x:f>
        <x:v>Sí</x:v>
      </x:c>
      <x:c r="W187" s="41" t="str">
        <x:f>IF(AND(E187&gt;M187,F187&gt;N187),"Sí","No")</x:f>
        <x:v>Sí</x:v>
      </x:c>
      <x:c r="X187" s="41" t="str">
        <x:f>IF(L187&gt;=H187,"Weekly","No weekly")</x:f>
        <x:v>Weekly</x:v>
      </x:c>
      <x:c r="Y187" s="41" t="n">
        <x:f>IFERROR(I187-E187,"")</x:f>
        <x:v>0.6930300000000003</x:v>
      </x:c>
      <x:c r="Z187" s="41" t="n">
        <x:f>IFERROR(J187-F187,"")</x:f>
        <x:v>5.463729999999998</x:v>
      </x:c>
      <x:c r="AA187" s="41" t="n">
        <x:v>10802</x:v>
      </x:c>
      <x:c r="AB187" s="41" t="n">
        <x:v>5302</x:v>
      </x:c>
    </x:row>
    <x:row r="188">
      <x:c r="A188" s="41" t="str">
        <x:v>HYP_REFINE_AUTO002_TOPN_6_V1_DDGRID_EXT_FINE_R14_C26_E66_CR40_REDD_RECOVERED_DD8_SL20</x:v>
      </x:c>
      <x:c r="B188" s="41" t="str">
        <x:v>dd_guard_grid</x:v>
      </x:c>
      <x:c r="C188" s="41" t="str">
        <x:v>1999-01-04</x:v>
      </x:c>
      <x:c r="D188" s="41" t="str">
        <x:v>2026-05-22</x:v>
      </x:c>
      <x:c r="E188" s="41" t="n">
        <x:v>13.437065</x:v>
      </x:c>
      <x:c r="F188" s="41" t="n">
        <x:v>-35.522847</x:v>
      </x:c>
      <x:c r="G188" s="41" t="n">
        <x:v>3055.801654</x:v>
      </x:c>
      <x:c r="H188" s="41" t="n">
        <x:f>IFERROR(E188/ABS(F188),"")</x:f>
        <x:v>0.3782654301328945</x:v>
      </x:c>
      <x:c r="I188" s="41" t="n">
        <x:v>13.620548</x:v>
      </x:c>
      <x:c r="J188" s="41" t="n">
        <x:v>-32.170998</x:v>
      </x:c>
      <x:c r="K188" s="41" t="n">
        <x:v>3198.57711</x:v>
      </x:c>
      <x:c r="L188" s="41" t="n">
        <x:f>IFERROR(I188/ABS(J188),"")</x:f>
        <x:v>0.4233797161033052</x:v>
      </x:c>
      <x:c r="M188" s="41" t="n">
        <x:v>6.802475</x:v>
      </x:c>
      <x:c r="N188" s="41" t="n">
        <x:v>-56.473669</x:v>
      </x:c>
      <x:c r="O188" s="41" t="n">
        <x:v>506.057416</x:v>
      </x:c>
      <x:c r="P188" s="41" t="n">
        <x:f>IFERROR(M188/ABS(N188),"")</x:f>
        <x:v>0.12045392340278087</x:v>
      </x:c>
      <x:c r="Q188" s="41" t="str">
        <x:f>IF(L188&gt;=MAX(H188,P188),"Weekly",IF(H188&gt;=MAX(L188,P188),"No weekly","SPY"))</x:f>
        <x:v>Weekly</x:v>
      </x:c>
      <x:c r="R188" s="41" t="n">
        <x:f>IFERROR(L188-P188,"")</x:f>
        <x:v>0.30292579270052433</x:v>
      </x:c>
      <x:c r="S188" s="41" t="n">
        <x:f>IFERROR(H188-P188,"")</x:f>
        <x:v>0.2578115067301136</x:v>
      </x:c>
      <x:c r="T188" s="41" t="n">
        <x:f>IFERROR(I188-M188,"")</x:f>
        <x:v>6.818072999999999</x:v>
      </x:c>
      <x:c r="U188" s="41" t="n">
        <x:f>IFERROR(E188-M188,"")</x:f>
        <x:v>6.63459</x:v>
      </x:c>
      <x:c r="V188" s="41" t="str">
        <x:f>IF(AND(I188&gt;M188,J188&gt;N188),"Sí","No")</x:f>
        <x:v>Sí</x:v>
      </x:c>
      <x:c r="W188" s="41" t="str">
        <x:f>IF(AND(E188&gt;M188,F188&gt;N188),"Sí","No")</x:f>
        <x:v>Sí</x:v>
      </x:c>
      <x:c r="X188" s="41" t="str">
        <x:f>IF(L188&gt;=H188,"Weekly","No weekly")</x:f>
        <x:v>Weekly</x:v>
      </x:c>
      <x:c r="Y188" s="41" t="n">
        <x:f>IFERROR(I188-E188,"")</x:f>
        <x:v>0.18348299999999895</x:v>
      </x:c>
      <x:c r="Z188" s="41" t="n">
        <x:f>IFERROR(J188-F188,"")</x:f>
        <x:v>3.3518490000000014</x:v>
      </x:c>
      <x:c r="AA188" s="41" t="n">
        <x:v>11954</x:v>
      </x:c>
      <x:c r="AB188" s="41" t="n">
        <x:v>5483</x:v>
      </x:c>
    </x:row>
    <x:row r="189">
      <x:c r="A189" s="41" t="str">
        <x:v>HYP_REFINE_AUTO002_TOPN_6_V1_DDGRID_EXT_FINE_R15_C28_E66_CR40_REDD_RECOVERED_DD10_SL20</x:v>
      </x:c>
      <x:c r="B189" s="41" t="str">
        <x:v>dd_guard_grid</x:v>
      </x:c>
      <x:c r="C189" s="41" t="str">
        <x:v>1999-01-04</x:v>
      </x:c>
      <x:c r="D189" s="41" t="str">
        <x:v>2026-05-22</x:v>
      </x:c>
      <x:c r="E189" s="41" t="n">
        <x:v>13.723688</x:v>
      </x:c>
      <x:c r="F189" s="41" t="n">
        <x:v>-37.039121</x:v>
      </x:c>
      <x:c r="G189" s="41" t="n">
        <x:v>3281.54591</x:v>
      </x:c>
      <x:c r="H189" s="41" t="n">
        <x:f>IFERROR(E189/ABS(F189),"")</x:f>
        <x:v>0.3705187280227303</x:v>
      </x:c>
      <x:c r="I189" s="41" t="n">
        <x:v>14.785199</x:v>
      </x:c>
      <x:c r="J189" s="41" t="n">
        <x:v>-33.872498</x:v>
      </x:c>
      <x:c r="K189" s="41" t="n">
        <x:v>4261.002359</x:v>
      </x:c>
      <x:c r="L189" s="41" t="n">
        <x:f>IFERROR(I189/ABS(J189),"")</x:f>
        <x:v>0.4364956785885706</x:v>
      </x:c>
      <x:c r="M189" s="41" t="n">
        <x:v>6.802475</x:v>
      </x:c>
      <x:c r="N189" s="41" t="n">
        <x:v>-56.473669</x:v>
      </x:c>
      <x:c r="O189" s="41" t="n">
        <x:v>506.057416</x:v>
      </x:c>
      <x:c r="P189" s="41" t="n">
        <x:f>IFERROR(M189/ABS(N189),"")</x:f>
        <x:v>0.12045392340278087</x:v>
      </x:c>
      <x:c r="Q189" s="41" t="str">
        <x:f>IF(L189&gt;=MAX(H189,P189),"Weekly",IF(H189&gt;=MAX(L189,P189),"No weekly","SPY"))</x:f>
        <x:v>Weekly</x:v>
      </x:c>
      <x:c r="R189" s="41" t="n">
        <x:f>IFERROR(L189-P189,"")</x:f>
        <x:v>0.3160417551857897</x:v>
      </x:c>
      <x:c r="S189" s="41" t="n">
        <x:f>IFERROR(H189-P189,"")</x:f>
        <x:v>0.2500648046199494</x:v>
      </x:c>
      <x:c r="T189" s="41" t="n">
        <x:f>IFERROR(I189-M189,"")</x:f>
        <x:v>7.982724</x:v>
      </x:c>
      <x:c r="U189" s="41" t="n">
        <x:f>IFERROR(E189-M189,"")</x:f>
        <x:v>6.921212999999999</x:v>
      </x:c>
      <x:c r="V189" s="41" t="str">
        <x:f>IF(AND(I189&gt;M189,J189&gt;N189),"Sí","No")</x:f>
        <x:v>Sí</x:v>
      </x:c>
      <x:c r="W189" s="41" t="str">
        <x:f>IF(AND(E189&gt;M189,F189&gt;N189),"Sí","No")</x:f>
        <x:v>Sí</x:v>
      </x:c>
      <x:c r="X189" s="41" t="str">
        <x:f>IF(L189&gt;=H189,"Weekly","No weekly")</x:f>
        <x:v>Weekly</x:v>
      </x:c>
      <x:c r="Y189" s="41" t="n">
        <x:f>IFERROR(I189-E189,"")</x:f>
        <x:v>1.0615110000000012</x:v>
      </x:c>
      <x:c r="Z189" s="41" t="n">
        <x:f>IFERROR(J189-F189,"")</x:f>
        <x:v>3.1666230000000013</x:v>
      </x:c>
      <x:c r="AA189" s="41" t="n">
        <x:v>11299</x:v>
      </x:c>
      <x:c r="AB189" s="41" t="n">
        <x:v>4955</x:v>
      </x:c>
    </x:row>
    <x:row r="190">
      <x:c r="A190" s="41" t="str">
        <x:v>HYP_REFINE_AUTO002_TOPN_6_V1_DDGRID_EXT_R10_C25_E66_CR50_REDD_RECOVERED_DD8_SL20</x:v>
      </x:c>
      <x:c r="B190" s="41" t="str">
        <x:v>dd_guard_grid</x:v>
      </x:c>
      <x:c r="C190" s="41" t="str">
        <x:v>1999-01-04</x:v>
      </x:c>
      <x:c r="D190" s="41" t="str">
        <x:v>2026-05-22</x:v>
      </x:c>
      <x:c r="E190" s="41" t="n">
        <x:v>14.194026</x:v>
      </x:c>
      <x:c r="F190" s="41" t="n">
        <x:v>-33.392021</x:v>
      </x:c>
      <x:c r="G190" s="41" t="n">
        <x:v>3686.080719</x:v>
      </x:c>
      <x:c r="H190" s="41" t="n">
        <x:f>IFERROR(E190/ABS(F190),"")</x:f>
        <x:v>0.425072384807137</x:v>
      </x:c>
      <x:c r="I190" s="41" t="n">
        <x:v>14.867</x:v>
      </x:c>
      <x:c r="J190" s="41" t="n">
        <x:v>-29.927234</x:v>
      </x:c>
      <x:c r="K190" s="41" t="n">
        <x:v>4346.895165</x:v>
      </x:c>
      <x:c r="L190" s="41" t="n">
        <x:f>IFERROR(I190/ABS(J190),"")</x:f>
        <x:v>0.4967716027481859</x:v>
      </x:c>
      <x:c r="M190" s="41" t="n">
        <x:v>6.802475</x:v>
      </x:c>
      <x:c r="N190" s="41" t="n">
        <x:v>-56.473669</x:v>
      </x:c>
      <x:c r="O190" s="41" t="n">
        <x:v>506.057416</x:v>
      </x:c>
      <x:c r="P190" s="41" t="n">
        <x:f>IFERROR(M190/ABS(N190),"")</x:f>
        <x:v>0.12045392340278087</x:v>
      </x:c>
      <x:c r="Q190" s="41" t="str">
        <x:f>IF(L190&gt;=MAX(H190,P190),"Weekly",IF(H190&gt;=MAX(L190,P190),"No weekly","SPY"))</x:f>
        <x:v>Weekly</x:v>
      </x:c>
      <x:c r="R190" s="41" t="n">
        <x:f>IFERROR(L190-P190,"")</x:f>
        <x:v>0.376317679345405</x:v>
      </x:c>
      <x:c r="S190" s="41" t="n">
        <x:f>IFERROR(H190-P190,"")</x:f>
        <x:v>0.3046184614043561</x:v>
      </x:c>
      <x:c r="T190" s="41" t="n">
        <x:f>IFERROR(I190-M190,"")</x:f>
        <x:v>8.064525</x:v>
      </x:c>
      <x:c r="U190" s="41" t="n">
        <x:f>IFERROR(E190-M190,"")</x:f>
        <x:v>7.391550999999999</x:v>
      </x:c>
      <x:c r="V190" s="41" t="str">
        <x:f>IF(AND(I190&gt;M190,J190&gt;N190),"Sí","No")</x:f>
        <x:v>Sí</x:v>
      </x:c>
      <x:c r="W190" s="41" t="str">
        <x:f>IF(AND(E190&gt;M190,F190&gt;N190),"Sí","No")</x:f>
        <x:v>Sí</x:v>
      </x:c>
      <x:c r="X190" s="41" t="str">
        <x:f>IF(L190&gt;=H190,"Weekly","No weekly")</x:f>
        <x:v>Weekly</x:v>
      </x:c>
      <x:c r="Y190" s="41" t="n">
        <x:f>IFERROR(I190-E190,"")</x:f>
        <x:v>0.6729740000000017</x:v>
      </x:c>
      <x:c r="Z190" s="41" t="n">
        <x:f>IFERROR(J190-F190,"")</x:f>
        <x:v>3.464787000000001</x:v>
      </x:c>
      <x:c r="AA190" s="41" t="n">
        <x:v>11433</x:v>
      </x:c>
      <x:c r="AB190" s="41" t="n">
        <x:v>5442</x:v>
      </x:c>
    </x:row>
    <x:row r="191">
      <x:c r="A191" s="41" t="str">
        <x:v>HYP_REFINE_AUTO002_TOPN_6_V1_DDGRID_EXT_R10_C25_E75_CR50_REDD_RECOVERED_DD8_SL18</x:v>
      </x:c>
      <x:c r="B191" s="41" t="str">
        <x:v>dd_guard_grid</x:v>
      </x:c>
      <x:c r="C191" s="41" t="str">
        <x:v>1999-01-04</x:v>
      </x:c>
      <x:c r="D191" s="41" t="str">
        <x:v>2026-05-22</x:v>
      </x:c>
      <x:c r="E191" s="41" t="n">
        <x:v>14.482846</x:v>
      </x:c>
      <x:c r="F191" s="41" t="n">
        <x:v>-35.652721</x:v>
      </x:c>
      <x:c r="G191" s="41" t="n">
        <x:v>3957.18621</x:v>
      </x:c>
      <x:c r="H191" s="41" t="n">
        <x:f>IFERROR(E191/ABS(F191),"")</x:f>
        <x:v>0.4062199347982444</x:v>
      </x:c>
      <x:c r="I191" s="41" t="n">
        <x:v>14.804699</x:v>
      </x:c>
      <x:c r="J191" s="41" t="n">
        <x:v>-30.881589</x:v>
      </x:c>
      <x:c r="K191" s="41" t="n">
        <x:v>4281.332249</x:v>
      </x:c>
      <x:c r="L191" s="41" t="n">
        <x:f>IFERROR(I191/ABS(J191),"")</x:f>
        <x:v>0.479402112371873</x:v>
      </x:c>
      <x:c r="M191" s="41" t="n">
        <x:v>6.802475</x:v>
      </x:c>
      <x:c r="N191" s="41" t="n">
        <x:v>-56.473669</x:v>
      </x:c>
      <x:c r="O191" s="41" t="n">
        <x:v>506.057416</x:v>
      </x:c>
      <x:c r="P191" s="41" t="n">
        <x:f>IFERROR(M191/ABS(N191),"")</x:f>
        <x:v>0.12045392340278087</x:v>
      </x:c>
      <x:c r="Q191" s="41" t="str">
        <x:f>IF(L191&gt;=MAX(H191,P191),"Weekly",IF(H191&gt;=MAX(L191,P191),"No weekly","SPY"))</x:f>
        <x:v>Weekly</x:v>
      </x:c>
      <x:c r="R191" s="41" t="n">
        <x:f>IFERROR(L191-P191,"")</x:f>
        <x:v>0.35894818896909214</x:v>
      </x:c>
      <x:c r="S191" s="41" t="n">
        <x:f>IFERROR(H191-P191,"")</x:f>
        <x:v>0.28576601139546354</x:v>
      </x:c>
      <x:c r="T191" s="41" t="n">
        <x:f>IFERROR(I191-M191,"")</x:f>
        <x:v>8.002223999999998</x:v>
      </x:c>
      <x:c r="U191" s="41" t="n">
        <x:f>IFERROR(E191-M191,"")</x:f>
        <x:v>7.680371</x:v>
      </x:c>
      <x:c r="V191" s="41" t="str">
        <x:f>IF(AND(I191&gt;M191,J191&gt;N191),"Sí","No")</x:f>
        <x:v>Sí</x:v>
      </x:c>
      <x:c r="W191" s="41" t="str">
        <x:f>IF(AND(E191&gt;M191,F191&gt;N191),"Sí","No")</x:f>
        <x:v>Sí</x:v>
      </x:c>
      <x:c r="X191" s="41" t="str">
        <x:f>IF(L191&gt;=H191,"Weekly","No weekly")</x:f>
        <x:v>Weekly</x:v>
      </x:c>
      <x:c r="Y191" s="41" t="n">
        <x:f>IFERROR(I191-E191,"")</x:f>
        <x:v>0.32185299999999906</x:v>
      </x:c>
      <x:c r="Z191" s="41" t="n">
        <x:f>IFERROR(J191-F191,"")</x:f>
        <x:v>4.771131999999998</x:v>
      </x:c>
      <x:c r="AA191" s="41" t="n">
        <x:v>11300</x:v>
      </x:c>
      <x:c r="AB191" s="41" t="n">
        <x:v>5230</x:v>
      </x:c>
    </x:row>
    <x:row r="192">
      <x:c r="A192" s="41" t="str">
        <x:v>HYP_REFINE_AUTO002_TOPN_6_V1_DDGRID_EXT_R10_C25_E75_CR50_REDD_RECOVERED_DD8_SL20</x:v>
      </x:c>
      <x:c r="B192" s="41" t="str">
        <x:v>dd_guard_grid</x:v>
      </x:c>
      <x:c r="C192" s="41" t="str">
        <x:v>1999-01-04</x:v>
      </x:c>
      <x:c r="D192" s="41" t="str">
        <x:v>2026-05-22</x:v>
      </x:c>
      <x:c r="E192" s="41" t="n">
        <x:v>14.699129</x:v>
      </x:c>
      <x:c r="F192" s="41" t="n">
        <x:v>-36.658572</x:v>
      </x:c>
      <x:c r="G192" s="41" t="n">
        <x:v>4172.353685</x:v>
      </x:c>
      <x:c r="H192" s="41" t="n">
        <x:f>IFERROR(E192/ABS(F192),"")</x:f>
        <x:v>0.4009738568103526</x:v>
      </x:c>
      <x:c r="I192" s="41" t="n">
        <x:v>16.090411</x:v>
      </x:c>
      <x:c r="J192" s="41" t="n">
        <x:v>-30.717465</x:v>
      </x:c>
      <x:c r="K192" s="41" t="n">
        <x:v>5843.295488</x:v>
      </x:c>
      <x:c r="L192" s="41" t="n">
        <x:f>IFERROR(I192/ABS(J192),"")</x:f>
        <x:v>0.5238196250895052</x:v>
      </x:c>
      <x:c r="M192" s="41" t="n">
        <x:v>6.802475</x:v>
      </x:c>
      <x:c r="N192" s="41" t="n">
        <x:v>-56.473669</x:v>
      </x:c>
      <x:c r="O192" s="41" t="n">
        <x:v>506.057416</x:v>
      </x:c>
      <x:c r="P192" s="41" t="n">
        <x:f>IFERROR(M192/ABS(N192),"")</x:f>
        <x:v>0.12045392340278087</x:v>
      </x:c>
      <x:c r="Q192" s="41" t="str">
        <x:f>IF(L192&gt;=MAX(H192,P192),"Weekly",IF(H192&gt;=MAX(L192,P192),"No weekly","SPY"))</x:f>
        <x:v>Weekly</x:v>
      </x:c>
      <x:c r="R192" s="41" t="n">
        <x:f>IFERROR(L192-P192,"")</x:f>
        <x:v>0.4033657016867243</x:v>
      </x:c>
      <x:c r="S192" s="41" t="n">
        <x:f>IFERROR(H192-P192,"")</x:f>
        <x:v>0.2805199334075717</x:v>
      </x:c>
      <x:c r="T192" s="41" t="n">
        <x:f>IFERROR(I192-M192,"")</x:f>
        <x:v>9.287935999999998</x:v>
      </x:c>
      <x:c r="U192" s="41" t="n">
        <x:f>IFERROR(E192-M192,"")</x:f>
        <x:v>7.896653999999999</x:v>
      </x:c>
      <x:c r="V192" s="41" t="str">
        <x:f>IF(AND(I192&gt;M192,J192&gt;N192),"Sí","No")</x:f>
        <x:v>Sí</x:v>
      </x:c>
      <x:c r="W192" s="41" t="str">
        <x:f>IF(AND(E192&gt;M192,F192&gt;N192),"Sí","No")</x:f>
        <x:v>Sí</x:v>
      </x:c>
      <x:c r="X192" s="41" t="str">
        <x:f>IF(L192&gt;=H192,"Weekly","No weekly")</x:f>
        <x:v>Weekly</x:v>
      </x:c>
      <x:c r="Y192" s="41" t="n">
        <x:f>IFERROR(I192-E192,"")</x:f>
        <x:v>1.3912820000000004</x:v>
      </x:c>
      <x:c r="Z192" s="41" t="n">
        <x:f>IFERROR(J192-F192,"")</x:f>
        <x:v>5.941106999999999</x:v>
      </x:c>
      <x:c r="AA192" s="41" t="n">
        <x:v>11392</x:v>
      </x:c>
      <x:c r="AB192" s="41" t="n">
        <x:v>5500</x:v>
      </x:c>
    </x:row>
    <x:row r="193">
      <x:c r="A193" s="41" t="str">
        <x:v>HYP_REFINE_AUTO002_TOPN_6_V1_DDGRID_EXT_R10_C25_E75_CR50_REDD_RECOVERED_DD8_SL22</x:v>
      </x:c>
      <x:c r="B193" s="41" t="str">
        <x:v>dd_guard_grid</x:v>
      </x:c>
      <x:c r="C193" s="41" t="str">
        <x:v>1999-01-04</x:v>
      </x:c>
      <x:c r="D193" s="41" t="str">
        <x:v>2026-05-22</x:v>
      </x:c>
      <x:c r="E193" s="41" t="n">
        <x:v>14.460611</x:v>
      </x:c>
      <x:c r="F193" s="41" t="n">
        <x:v>-36.817186</x:v>
      </x:c>
      <x:c r="G193" s="41" t="n">
        <x:v>3935.667819</x:v>
      </x:c>
      <x:c r="H193" s="41" t="n">
        <x:f>IFERROR(E193/ABS(F193),"")</x:f>
        <x:v>0.3927679589635123</x:v>
      </x:c>
      <x:c r="I193" s="41" t="n">
        <x:v>15.121362</x:v>
      </x:c>
      <x:c r="J193" s="41" t="n">
        <x:v>-30.885162</x:v>
      </x:c>
      <x:c r="K193" s="41" t="n">
        <x:v>4624.52111</x:v>
      </x:c>
      <x:c r="L193" s="41" t="n">
        <x:f>IFERROR(I193/ABS(J193),"")</x:f>
        <x:v>0.4895995688803575</x:v>
      </x:c>
      <x:c r="M193" s="41" t="n">
        <x:v>6.802475</x:v>
      </x:c>
      <x:c r="N193" s="41" t="n">
        <x:v>-56.473669</x:v>
      </x:c>
      <x:c r="O193" s="41" t="n">
        <x:v>506.057416</x:v>
      </x:c>
      <x:c r="P193" s="41" t="n">
        <x:f>IFERROR(M193/ABS(N193),"")</x:f>
        <x:v>0.12045392340278087</x:v>
      </x:c>
      <x:c r="Q193" s="41" t="str">
        <x:f>IF(L193&gt;=MAX(H193,P193),"Weekly",IF(H193&gt;=MAX(L193,P193),"No weekly","SPY"))</x:f>
        <x:v>Weekly</x:v>
      </x:c>
      <x:c r="R193" s="41" t="n">
        <x:f>IFERROR(L193-P193,"")</x:f>
        <x:v>0.3691456454775766</x:v>
      </x:c>
      <x:c r="S193" s="41" t="n">
        <x:f>IFERROR(H193-P193,"")</x:f>
        <x:v>0.2723140355607314</x:v>
      </x:c>
      <x:c r="T193" s="41" t="n">
        <x:f>IFERROR(I193-M193,"")</x:f>
        <x:v>8.318887</x:v>
      </x:c>
      <x:c r="U193" s="41" t="n">
        <x:f>IFERROR(E193-M193,"")</x:f>
        <x:v>7.658136</x:v>
      </x:c>
      <x:c r="V193" s="41" t="str">
        <x:f>IF(AND(I193&gt;M193,J193&gt;N193),"Sí","No")</x:f>
        <x:v>Sí</x:v>
      </x:c>
      <x:c r="W193" s="41" t="str">
        <x:f>IF(AND(E193&gt;M193,F193&gt;N193),"Sí","No")</x:f>
        <x:v>Sí</x:v>
      </x:c>
      <x:c r="X193" s="41" t="str">
        <x:f>IF(L193&gt;=H193,"Weekly","No weekly")</x:f>
        <x:v>Weekly</x:v>
      </x:c>
      <x:c r="Y193" s="41" t="n">
        <x:f>IFERROR(I193-E193,"")</x:f>
        <x:v>0.6607509999999994</x:v>
      </x:c>
      <x:c r="Z193" s="41" t="n">
        <x:f>IFERROR(J193-F193,"")</x:f>
        <x:v>5.932023999999998</x:v>
      </x:c>
      <x:c r="AA193" s="41" t="n">
        <x:v>11684</x:v>
      </x:c>
      <x:c r="AB193" s="41" t="n">
        <x:v>5501</x:v>
      </x:c>
    </x:row>
    <x:row r="194">
      <x:c r="A194" s="41" t="str">
        <x:v>HYP_REFINE_AUTO002_TOPN_6_V1_DDGRID_EXT_R10_C26_E75_CR50_REDD_RECOVERED_DD8_SL20</x:v>
      </x:c>
      <x:c r="B194" s="41" t="str">
        <x:v>dd_guard_grid</x:v>
      </x:c>
      <x:c r="C194" s="41" t="str">
        <x:v>1999-01-04</x:v>
      </x:c>
      <x:c r="D194" s="41" t="str">
        <x:v>2026-05-22</x:v>
      </x:c>
      <x:c r="E194" s="41" t="n">
        <x:v>14.828842</x:v>
      </x:c>
      <x:c r="F194" s="41" t="n">
        <x:v>-37.017024</x:v>
      </x:c>
      <x:c r="G194" s="41" t="n">
        <x:v>4306.627473</x:v>
      </x:c>
      <x:c r="H194" s="41" t="n">
        <x:f>IFERROR(E194/ABS(F194),"")</x:f>
        <x:v>0.40059519641557356</x:v>
      </x:c>
      <x:c r="I194" s="41" t="n">
        <x:v>15.699921</x:v>
      </x:c>
      <x:c r="J194" s="41" t="n">
        <x:v>-31.078635</x:v>
      </x:c>
      <x:c r="K194" s="41" t="n">
        <x:v>5319.569553</x:v>
      </x:c>
      <x:c r="L194" s="41" t="n">
        <x:f>IFERROR(I194/ABS(J194),"")</x:f>
        <x:v>0.5051676497375126</x:v>
      </x:c>
      <x:c r="M194" s="41" t="n">
        <x:v>6.802475</x:v>
      </x:c>
      <x:c r="N194" s="41" t="n">
        <x:v>-56.473669</x:v>
      </x:c>
      <x:c r="O194" s="41" t="n">
        <x:v>506.057416</x:v>
      </x:c>
      <x:c r="P194" s="41" t="n">
        <x:f>IFERROR(M194/ABS(N194),"")</x:f>
        <x:v>0.12045392340278087</x:v>
      </x:c>
      <x:c r="Q194" s="41" t="str">
        <x:f>IF(L194&gt;=MAX(H194,P194),"Weekly",IF(H194&gt;=MAX(L194,P194),"No weekly","SPY"))</x:f>
        <x:v>Weekly</x:v>
      </x:c>
      <x:c r="R194" s="41" t="n">
        <x:f>IFERROR(L194-P194,"")</x:f>
        <x:v>0.3847137263347317</x:v>
      </x:c>
      <x:c r="S194" s="41" t="n">
        <x:f>IFERROR(H194-P194,"")</x:f>
        <x:v>0.2801412730127927</x:v>
      </x:c>
      <x:c r="T194" s="41" t="n">
        <x:f>IFERROR(I194-M194,"")</x:f>
        <x:v>8.897445999999999</x:v>
      </x:c>
      <x:c r="U194" s="41" t="n">
        <x:f>IFERROR(E194-M194,"")</x:f>
        <x:v>8.026367</x:v>
      </x:c>
      <x:c r="V194" s="41" t="str">
        <x:f>IF(AND(I194&gt;M194,J194&gt;N194),"Sí","No")</x:f>
        <x:v>Sí</x:v>
      </x:c>
      <x:c r="W194" s="41" t="str">
        <x:f>IF(AND(E194&gt;M194,F194&gt;N194),"Sí","No")</x:f>
        <x:v>Sí</x:v>
      </x:c>
      <x:c r="X194" s="41" t="str">
        <x:f>IF(L194&gt;=H194,"Weekly","No weekly")</x:f>
        <x:v>Weekly</x:v>
      </x:c>
      <x:c r="Y194" s="41" t="n">
        <x:f>IFERROR(I194-E194,"")</x:f>
        <x:v>0.8710789999999999</x:v>
      </x:c>
      <x:c r="Z194" s="41" t="n">
        <x:f>IFERROR(J194-F194,"")</x:f>
        <x:v>5.938389000000001</x:v>
      </x:c>
      <x:c r="AA194" s="41" t="n">
        <x:v>11486</x:v>
      </x:c>
      <x:c r="AB194" s="41" t="n">
        <x:v>5337</x:v>
      </x:c>
    </x:row>
    <x:row r="195">
      <x:c r="A195" s="41" t="str">
        <x:v>HYP_REFINE_AUTO002_TOPN_6_V1_DDGRID_EXT_R12_C22_E66_CR50_REDD_RECOVERED_DD8_SL18</x:v>
      </x:c>
      <x:c r="B195" s="41" t="str">
        <x:v>dd_guard_grid</x:v>
      </x:c>
      <x:c r="C195" s="41" t="str">
        <x:v>1999-01-04</x:v>
      </x:c>
      <x:c r="D195" s="41" t="str">
        <x:v>2026-05-22</x:v>
      </x:c>
      <x:c r="E195" s="41" t="n">
        <x:v>12.852913</x:v>
      </x:c>
      <x:c r="F195" s="41" t="n">
        <x:v>-33.476831</x:v>
      </x:c>
      <x:c r="G195" s="41" t="n">
        <x:v>2639.815701</x:v>
      </x:c>
      <x:c r="H195" s="41" t="n">
        <x:f>IFERROR(E195/ABS(F195),"")</x:f>
        <x:v>0.3839345785149138</x:v>
      </x:c>
      <x:c r="I195" s="41" t="n">
        <x:v>12.84274</x:v>
      </x:c>
      <x:c r="J195" s="41" t="n">
        <x:v>-28.847829</x:v>
      </x:c>
      <x:c r="K195" s="41" t="n">
        <x:v>2633.061917</x:v>
      </x:c>
      <x:c r="L195" s="41" t="n">
        <x:f>IFERROR(I195/ABS(J195),"")</x:f>
        <x:v>0.4451891336432977</x:v>
      </x:c>
      <x:c r="M195" s="41" t="n">
        <x:v>6.802475</x:v>
      </x:c>
      <x:c r="N195" s="41" t="n">
        <x:v>-56.473669</x:v>
      </x:c>
      <x:c r="O195" s="41" t="n">
        <x:v>506.057416</x:v>
      </x:c>
      <x:c r="P195" s="41" t="n">
        <x:f>IFERROR(M195/ABS(N195),"")</x:f>
        <x:v>0.12045392340278087</x:v>
      </x:c>
      <x:c r="Q195" s="41" t="str">
        <x:f>IF(L195&gt;=MAX(H195,P195),"Weekly",IF(H195&gt;=MAX(L195,P195),"No weekly","SPY"))</x:f>
        <x:v>Weekly</x:v>
      </x:c>
      <x:c r="R195" s="41" t="n">
        <x:f>IFERROR(L195-P195,"")</x:f>
        <x:v>0.3247352102405168</x:v>
      </x:c>
      <x:c r="S195" s="41" t="n">
        <x:f>IFERROR(H195-P195,"")</x:f>
        <x:v>0.2634806551121329</x:v>
      </x:c>
      <x:c r="T195" s="41" t="n">
        <x:f>IFERROR(I195-M195,"")</x:f>
        <x:v>6.040264999999999</x:v>
      </x:c>
      <x:c r="U195" s="41" t="n">
        <x:f>IFERROR(E195-M195,"")</x:f>
        <x:v>6.050437999999999</x:v>
      </x:c>
      <x:c r="V195" s="41" t="str">
        <x:f>IF(AND(I195&gt;M195,J195&gt;N195),"Sí","No")</x:f>
        <x:v>Sí</x:v>
      </x:c>
      <x:c r="W195" s="41" t="str">
        <x:f>IF(AND(E195&gt;M195,F195&gt;N195),"Sí","No")</x:f>
        <x:v>Sí</x:v>
      </x:c>
      <x:c r="X195" s="41" t="str">
        <x:f>IF(L195&gt;=H195,"Weekly","No weekly")</x:f>
        <x:v>Weekly</x:v>
      </x:c>
      <x:c r="Y195" s="41" t="n">
        <x:f>IFERROR(I195-E195,"")</x:f>
        <x:v>-0.010172999999999988</x:v>
      </x:c>
      <x:c r="Z195" s="41" t="n">
        <x:f>IFERROR(J195-F195,"")</x:f>
        <x:v>4.629001999999996</x:v>
      </x:c>
      <x:c r="AA195" s="41" t="n">
        <x:v>11480</x:v>
      </x:c>
      <x:c r="AB195" s="41" t="n">
        <x:v>5529</x:v>
      </x:c>
    </x:row>
    <x:row r="196">
      <x:c r="A196" s="41" t="str">
        <x:v>HYP_REFINE_AUTO002_TOPN_6_V1_DDGRID_EXT_R12_C22_E66_CR50_REDD_RECOVERED_DD8_SL20</x:v>
      </x:c>
      <x:c r="B196" s="41" t="str">
        <x:v>dd_guard_grid</x:v>
      </x:c>
      <x:c r="C196" s="41" t="str">
        <x:v>1999-01-04</x:v>
      </x:c>
      <x:c r="D196" s="41" t="str">
        <x:v>2026-05-22</x:v>
      </x:c>
      <x:c r="E196" s="41" t="n">
        <x:v>13.12398</x:v>
      </x:c>
      <x:c r="F196" s="41" t="n">
        <x:v>-34.228577</x:v>
      </x:c>
      <x:c r="G196" s="41" t="n">
        <x:v>2825.816697</x:v>
      </x:c>
      <x:c r="H196" s="41" t="n">
        <x:f>IFERROR(E196/ABS(F196),"")</x:f>
        <x:v>0.38342172390047063</x:v>
      </x:c>
      <x:c r="I196" s="41" t="n">
        <x:v>13.964021</x:v>
      </x:c>
      <x:c r="J196" s="41" t="n">
        <x:v>-28.357503</x:v>
      </x:c>
      <x:c r="K196" s="41" t="n">
        <x:v>3482.751236</x:v>
      </x:c>
      <x:c r="L196" s="41" t="n">
        <x:f>IFERROR(I196/ABS(J196),"")</x:f>
        <x:v>0.49242773596814926</x:v>
      </x:c>
      <x:c r="M196" s="41" t="n">
        <x:v>6.802475</x:v>
      </x:c>
      <x:c r="N196" s="41" t="n">
        <x:v>-56.473669</x:v>
      </x:c>
      <x:c r="O196" s="41" t="n">
        <x:v>506.057416</x:v>
      </x:c>
      <x:c r="P196" s="41" t="n">
        <x:f>IFERROR(M196/ABS(N196),"")</x:f>
        <x:v>0.12045392340278087</x:v>
      </x:c>
      <x:c r="Q196" s="41" t="str">
        <x:f>IF(L196&gt;=MAX(H196,P196),"Weekly",IF(H196&gt;=MAX(L196,P196),"No weekly","SPY"))</x:f>
        <x:v>Weekly</x:v>
      </x:c>
      <x:c r="R196" s="41" t="n">
        <x:f>IFERROR(L196-P196,"")</x:f>
        <x:v>0.3719738125653684</x:v>
      </x:c>
      <x:c r="S196" s="41" t="n">
        <x:f>IFERROR(H196-P196,"")</x:f>
        <x:v>0.26296780049768975</x:v>
      </x:c>
      <x:c r="T196" s="41" t="n">
        <x:f>IFERROR(I196-M196,"")</x:f>
        <x:v>7.161546</x:v>
      </x:c>
      <x:c r="U196" s="41" t="n">
        <x:f>IFERROR(E196-M196,"")</x:f>
        <x:v>6.321504999999999</x:v>
      </x:c>
      <x:c r="V196" s="41" t="str">
        <x:f>IF(AND(I196&gt;M196,J196&gt;N196),"Sí","No")</x:f>
        <x:v>Sí</x:v>
      </x:c>
      <x:c r="W196" s="41" t="str">
        <x:f>IF(AND(E196&gt;M196,F196&gt;N196),"Sí","No")</x:f>
        <x:v>Sí</x:v>
      </x:c>
      <x:c r="X196" s="41" t="str">
        <x:f>IF(L196&gt;=H196,"Weekly","No weekly")</x:f>
        <x:v>Weekly</x:v>
      </x:c>
      <x:c r="Y196" s="41" t="n">
        <x:f>IFERROR(I196-E196,"")</x:f>
        <x:v>0.8400410000000011</x:v>
      </x:c>
      <x:c r="Z196" s="41" t="n">
        <x:f>IFERROR(J196-F196,"")</x:f>
        <x:v>5.871074</x:v>
      </x:c>
      <x:c r="AA196" s="41" t="n">
        <x:v>11301</x:v>
      </x:c>
      <x:c r="AB196" s="41" t="n">
        <x:v>5428</x:v>
      </x:c>
    </x:row>
    <x:row r="197">
      <x:c r="A197" s="41" t="str">
        <x:v>HYP_REFINE_AUTO002_TOPN_6_V1_DDGRID_EXT_R12_C22_E66_CR50_REDD_RECOVERED_DD8_SL22</x:v>
      </x:c>
      <x:c r="B197" s="41" t="str">
        <x:v>dd_guard_grid</x:v>
      </x:c>
      <x:c r="C197" s="41" t="str">
        <x:v>1999-01-04</x:v>
      </x:c>
      <x:c r="D197" s="41" t="str">
        <x:v>2026-05-22</x:v>
      </x:c>
      <x:c r="E197" s="41" t="n">
        <x:v>13.075453</x:v>
      </x:c>
      <x:c r="F197" s="41" t="n">
        <x:v>-34.588648</x:v>
      </x:c>
      <x:c r="G197" s="41" t="n">
        <x:v>2791.648199</x:v>
      </x:c>
      <x:c r="H197" s="41" t="n">
        <x:f>IFERROR(E197/ABS(F197),"")</x:f>
        <x:v>0.3780272938103854</x:v>
      </x:c>
      <x:c r="I197" s="41" t="n">
        <x:v>13.606513</x:v>
      </x:c>
      <x:c r="J197" s="41" t="n">
        <x:v>-28.212954</x:v>
      </x:c>
      <x:c r="K197" s="41" t="n">
        <x:v>3187.439309</x:v>
      </x:c>
      <x:c r="L197" s="41" t="n">
        <x:f>IFERROR(I197/ABS(J197),"")</x:f>
        <x:v>0.48227892052707416</x:v>
      </x:c>
      <x:c r="M197" s="41" t="n">
        <x:v>6.802475</x:v>
      </x:c>
      <x:c r="N197" s="41" t="n">
        <x:v>-56.473669</x:v>
      </x:c>
      <x:c r="O197" s="41" t="n">
        <x:v>506.057416</x:v>
      </x:c>
      <x:c r="P197" s="41" t="n">
        <x:f>IFERROR(M197/ABS(N197),"")</x:f>
        <x:v>0.12045392340278087</x:v>
      </x:c>
      <x:c r="Q197" s="41" t="str">
        <x:f>IF(L197&gt;=MAX(H197,P197),"Weekly",IF(H197&gt;=MAX(L197,P197),"No weekly","SPY"))</x:f>
        <x:v>Weekly</x:v>
      </x:c>
      <x:c r="R197" s="41" t="n">
        <x:f>IFERROR(L197-P197,"")</x:f>
        <x:v>0.3618249971242933</x:v>
      </x:c>
      <x:c r="S197" s="41" t="n">
        <x:f>IFERROR(H197-P197,"")</x:f>
        <x:v>0.25757337040760453</x:v>
      </x:c>
      <x:c r="T197" s="41" t="n">
        <x:f>IFERROR(I197-M197,"")</x:f>
        <x:v>6.804037999999999</x:v>
      </x:c>
      <x:c r="U197" s="41" t="n">
        <x:f>IFERROR(E197-M197,"")</x:f>
        <x:v>6.272977999999999</x:v>
      </x:c>
      <x:c r="V197" s="41" t="str">
        <x:f>IF(AND(I197&gt;M197,J197&gt;N197),"Sí","No")</x:f>
        <x:v>Sí</x:v>
      </x:c>
      <x:c r="W197" s="41" t="str">
        <x:f>IF(AND(E197&gt;M197,F197&gt;N197),"Sí","No")</x:f>
        <x:v>Sí</x:v>
      </x:c>
      <x:c r="X197" s="41" t="str">
        <x:f>IF(L197&gt;=H197,"Weekly","No weekly")</x:f>
        <x:v>Weekly</x:v>
      </x:c>
      <x:c r="Y197" s="41" t="n">
        <x:f>IFERROR(I197-E197,"")</x:f>
        <x:v>0.5310600000000001</x:v>
      </x:c>
      <x:c r="Z197" s="41" t="n">
        <x:f>IFERROR(J197-F197,"")</x:f>
        <x:v>6.375693999999999</x:v>
      </x:c>
      <x:c r="AA197" s="41" t="n">
        <x:v>11573</x:v>
      </x:c>
      <x:c r="AB197" s="41" t="n">
        <x:v>5433</x:v>
      </x:c>
    </x:row>
    <x:row r="198">
      <x:c r="A198" s="41" t="str">
        <x:v>HYP_REFINE_AUTO002_TOPN_6_V1_DDGRID_EXT_R12_C22_E75_CR40_REDD_RECOVERED_DD8_SL20</x:v>
      </x:c>
      <x:c r="B198" s="41" t="str">
        <x:v>dd_guard_grid</x:v>
      </x:c>
      <x:c r="C198" s="41" t="str">
        <x:v>1999-01-04</x:v>
      </x:c>
      <x:c r="D198" s="41" t="str">
        <x:v>2026-05-22</x:v>
      </x:c>
      <x:c r="E198" s="41" t="n">
        <x:v>14.037914</x:v>
      </x:c>
      <x:c r="F198" s="41" t="n">
        <x:v>-32.641176</x:v>
      </x:c>
      <x:c r="G198" s="41" t="n">
        <x:v>3546.8989</x:v>
      </x:c>
      <x:c r="H198" s="41" t="n">
        <x:f>IFERROR(E198/ABS(F198),"")</x:f>
        <x:v>0.43006765442519596</x:v>
      </x:c>
      <x:c r="I198" s="41" t="n">
        <x:v>12.692839</x:v>
      </x:c>
      <x:c r="J198" s="41" t="n">
        <x:v>-29.435035</x:v>
      </x:c>
      <x:c r="K198" s="41" t="n">
        <x:v>2535.383386</x:v>
      </x:c>
      <x:c r="L198" s="41" t="n">
        <x:f>IFERROR(I198/ABS(J198),"")</x:f>
        <x:v>0.43121535272507744</x:v>
      </x:c>
      <x:c r="M198" s="41" t="n">
        <x:v>6.802475</x:v>
      </x:c>
      <x:c r="N198" s="41" t="n">
        <x:v>-56.473669</x:v>
      </x:c>
      <x:c r="O198" s="41" t="n">
        <x:v>506.057416</x:v>
      </x:c>
      <x:c r="P198" s="41" t="n">
        <x:f>IFERROR(M198/ABS(N198),"")</x:f>
        <x:v>0.12045392340278087</x:v>
      </x:c>
      <x:c r="Q198" s="41" t="str">
        <x:f>IF(L198&gt;=MAX(H198,P198),"Weekly",IF(H198&gt;=MAX(L198,P198),"No weekly","SPY"))</x:f>
        <x:v>Weekly</x:v>
      </x:c>
      <x:c r="R198" s="41" t="n">
        <x:f>IFERROR(L198-P198,"")</x:f>
        <x:v>0.31076142932229656</x:v>
      </x:c>
      <x:c r="S198" s="41" t="n">
        <x:f>IFERROR(H198-P198,"")</x:f>
        <x:v>0.3096137310224151</x:v>
      </x:c>
      <x:c r="T198" s="41" t="n">
        <x:f>IFERROR(I198-M198,"")</x:f>
        <x:v>5.890363999999999</x:v>
      </x:c>
      <x:c r="U198" s="41" t="n">
        <x:f>IFERROR(E198-M198,"")</x:f>
        <x:v>7.235439</x:v>
      </x:c>
      <x:c r="V198" s="41" t="str">
        <x:f>IF(AND(I198&gt;M198,J198&gt;N198),"Sí","No")</x:f>
        <x:v>Sí</x:v>
      </x:c>
      <x:c r="W198" s="41" t="str">
        <x:f>IF(AND(E198&gt;M198,F198&gt;N198),"Sí","No")</x:f>
        <x:v>Sí</x:v>
      </x:c>
      <x:c r="X198" s="41" t="str">
        <x:f>IF(L198&gt;=H198,"Weekly","No weekly")</x:f>
        <x:v>Weekly</x:v>
      </x:c>
      <x:c r="Y198" s="41" t="n">
        <x:f>IFERROR(I198-E198,"")</x:f>
        <x:v>-1.3450750000000014</x:v>
      </x:c>
      <x:c r="Z198" s="41" t="n">
        <x:f>IFERROR(J198-F198,"")</x:f>
        <x:v>3.2061410000000024</x:v>
      </x:c>
      <x:c r="AA198" s="41" t="n">
        <x:v>11830</x:v>
      </x:c>
      <x:c r="AB198" s="41" t="n">
        <x:v>5819</x:v>
      </x:c>
    </x:row>
    <x:row r="199">
      <x:c r="A199" s="41" t="str">
        <x:v>HYP_REFINE_AUTO002_TOPN_6_V1_DDGRID_EXT_R12_C22_E75_CR50_REDD_RECOVERED_DD10_SL20</x:v>
      </x:c>
      <x:c r="B199" s="41" t="str">
        <x:v>dd_guard_grid</x:v>
      </x:c>
      <x:c r="C199" s="41" t="str">
        <x:v>1999-01-04</x:v>
      </x:c>
      <x:c r="D199" s="41" t="str">
        <x:v>2026-05-22</x:v>
      </x:c>
      <x:c r="E199" s="41" t="n">
        <x:v>13.765385</x:v>
      </x:c>
      <x:c r="F199" s="41" t="n">
        <x:v>-35.17068</x:v>
      </x:c>
      <x:c r="G199" s="41" t="n">
        <x:v>3315.655333</x:v>
      </x:c>
      <x:c r="H199" s="41" t="n">
        <x:f>IFERROR(E199/ABS(F199),"")</x:f>
        <x:v>0.39138808234586314</x:v>
      </x:c>
      <x:c r="I199" s="41" t="n">
        <x:v>14.217421</x:v>
      </x:c>
      <x:c r="J199" s="41" t="n">
        <x:v>-30.250145</x:v>
      </x:c>
      <x:c r="K199" s="41" t="n">
        <x:v>3707.374289</x:v>
      </x:c>
      <x:c r="L199" s="41" t="n">
        <x:f>IFERROR(I199/ABS(J199),"")</x:f>
        <x:v>0.4699951355605072</x:v>
      </x:c>
      <x:c r="M199" s="41" t="n">
        <x:v>6.802475</x:v>
      </x:c>
      <x:c r="N199" s="41" t="n">
        <x:v>-56.473669</x:v>
      </x:c>
      <x:c r="O199" s="41" t="n">
        <x:v>506.057416</x:v>
      </x:c>
      <x:c r="P199" s="41" t="n">
        <x:f>IFERROR(M199/ABS(N199),"")</x:f>
        <x:v>0.12045392340278087</x:v>
      </x:c>
      <x:c r="Q199" s="41" t="str">
        <x:f>IF(L199&gt;=MAX(H199,P199),"Weekly",IF(H199&gt;=MAX(L199,P199),"No weekly","SPY"))</x:f>
        <x:v>Weekly</x:v>
      </x:c>
      <x:c r="R199" s="41" t="n">
        <x:f>IFERROR(L199-P199,"")</x:f>
        <x:v>0.3495412121577263</x:v>
      </x:c>
      <x:c r="S199" s="41" t="n">
        <x:f>IFERROR(H199-P199,"")</x:f>
        <x:v>0.27093415894308226</x:v>
      </x:c>
      <x:c r="T199" s="41" t="n">
        <x:f>IFERROR(I199-M199,"")</x:f>
        <x:v>7.414946</x:v>
      </x:c>
      <x:c r="U199" s="41" t="n">
        <x:f>IFERROR(E199-M199,"")</x:f>
        <x:v>6.96291</x:v>
      </x:c>
      <x:c r="V199" s="41" t="str">
        <x:f>IF(AND(I199&gt;M199,J199&gt;N199),"Sí","No")</x:f>
        <x:v>Sí</x:v>
      </x:c>
      <x:c r="W199" s="41" t="str">
        <x:f>IF(AND(E199&gt;M199,F199&gt;N199),"Sí","No")</x:f>
        <x:v>Sí</x:v>
      </x:c>
      <x:c r="X199" s="41" t="str">
        <x:f>IF(L199&gt;=H199,"Weekly","No weekly")</x:f>
        <x:v>Weekly</x:v>
      </x:c>
      <x:c r="Y199" s="41" t="n">
        <x:f>IFERROR(I199-E199,"")</x:f>
        <x:v>0.45203599999999966</x:v>
      </x:c>
      <x:c r="Z199" s="41" t="n">
        <x:f>IFERROR(J199-F199,"")</x:f>
        <x:v>4.920534999999997</x:v>
      </x:c>
      <x:c r="AA199" s="41" t="n">
        <x:v>10946</x:v>
      </x:c>
      <x:c r="AB199" s="41" t="n">
        <x:v>5142</x:v>
      </x:c>
    </x:row>
    <x:row r="200">
      <x:c r="A200" s="41" t="str">
        <x:v>HYP_REFINE_AUTO002_TOPN_6_V1_DDGRID_EXT_R12_C22_E75_CR50_REDD_RECOVERED_DD6_SL20</x:v>
      </x:c>
      <x:c r="B200" s="41" t="str">
        <x:v>dd_guard_grid</x:v>
      </x:c>
      <x:c r="C200" s="41" t="str">
        <x:v>1999-01-04</x:v>
      </x:c>
      <x:c r="D200" s="41" t="str">
        <x:v>2026-05-22</x:v>
      </x:c>
      <x:c r="E200" s="41" t="n">
        <x:v>14.479737</x:v>
      </x:c>
      <x:c r="F200" s="41" t="n">
        <x:v>-35.17068</x:v>
      </x:c>
      <x:c r="G200" s="41" t="n">
        <x:v>3954.170829</x:v>
      </x:c>
      <x:c r="H200" s="41" t="n">
        <x:f>IFERROR(E200/ABS(F200),"")</x:f>
        <x:v>0.41169909140227035</x:v>
      </x:c>
      <x:c r="I200" s="41" t="n">
        <x:v>14.307818</x:v>
      </x:c>
      <x:c r="J200" s="41" t="n">
        <x:v>-30.250145</x:v>
      </x:c>
      <x:c r="K200" s="41" t="n">
        <x:v>3790.742112</x:v>
      </x:c>
      <x:c r="L200" s="41" t="n">
        <x:f>IFERROR(I200/ABS(J200),"")</x:f>
        <x:v>0.47298345181485907</x:v>
      </x:c>
      <x:c r="M200" s="41" t="n">
        <x:v>6.802475</x:v>
      </x:c>
      <x:c r="N200" s="41" t="n">
        <x:v>-56.473669</x:v>
      </x:c>
      <x:c r="O200" s="41" t="n">
        <x:v>506.057416</x:v>
      </x:c>
      <x:c r="P200" s="41" t="n">
        <x:f>IFERROR(M200/ABS(N200),"")</x:f>
        <x:v>0.12045392340278087</x:v>
      </x:c>
      <x:c r="Q200" s="41" t="str">
        <x:f>IF(L200&gt;=MAX(H200,P200),"Weekly",IF(H200&gt;=MAX(L200,P200),"No weekly","SPY"))</x:f>
        <x:v>Weekly</x:v>
      </x:c>
      <x:c r="R200" s="41" t="n">
        <x:f>IFERROR(L200-P200,"")</x:f>
        <x:v>0.3525295284120782</x:v>
      </x:c>
      <x:c r="S200" s="41" t="n">
        <x:f>IFERROR(H200-P200,"")</x:f>
        <x:v>0.29124516799948946</x:v>
      </x:c>
      <x:c r="T200" s="41" t="n">
        <x:f>IFERROR(I200-M200,"")</x:f>
        <x:v>7.505342999999999</x:v>
      </x:c>
      <x:c r="U200" s="41" t="n">
        <x:f>IFERROR(E200-M200,"")</x:f>
        <x:v>7.677262</x:v>
      </x:c>
      <x:c r="V200" s="41" t="str">
        <x:f>IF(AND(I200&gt;M200,J200&gt;N200),"Sí","No")</x:f>
        <x:v>Sí</x:v>
      </x:c>
      <x:c r="W200" s="41" t="str">
        <x:f>IF(AND(E200&gt;M200,F200&gt;N200),"Sí","No")</x:f>
        <x:v>Sí</x:v>
      </x:c>
      <x:c r="X200" s="41" t="str">
        <x:f>IF(L200&gt;=H200,"Weekly","No weekly")</x:f>
        <x:v>Weekly</x:v>
      </x:c>
      <x:c r="Y200" s="41" t="n">
        <x:f>IFERROR(I200-E200,"")</x:f>
        <x:v>-0.17191900000000082</x:v>
      </x:c>
      <x:c r="Z200" s="41" t="n">
        <x:f>IFERROR(J200-F200,"")</x:f>
        <x:v>4.920534999999997</x:v>
      </x:c>
      <x:c r="AA200" s="41" t="n">
        <x:v>11414</x:v>
      </x:c>
      <x:c r="AB200" s="41" t="n">
        <x:v>5567</x:v>
      </x:c>
    </x:row>
    <x:row r="201">
      <x:c r="A201" s="41" t="str">
        <x:v>HYP_REFINE_AUTO002_TOPN_6_V1_DDGRID_EXT_R12_C22_E75_CR50_REDD_RECOVERED_DD8_SL18</x:v>
      </x:c>
      <x:c r="B201" s="41" t="str">
        <x:v>dd_guard_grid</x:v>
      </x:c>
      <x:c r="C201" s="41" t="str">
        <x:v>1999-01-04</x:v>
      </x:c>
      <x:c r="D201" s="41" t="str">
        <x:v>2026-05-22</x:v>
      </x:c>
      <x:c r="E201" s="41" t="n">
        <x:v>13.66219</x:v>
      </x:c>
      <x:c r="F201" s="41" t="n">
        <x:v>-33.947565</x:v>
      </x:c>
      <x:c r="G201" s="41" t="n">
        <x:v>3231.835938</x:v>
      </x:c>
      <x:c r="H201" s="41" t="n">
        <x:f>IFERROR(E201/ABS(F201),"")</x:f>
        <x:v>0.40244977806213794</x:v>
      </x:c>
      <x:c r="I201" s="41" t="n">
        <x:v>14.317979</x:v>
      </x:c>
      <x:c r="J201" s="41" t="n">
        <x:v>-30.624296</x:v>
      </x:c>
      <x:c r="K201" s="41" t="n">
        <x:v>3800.221949</x:v>
      </x:c>
      <x:c r="L201" s="41" t="n">
        <x:f>IFERROR(I201/ABS(J201),"")</x:f>
        <x:v>0.46753659251464913</x:v>
      </x:c>
      <x:c r="M201" s="41" t="n">
        <x:v>6.802475</x:v>
      </x:c>
      <x:c r="N201" s="41" t="n">
        <x:v>-56.473669</x:v>
      </x:c>
      <x:c r="O201" s="41" t="n">
        <x:v>506.057416</x:v>
      </x:c>
      <x:c r="P201" s="41" t="n">
        <x:f>IFERROR(M201/ABS(N201),"")</x:f>
        <x:v>0.12045392340278087</x:v>
      </x:c>
      <x:c r="Q201" s="41" t="str">
        <x:f>IF(L201&gt;=MAX(H201,P201),"Weekly",IF(H201&gt;=MAX(L201,P201),"No weekly","SPY"))</x:f>
        <x:v>Weekly</x:v>
      </x:c>
      <x:c r="R201" s="41" t="n">
        <x:f>IFERROR(L201-P201,"")</x:f>
        <x:v>0.34708266911186825</x:v>
      </x:c>
      <x:c r="S201" s="41" t="n">
        <x:f>IFERROR(H201-P201,"")</x:f>
        <x:v>0.28199585465935706</x:v>
      </x:c>
      <x:c r="T201" s="41" t="n">
        <x:f>IFERROR(I201-M201,"")</x:f>
        <x:v>7.515503999999999</x:v>
      </x:c>
      <x:c r="U201" s="41" t="n">
        <x:f>IFERROR(E201-M201,"")</x:f>
        <x:v>6.8597150000000005</x:v>
      </x:c>
      <x:c r="V201" s="41" t="str">
        <x:f>IF(AND(I201&gt;M201,J201&gt;N201),"Sí","No")</x:f>
        <x:v>Sí</x:v>
      </x:c>
      <x:c r="W201" s="41" t="str">
        <x:f>IF(AND(E201&gt;M201,F201&gt;N201),"Sí","No")</x:f>
        <x:v>Sí</x:v>
      </x:c>
      <x:c r="X201" s="41" t="str">
        <x:f>IF(L201&gt;=H201,"Weekly","No weekly")</x:f>
        <x:v>Weekly</x:v>
      </x:c>
      <x:c r="Y201" s="41" t="n">
        <x:f>IFERROR(I201-E201,"")</x:f>
        <x:v>0.6557889999999986</x:v>
      </x:c>
      <x:c r="Z201" s="41" t="n">
        <x:f>IFERROR(J201-F201,"")</x:f>
        <x:v>3.3232689999999963</x:v>
      </x:c>
      <x:c r="AA201" s="41" t="n">
        <x:v>10935</x:v>
      </x:c>
      <x:c r="AB201" s="41" t="n">
        <x:v>5259</x:v>
      </x:c>
    </x:row>
    <x:row r="202">
      <x:c r="A202" s="41" t="str">
        <x:v>HYP_REFINE_AUTO002_TOPN_6_V1_DDGRID_EXT_R12_C22_E75_CR50_REDD_RECOVERED_DD8_SL20</x:v>
      </x:c>
      <x:c r="B202" s="41" t="str">
        <x:v>dd_guard_grid</x:v>
      </x:c>
      <x:c r="C202" s="41" t="str">
        <x:v>1999-01-04</x:v>
      </x:c>
      <x:c r="D202" s="41" t="str">
        <x:v>2026-05-22</x:v>
      </x:c>
      <x:c r="E202" s="41" t="n">
        <x:v>14.401143</x:v>
      </x:c>
      <x:c r="F202" s="41" t="n">
        <x:v>-35.17068</x:v>
      </x:c>
      <x:c r="G202" s="41" t="n">
        <x:v>3878.654269</x:v>
      </x:c>
      <x:c r="H202" s="41" t="n">
        <x:f>IFERROR(E202/ABS(F202),"")</x:f>
        <x:v>0.409464445953277</x:v>
      </x:c>
      <x:c r="I202" s="41" t="n">
        <x:v>14.590292</x:v>
      </x:c>
      <x:c r="J202" s="41" t="n">
        <x:v>-30.250145</x:v>
      </x:c>
      <x:c r="K202" s="41" t="n">
        <x:v>4062.739073</x:v>
      </x:c>
      <x:c r="L202" s="41" t="n">
        <x:f>IFERROR(I202/ABS(J202),"")</x:f>
        <x:v>0.48232139052556605</x:v>
      </x:c>
      <x:c r="M202" s="41" t="n">
        <x:v>6.802475</x:v>
      </x:c>
      <x:c r="N202" s="41" t="n">
        <x:v>-56.473669</x:v>
      </x:c>
      <x:c r="O202" s="41" t="n">
        <x:v>506.057416</x:v>
      </x:c>
      <x:c r="P202" s="41" t="n">
        <x:f>IFERROR(M202/ABS(N202),"")</x:f>
        <x:v>0.12045392340278087</x:v>
      </x:c>
      <x:c r="Q202" s="41" t="str">
        <x:f>IF(L202&gt;=MAX(H202,P202),"Weekly",IF(H202&gt;=MAX(L202,P202),"No weekly","SPY"))</x:f>
        <x:v>Weekly</x:v>
      </x:c>
      <x:c r="R202" s="41" t="n">
        <x:f>IFERROR(L202-P202,"")</x:f>
        <x:v>0.36186746712278517</x:v>
      </x:c>
      <x:c r="S202" s="41" t="n">
        <x:f>IFERROR(H202-P202,"")</x:f>
        <x:v>0.28901052255049614</x:v>
      </x:c>
      <x:c r="T202" s="41" t="n">
        <x:f>IFERROR(I202-M202,"")</x:f>
        <x:v>7.7878169999999995</x:v>
      </x:c>
      <x:c r="U202" s="41" t="n">
        <x:f>IFERROR(E202-M202,"")</x:f>
        <x:v>7.598667999999999</x:v>
      </x:c>
      <x:c r="V202" s="41" t="str">
        <x:f>IF(AND(I202&gt;M202,J202&gt;N202),"Sí","No")</x:f>
        <x:v>Sí</x:v>
      </x:c>
      <x:c r="W202" s="41" t="str">
        <x:f>IF(AND(E202&gt;M202,F202&gt;N202),"Sí","No")</x:f>
        <x:v>Sí</x:v>
      </x:c>
      <x:c r="X202" s="41" t="str">
        <x:f>IF(L202&gt;=H202,"Weekly","No weekly")</x:f>
        <x:v>Weekly</x:v>
      </x:c>
      <x:c r="Y202" s="41" t="n">
        <x:f>IFERROR(I202-E202,"")</x:f>
        <x:v>0.18914900000000046</x:v>
      </x:c>
      <x:c r="Z202" s="41" t="n">
        <x:f>IFERROR(J202-F202,"")</x:f>
        <x:v>4.920534999999997</x:v>
      </x:c>
      <x:c r="AA202" s="41" t="n">
        <x:v>11037</x:v>
      </x:c>
      <x:c r="AB202" s="41" t="n">
        <x:v>5429</x:v>
      </x:c>
    </x:row>
    <x:row r="203">
      <x:c r="A203" s="41" t="str">
        <x:v>HYP_REFINE_AUTO002_TOPN_6_V1_DDGRID_EXT_R12_C22_E75_CR50_REDD_RECOVERED_DD8_SL22</x:v>
      </x:c>
      <x:c r="B203" s="41" t="str">
        <x:v>dd_guard_grid</x:v>
      </x:c>
      <x:c r="C203" s="41" t="str">
        <x:v>1999-01-04</x:v>
      </x:c>
      <x:c r="D203" s="41" t="str">
        <x:v>2026-05-22</x:v>
      </x:c>
      <x:c r="E203" s="41" t="n">
        <x:v>14.032024</x:v>
      </x:c>
      <x:c r="F203" s="41" t="n">
        <x:v>-35.200887</x:v>
      </x:c>
      <x:c r="G203" s="41" t="n">
        <x:v>3541.745504</x:v>
      </x:c>
      <x:c r="H203" s="41" t="n">
        <x:f>IFERROR(E203/ABS(F203),"")</x:f>
        <x:v>0.39862700050711786</x:v>
      </x:c>
      <x:c r="I203" s="41" t="n">
        <x:v>14.509999</x:v>
      </x:c>
      <x:c r="J203" s="41" t="n">
        <x:v>-30.109415</x:v>
      </x:c>
      <x:c r="K203" s="41" t="n">
        <x:v>3983.614762</x:v>
      </x:c>
      <x:c r="L203" s="41" t="n">
        <x:f>IFERROR(I203/ABS(J203),"")</x:f>
        <x:v>0.48190903077990727</x:v>
      </x:c>
      <x:c r="M203" s="41" t="n">
        <x:v>6.802475</x:v>
      </x:c>
      <x:c r="N203" s="41" t="n">
        <x:v>-56.473669</x:v>
      </x:c>
      <x:c r="O203" s="41" t="n">
        <x:v>506.057416</x:v>
      </x:c>
      <x:c r="P203" s="41" t="n">
        <x:f>IFERROR(M203/ABS(N203),"")</x:f>
        <x:v>0.12045392340278087</x:v>
      </x:c>
      <x:c r="Q203" s="41" t="str">
        <x:f>IF(L203&gt;=MAX(H203,P203),"Weekly",IF(H203&gt;=MAX(L203,P203),"No weekly","SPY"))</x:f>
        <x:v>Weekly</x:v>
      </x:c>
      <x:c r="R203" s="41" t="n">
        <x:f>IFERROR(L203-P203,"")</x:f>
        <x:v>0.3614551073771264</x:v>
      </x:c>
      <x:c r="S203" s="41" t="n">
        <x:f>IFERROR(H203-P203,"")</x:f>
        <x:v>0.278173077104337</x:v>
      </x:c>
      <x:c r="T203" s="41" t="n">
        <x:f>IFERROR(I203-M203,"")</x:f>
        <x:v>7.707524</x:v>
      </x:c>
      <x:c r="U203" s="41" t="n">
        <x:f>IFERROR(E203-M203,"")</x:f>
        <x:v>7.229549</x:v>
      </x:c>
      <x:c r="V203" s="41" t="str">
        <x:f>IF(AND(I203&gt;M203,J203&gt;N203),"Sí","No")</x:f>
        <x:v>Sí</x:v>
      </x:c>
      <x:c r="W203" s="41" t="str">
        <x:f>IF(AND(E203&gt;M203,F203&gt;N203),"Sí","No")</x:f>
        <x:v>Sí</x:v>
      </x:c>
      <x:c r="X203" s="41" t="str">
        <x:f>IF(L203&gt;=H203,"Weekly","No weekly")</x:f>
        <x:v>Weekly</x:v>
      </x:c>
      <x:c r="Y203" s="41" t="n">
        <x:f>IFERROR(I203-E203,"")</x:f>
        <x:v>0.4779750000000007</x:v>
      </x:c>
      <x:c r="Z203" s="41" t="n">
        <x:f>IFERROR(J203-F203,"")</x:f>
        <x:v>5.091472000000003</x:v>
      </x:c>
      <x:c r="AA203" s="41" t="n">
        <x:v>11312</x:v>
      </x:c>
      <x:c r="AB203" s="41" t="n">
        <x:v>5382</x:v>
      </x:c>
    </x:row>
    <x:row r="204">
      <x:c r="A204" s="41" t="str">
        <x:v>HYP_REFINE_AUTO002_TOPN_6_V1_DDGRID_EXT_R12_C22_E75_CR50_REDD_RECOVERED_DD8_SL25</x:v>
      </x:c>
      <x:c r="B204" s="41" t="str">
        <x:v>dd_guard_grid</x:v>
      </x:c>
      <x:c r="C204" s="41" t="str">
        <x:v>1999-01-04</x:v>
      </x:c>
      <x:c r="D204" s="41" t="str">
        <x:v>2026-05-22</x:v>
      </x:c>
      <x:c r="E204" s="41" t="n">
        <x:v>14.01883</x:v>
      </x:c>
      <x:c r="F204" s="41" t="n">
        <x:v>-35.607534</x:v>
      </x:c>
      <x:c r="G204" s="41" t="n">
        <x:v>3530.226476</x:v>
      </x:c>
      <x:c r="H204" s="41" t="n">
        <x:f>IFERROR(E204/ABS(F204),"")</x:f>
        <x:v>0.3937040402741734</x:v>
      </x:c>
      <x:c r="I204" s="41" t="n">
        <x:v>14.486467</x:v>
      </x:c>
      <x:c r="J204" s="41" t="n">
        <x:v>-30.109907</x:v>
      </x:c>
      <x:c r="K204" s="41" t="n">
        <x:v>3960.700966</x:v>
      </x:c>
      <x:c r="L204" s="41" t="n">
        <x:f>IFERROR(I204/ABS(J204),"")</x:f>
        <x:v>0.48111961953253457</x:v>
      </x:c>
      <x:c r="M204" s="41" t="n">
        <x:v>6.802475</x:v>
      </x:c>
      <x:c r="N204" s="41" t="n">
        <x:v>-56.473669</x:v>
      </x:c>
      <x:c r="O204" s="41" t="n">
        <x:v>506.057416</x:v>
      </x:c>
      <x:c r="P204" s="41" t="n">
        <x:f>IFERROR(M204/ABS(N204),"")</x:f>
        <x:v>0.12045392340278087</x:v>
      </x:c>
      <x:c r="Q204" s="41" t="str">
        <x:f>IF(L204&gt;=MAX(H204,P204),"Weekly",IF(H204&gt;=MAX(L204,P204),"No weekly","SPY"))</x:f>
        <x:v>Weekly</x:v>
      </x:c>
      <x:c r="R204" s="41" t="n">
        <x:f>IFERROR(L204-P204,"")</x:f>
        <x:v>0.3606656961297537</x:v>
      </x:c>
      <x:c r="S204" s="41" t="n">
        <x:f>IFERROR(H204-P204,"")</x:f>
        <x:v>0.2732501168713925</x:v>
      </x:c>
      <x:c r="T204" s="41" t="n">
        <x:f>IFERROR(I204-M204,"")</x:f>
        <x:v>7.683991999999999</x:v>
      </x:c>
      <x:c r="U204" s="41" t="n">
        <x:f>IFERROR(E204-M204,"")</x:f>
        <x:v>7.216354999999999</x:v>
      </x:c>
      <x:c r="V204" s="41" t="str">
        <x:f>IF(AND(I204&gt;M204,J204&gt;N204),"Sí","No")</x:f>
        <x:v>Sí</x:v>
      </x:c>
      <x:c r="W204" s="41" t="str">
        <x:f>IF(AND(E204&gt;M204,F204&gt;N204),"Sí","No")</x:f>
        <x:v>Sí</x:v>
      </x:c>
      <x:c r="X204" s="41" t="str">
        <x:f>IF(L204&gt;=H204,"Weekly","No weekly")</x:f>
        <x:v>Weekly</x:v>
      </x:c>
      <x:c r="Y204" s="41" t="n">
        <x:f>IFERROR(I204-E204,"")</x:f>
        <x:v>0.46763699999999986</x:v>
      </x:c>
      <x:c r="Z204" s="41" t="n">
        <x:f>IFERROR(J204-F204,"")</x:f>
        <x:v>5.497627000000001</x:v>
      </x:c>
      <x:c r="AA204" s="41" t="n">
        <x:v>11327</x:v>
      </x:c>
      <x:c r="AB204" s="41" t="n">
        <x:v>5731</x:v>
      </x:c>
    </x:row>
    <x:row r="205">
      <x:c r="A205" s="41" t="str">
        <x:v>HYP_REFINE_AUTO002_TOPN_6_V1_DDGRID_EXT_R12_C22_E75_CR50_REDD_RECOVERED_DD8_SLNONE</x:v>
      </x:c>
      <x:c r="B205" s="41" t="str">
        <x:v>dd_guard_grid</x:v>
      </x:c>
      <x:c r="C205" s="41" t="str">
        <x:v>1999-01-04</x:v>
      </x:c>
      <x:c r="D205" s="41" t="str">
        <x:v>2026-05-22</x:v>
      </x:c>
      <x:c r="E205" s="41" t="n">
        <x:v>14.20254</x:v>
      </x:c>
      <x:c r="F205" s="41" t="n">
        <x:v>-35.965729</x:v>
      </x:c>
      <x:c r="G205" s="41" t="n">
        <x:v>3693.816854</x:v>
      </x:c>
      <x:c r="H205" s="41" t="n">
        <x:f>IFERROR(E205/ABS(F205),"")</x:f>
        <x:v>0.39489092519159</x:v>
      </x:c>
      <x:c r="I205" s="41" t="n">
        <x:v>15.292557</x:v>
      </x:c>
      <x:c r="J205" s="41" t="n">
        <x:v>-29.080348</x:v>
      </x:c>
      <x:c r="K205" s="41" t="n">
        <x:v>4820.696941</x:v>
      </x:c>
      <x:c r="L205" s="41" t="n">
        <x:f>IFERROR(I205/ABS(J205),"")</x:f>
        <x:v>0.5258725583338961</x:v>
      </x:c>
      <x:c r="M205" s="41" t="n">
        <x:v>6.802475</x:v>
      </x:c>
      <x:c r="N205" s="41" t="n">
        <x:v>-56.473669</x:v>
      </x:c>
      <x:c r="O205" s="41" t="n">
        <x:v>506.057416</x:v>
      </x:c>
      <x:c r="P205" s="41" t="n">
        <x:f>IFERROR(M205/ABS(N205),"")</x:f>
        <x:v>0.12045392340278087</x:v>
      </x:c>
      <x:c r="Q205" s="41" t="str">
        <x:f>IF(L205&gt;=MAX(H205,P205),"Weekly",IF(H205&gt;=MAX(L205,P205),"No weekly","SPY"))</x:f>
        <x:v>Weekly</x:v>
      </x:c>
      <x:c r="R205" s="41" t="n">
        <x:f>IFERROR(L205-P205,"")</x:f>
        <x:v>0.40541863493111524</x:v>
      </x:c>
      <x:c r="S205" s="41" t="n">
        <x:f>IFERROR(H205-P205,"")</x:f>
        <x:v>0.27443700178880914</x:v>
      </x:c>
      <x:c r="T205" s="41" t="n">
        <x:f>IFERROR(I205-M205,"")</x:f>
        <x:v>8.490082000000001</x:v>
      </x:c>
      <x:c r="U205" s="41" t="n">
        <x:f>IFERROR(E205-M205,"")</x:f>
        <x:v>7.400065000000001</x:v>
      </x:c>
      <x:c r="V205" s="41" t="str">
        <x:f>IF(AND(I205&gt;M205,J205&gt;N205),"Sí","No")</x:f>
        <x:v>Sí</x:v>
      </x:c>
      <x:c r="W205" s="41" t="str">
        <x:f>IF(AND(E205&gt;M205,F205&gt;N205),"Sí","No")</x:f>
        <x:v>Sí</x:v>
      </x:c>
      <x:c r="X205" s="41" t="str">
        <x:f>IF(L205&gt;=H205,"Weekly","No weekly")</x:f>
        <x:v>Weekly</x:v>
      </x:c>
      <x:c r="Y205" s="41" t="n">
        <x:f>IFERROR(I205-E205,"")</x:f>
        <x:v>1.0900169999999996</x:v>
      </x:c>
      <x:c r="Z205" s="41" t="n">
        <x:f>IFERROR(J205-F205,"")</x:f>
        <x:v>6.885381000000002</x:v>
      </x:c>
      <x:c r="AA205" s="41" t="n">
        <x:v>11225</x:v>
      </x:c>
      <x:c r="AB205" s="41" t="n">
        <x:v>6062</x:v>
      </x:c>
    </x:row>
    <x:row r="206">
      <x:c r="A206" s="41" t="str">
        <x:v>HYP_REFINE_AUTO002_TOPN_6_V1_DDGRID_EXT_R12_C24_E50_CR50_REDD_RECOVERED_DD8_SL20</x:v>
      </x:c>
      <x:c r="B206" s="41" t="str">
        <x:v>dd_guard_grid</x:v>
      </x:c>
      <x:c r="C206" s="41" t="str">
        <x:v>1999-01-04</x:v>
      </x:c>
      <x:c r="D206" s="41" t="str">
        <x:v>2026-05-22</x:v>
      </x:c>
      <x:c r="E206" s="41" t="n">
        <x:v>9.918879</x:v>
      </x:c>
      <x:c r="F206" s="41" t="n">
        <x:v>-33.559621</x:v>
      </x:c>
      <x:c r="G206" s="41" t="n">
        <x:v>1231.981134</x:v>
      </x:c>
      <x:c r="H206" s="41" t="n">
        <x:f>IFERROR(E206/ABS(F206),"")</x:f>
        <x:v>0.29555992303965534</x:v>
      </x:c>
      <x:c r="I206" s="41" t="n">
        <x:v>11.913438</x:v>
      </x:c>
      <x:c r="J206" s="41" t="n">
        <x:v>-26.488191</x:v>
      </x:c>
      <x:c r="K206" s="41" t="n">
        <x:v>2079.328442</x:v>
      </x:c>
      <x:c r="L206" s="41" t="n">
        <x:f>IFERROR(I206/ABS(J206),"")</x:f>
        <x:v>0.44976412318983955</x:v>
      </x:c>
      <x:c r="M206" s="41" t="n">
        <x:v>6.802475</x:v>
      </x:c>
      <x:c r="N206" s="41" t="n">
        <x:v>-56.473669</x:v>
      </x:c>
      <x:c r="O206" s="41" t="n">
        <x:v>506.057416</x:v>
      </x:c>
      <x:c r="P206" s="41" t="n">
        <x:f>IFERROR(M206/ABS(N206),"")</x:f>
        <x:v>0.12045392340278087</x:v>
      </x:c>
      <x:c r="Q206" s="41" t="str">
        <x:f>IF(L206&gt;=MAX(H206,P206),"Weekly",IF(H206&gt;=MAX(L206,P206),"No weekly","SPY"))</x:f>
        <x:v>Weekly</x:v>
      </x:c>
      <x:c r="R206" s="41" t="n">
        <x:f>IFERROR(L206-P206,"")</x:f>
        <x:v>0.32931019978705867</x:v>
      </x:c>
      <x:c r="S206" s="41" t="n">
        <x:f>IFERROR(H206-P206,"")</x:f>
        <x:v>0.17510599963687445</x:v>
      </x:c>
      <x:c r="T206" s="41" t="n">
        <x:f>IFERROR(I206-M206,"")</x:f>
        <x:v>5.110962999999999</x:v>
      </x:c>
      <x:c r="U206" s="41" t="n">
        <x:f>IFERROR(E206-M206,"")</x:f>
        <x:v>3.116404</x:v>
      </x:c>
      <x:c r="V206" s="41" t="str">
        <x:f>IF(AND(I206&gt;M206,J206&gt;N206),"Sí","No")</x:f>
        <x:v>Sí</x:v>
      </x:c>
      <x:c r="W206" s="41" t="str">
        <x:f>IF(AND(E206&gt;M206,F206&gt;N206),"Sí","No")</x:f>
        <x:v>Sí</x:v>
      </x:c>
      <x:c r="X206" s="41" t="str">
        <x:f>IF(L206&gt;=H206,"Weekly","No weekly")</x:f>
        <x:v>Weekly</x:v>
      </x:c>
      <x:c r="Y206" s="41" t="n">
        <x:f>IFERROR(I206-E206,"")</x:f>
        <x:v>1.9945589999999989</x:v>
      </x:c>
      <x:c r="Z206" s="41" t="n">
        <x:f>IFERROR(J206-F206,"")</x:f>
        <x:v>7.071429999999999</x:v>
      </x:c>
      <x:c r="AA206" s="41" t="n">
        <x:v>12010</x:v>
      </x:c>
      <x:c r="AB206" s="41" t="n">
        <x:v>6529</x:v>
      </x:c>
    </x:row>
    <x:row r="207">
      <x:c r="A207" s="41" t="str">
        <x:v>HYP_REFINE_AUTO002_TOPN_6_V1_DDGRID_EXT_R12_C24_E60_CR40_REDD_RECOVERED_DD8_SL20</x:v>
      </x:c>
      <x:c r="B207" s="41" t="str">
        <x:v>dd_guard_grid</x:v>
      </x:c>
      <x:c r="C207" s="41" t="str">
        <x:v>1999-01-04</x:v>
      </x:c>
      <x:c r="D207" s="41" t="str">
        <x:v>2026-05-22</x:v>
      </x:c>
      <x:c r="E207" s="41" t="n">
        <x:v>11.684087</x:v>
      </x:c>
      <x:c r="F207" s="41" t="n">
        <x:v>-31.81169</x:v>
      </x:c>
      <x:c r="G207" s="41" t="n">
        <x:v>1960.29856</x:v>
      </x:c>
      <x:c r="H207" s="41" t="n">
        <x:f>IFERROR(E207/ABS(F207),"")</x:f>
        <x:v>0.367289100327584</x:v>
      </x:c>
      <x:c r="I207" s="41" t="n">
        <x:v>13.682841</x:v>
      </x:c>
      <x:c r="J207" s="41" t="n">
        <x:v>-28.238077</x:v>
      </x:c>
      <x:c r="K207" s="41" t="n">
        <x:v>3248.449554</x:v>
      </x:c>
      <x:c r="L207" s="41" t="n">
        <x:f>IFERROR(I207/ABS(J207),"")</x:f>
        <x:v>0.484552861018121</x:v>
      </x:c>
      <x:c r="M207" s="41" t="n">
        <x:v>6.802475</x:v>
      </x:c>
      <x:c r="N207" s="41" t="n">
        <x:v>-56.473669</x:v>
      </x:c>
      <x:c r="O207" s="41" t="n">
        <x:v>506.057416</x:v>
      </x:c>
      <x:c r="P207" s="41" t="n">
        <x:f>IFERROR(M207/ABS(N207),"")</x:f>
        <x:v>0.12045392340278087</x:v>
      </x:c>
      <x:c r="Q207" s="41" t="str">
        <x:f>IF(L207&gt;=MAX(H207,P207),"Weekly",IF(H207&gt;=MAX(L207,P207),"No weekly","SPY"))</x:f>
        <x:v>Weekly</x:v>
      </x:c>
      <x:c r="R207" s="41" t="n">
        <x:f>IFERROR(L207-P207,"")</x:f>
        <x:v>0.3640989376153401</x:v>
      </x:c>
      <x:c r="S207" s="41" t="n">
        <x:f>IFERROR(H207-P207,"")</x:f>
        <x:v>0.2468351769248031</x:v>
      </x:c>
      <x:c r="T207" s="41" t="n">
        <x:f>IFERROR(I207-M207,"")</x:f>
        <x:v>6.8803659999999995</x:v>
      </x:c>
      <x:c r="U207" s="41" t="n">
        <x:f>IFERROR(E207-M207,"")</x:f>
        <x:v>4.881612</x:v>
      </x:c>
      <x:c r="V207" s="41" t="str">
        <x:f>IF(AND(I207&gt;M207,J207&gt;N207),"Sí","No")</x:f>
        <x:v>Sí</x:v>
      </x:c>
      <x:c r="W207" s="41" t="str">
        <x:f>IF(AND(E207&gt;M207,F207&gt;N207),"Sí","No")</x:f>
        <x:v>Sí</x:v>
      </x:c>
      <x:c r="X207" s="41" t="str">
        <x:f>IF(L207&gt;=H207,"Weekly","No weekly")</x:f>
        <x:v>Weekly</x:v>
      </x:c>
      <x:c r="Y207" s="41" t="n">
        <x:f>IFERROR(I207-E207,"")</x:f>
        <x:v>1.998754</x:v>
      </x:c>
      <x:c r="Z207" s="41" t="n">
        <x:f>IFERROR(J207-F207,"")</x:f>
        <x:v>3.573612999999998</x:v>
      </x:c>
      <x:c r="AA207" s="41" t="n">
        <x:v>11508</x:v>
      </x:c>
      <x:c r="AB207" s="41" t="n">
        <x:v>5794</x:v>
      </x:c>
    </x:row>
    <x:row r="208">
      <x:c r="A208" s="41" t="str">
        <x:v>HYP_REFINE_AUTO002_TOPN_6_V1_DDGRID_EXT_R12_C24_E60_CR50_REDD_RECOVERED_DD10_SL20</x:v>
      </x:c>
      <x:c r="B208" s="41" t="str">
        <x:v>dd_guard_grid</x:v>
      </x:c>
      <x:c r="C208" s="41" t="str">
        <x:v>1999-01-04</x:v>
      </x:c>
      <x:c r="D208" s="41" t="str">
        <x:v>2026-05-22</x:v>
      </x:c>
      <x:c r="E208" s="41" t="n">
        <x:v>12.313176</x:v>
      </x:c>
      <x:c r="F208" s="41" t="n">
        <x:v>-33.90535</x:v>
      </x:c>
      <x:c r="G208" s="41" t="n">
        <x:v>2302.799676</x:v>
      </x:c>
      <x:c r="H208" s="41" t="n">
        <x:f>IFERROR(E208/ABS(F208),"")</x:f>
        <x:v>0.3631632176043014</x:v>
      </x:c>
      <x:c r="I208" s="41" t="n">
        <x:v>13.198241</x:v>
      </x:c>
      <x:c r="J208" s="41" t="n">
        <x:v>-28.462398</x:v>
      </x:c>
      <x:c r="K208" s="41" t="n">
        <x:v>2878.85984</x:v>
      </x:c>
      <x:c r="L208" s="41" t="n">
        <x:f>IFERROR(I208/ABS(J208),"")</x:f>
        <x:v>0.46370797710017264</x:v>
      </x:c>
      <x:c r="M208" s="41" t="n">
        <x:v>6.802475</x:v>
      </x:c>
      <x:c r="N208" s="41" t="n">
        <x:v>-56.473669</x:v>
      </x:c>
      <x:c r="O208" s="41" t="n">
        <x:v>506.057416</x:v>
      </x:c>
      <x:c r="P208" s="41" t="n">
        <x:f>IFERROR(M208/ABS(N208),"")</x:f>
        <x:v>0.12045392340278087</x:v>
      </x:c>
      <x:c r="Q208" s="41" t="str">
        <x:f>IF(L208&gt;=MAX(H208,P208),"Weekly",IF(H208&gt;=MAX(L208,P208),"No weekly","SPY"))</x:f>
        <x:v>Weekly</x:v>
      </x:c>
      <x:c r="R208" s="41" t="n">
        <x:f>IFERROR(L208-P208,"")</x:f>
        <x:v>0.34325405369739176</x:v>
      </x:c>
      <x:c r="S208" s="41" t="n">
        <x:f>IFERROR(H208-P208,"")</x:f>
        <x:v>0.24270929420152054</x:v>
      </x:c>
      <x:c r="T208" s="41" t="n">
        <x:f>IFERROR(I208-M208,"")</x:f>
        <x:v>6.395765999999999</x:v>
      </x:c>
      <x:c r="U208" s="41" t="n">
        <x:f>IFERROR(E208-M208,"")</x:f>
        <x:v>5.510701</x:v>
      </x:c>
      <x:c r="V208" s="41" t="str">
        <x:f>IF(AND(I208&gt;M208,J208&gt;N208),"Sí","No")</x:f>
        <x:v>Sí</x:v>
      </x:c>
      <x:c r="W208" s="41" t="str">
        <x:f>IF(AND(E208&gt;M208,F208&gt;N208),"Sí","No")</x:f>
        <x:v>Sí</x:v>
      </x:c>
      <x:c r="X208" s="41" t="str">
        <x:f>IF(L208&gt;=H208,"Weekly","No weekly")</x:f>
        <x:v>Weekly</x:v>
      </x:c>
      <x:c r="Y208" s="41" t="n">
        <x:f>IFERROR(I208-E208,"")</x:f>
        <x:v>0.8850649999999991</x:v>
      </x:c>
      <x:c r="Z208" s="41" t="n">
        <x:f>IFERROR(J208-F208,"")</x:f>
        <x:v>5.442951999999998</x:v>
      </x:c>
      <x:c r="AA208" s="41" t="n">
        <x:v>11241</x:v>
      </x:c>
      <x:c r="AB208" s="41" t="n">
        <x:v>5243</x:v>
      </x:c>
    </x:row>
    <x:row r="209">
      <x:c r="A209" s="41" t="str">
        <x:v>HYP_REFINE_AUTO002_TOPN_6_V1_DDGRID_EXT_R12_C24_E60_CR50_REDD_RECOVERED_DD6_SL20</x:v>
      </x:c>
      <x:c r="B209" s="41" t="str">
        <x:v>dd_guard_grid</x:v>
      </x:c>
      <x:c r="C209" s="41" t="str">
        <x:v>1999-01-04</x:v>
      </x:c>
      <x:c r="D209" s="41" t="str">
        <x:v>2026-05-22</x:v>
      </x:c>
      <x:c r="E209" s="41" t="n">
        <x:v>12.444328</x:v>
      </x:c>
      <x:c r="F209" s="41" t="n">
        <x:v>-33.985555</x:v>
      </x:c>
      <x:c r="G209" s="41" t="n">
        <x:v>2380.813943</x:v>
      </x:c>
      <x:c r="H209" s="41" t="n">
        <x:f>IFERROR(E209/ABS(F209),"")</x:f>
        <x:v>0.36616521342670444</x:v>
      </x:c>
      <x:c r="I209" s="41" t="n">
        <x:v>13.349319</x:v>
      </x:c>
      <x:c r="J209" s="41" t="n">
        <x:v>-28.462398</x:v>
      </x:c>
      <x:c r="K209" s="41" t="n">
        <x:v>2989.645797</x:v>
      </x:c>
      <x:c r="L209" s="41" t="n">
        <x:f>IFERROR(I209/ABS(J209),"")</x:f>
        <x:v>0.4690159627449521</x:v>
      </x:c>
      <x:c r="M209" s="41" t="n">
        <x:v>6.802475</x:v>
      </x:c>
      <x:c r="N209" s="41" t="n">
        <x:v>-56.473669</x:v>
      </x:c>
      <x:c r="O209" s="41" t="n">
        <x:v>506.057416</x:v>
      </x:c>
      <x:c r="P209" s="41" t="n">
        <x:f>IFERROR(M209/ABS(N209),"")</x:f>
        <x:v>0.12045392340278087</x:v>
      </x:c>
      <x:c r="Q209" s="41" t="str">
        <x:f>IF(L209&gt;=MAX(H209,P209),"Weekly",IF(H209&gt;=MAX(L209,P209),"No weekly","SPY"))</x:f>
        <x:v>Weekly</x:v>
      </x:c>
      <x:c r="R209" s="41" t="n">
        <x:f>IFERROR(L209-P209,"")</x:f>
        <x:v>0.3485620393421712</x:v>
      </x:c>
      <x:c r="S209" s="41" t="n">
        <x:f>IFERROR(H209-P209,"")</x:f>
        <x:v>0.24571129002392356</x:v>
      </x:c>
      <x:c r="T209" s="41" t="n">
        <x:f>IFERROR(I209-M209,"")</x:f>
        <x:v>6.546843999999999</x:v>
      </x:c>
      <x:c r="U209" s="41" t="n">
        <x:f>IFERROR(E209-M209,"")</x:f>
        <x:v>5.641853</x:v>
      </x:c>
      <x:c r="V209" s="41" t="str">
        <x:f>IF(AND(I209&gt;M209,J209&gt;N209),"Sí","No")</x:f>
        <x:v>Sí</x:v>
      </x:c>
      <x:c r="W209" s="41" t="str">
        <x:f>IF(AND(E209&gt;M209,F209&gt;N209),"Sí","No")</x:f>
        <x:v>Sí</x:v>
      </x:c>
      <x:c r="X209" s="41" t="str">
        <x:f>IF(L209&gt;=H209,"Weekly","No weekly")</x:f>
        <x:v>Weekly</x:v>
      </x:c>
      <x:c r="Y209" s="41" t="n">
        <x:f>IFERROR(I209-E209,"")</x:f>
        <x:v>0.904990999999999</x:v>
      </x:c>
      <x:c r="Z209" s="41" t="n">
        <x:f>IFERROR(J209-F209,"")</x:f>
        <x:v>5.523156999999998</x:v>
      </x:c>
      <x:c r="AA209" s="41" t="n">
        <x:v>12038</x:v>
      </x:c>
      <x:c r="AB209" s="41" t="n">
        <x:v>6065</x:v>
      </x:c>
    </x:row>
    <x:row r="210">
      <x:c r="A210" s="41" t="str">
        <x:v>HYP_REFINE_AUTO002_TOPN_6_V1_DDGRID_EXT_R12_C24_E60_CR50_REDD_RECOVERED_DD8_SL18</x:v>
      </x:c>
      <x:c r="B210" s="41" t="str">
        <x:v>dd_guard_grid</x:v>
      </x:c>
      <x:c r="C210" s="41" t="str">
        <x:v>1999-01-04</x:v>
      </x:c>
      <x:c r="D210" s="41" t="str">
        <x:v>2026-05-22</x:v>
      </x:c>
      <x:c r="E210" s="41" t="n">
        <x:v>11.687656</x:v>
      </x:c>
      <x:c r="F210" s="41" t="n">
        <x:v>-33.050145</x:v>
      </x:c>
      <x:c r="G210" s="41" t="n">
        <x:v>1962.102011</x:v>
      </x:c>
      <x:c r="H210" s="41" t="n">
        <x:f>IFERROR(E210/ABS(F210),"")</x:f>
        <x:v>0.35363403095508356</x:v>
      </x:c>
      <x:c r="I210" s="41" t="n">
        <x:v>12.570707</x:v>
      </x:c>
      <x:c r="J210" s="41" t="n">
        <x:v>-28.727186</x:v>
      </x:c>
      <x:c r="K210" s="41" t="n">
        <x:v>2458.294701</x:v>
      </x:c>
      <x:c r="L210" s="41" t="n">
        <x:f>IFERROR(I210/ABS(J210),"")</x:f>
        <x:v>0.43758922297505926</x:v>
      </x:c>
      <x:c r="M210" s="41" t="n">
        <x:v>6.802475</x:v>
      </x:c>
      <x:c r="N210" s="41" t="n">
        <x:v>-56.473669</x:v>
      </x:c>
      <x:c r="O210" s="41" t="n">
        <x:v>506.057416</x:v>
      </x:c>
      <x:c r="P210" s="41" t="n">
        <x:f>IFERROR(M210/ABS(N210),"")</x:f>
        <x:v>0.12045392340278087</x:v>
      </x:c>
      <x:c r="Q210" s="41" t="str">
        <x:f>IF(L210&gt;=MAX(H210,P210),"Weekly",IF(H210&gt;=MAX(L210,P210),"No weekly","SPY"))</x:f>
        <x:v>Weekly</x:v>
      </x:c>
      <x:c r="R210" s="41" t="n">
        <x:f>IFERROR(L210-P210,"")</x:f>
        <x:v>0.3171352995722784</x:v>
      </x:c>
      <x:c r="S210" s="41" t="n">
        <x:f>IFERROR(H210-P210,"")</x:f>
        <x:v>0.23318010755230267</x:v>
      </x:c>
      <x:c r="T210" s="41" t="n">
        <x:f>IFERROR(I210-M210,"")</x:f>
        <x:v>5.768232</x:v>
      </x:c>
      <x:c r="U210" s="41" t="n">
        <x:f>IFERROR(E210-M210,"")</x:f>
        <x:v>4.885181</x:v>
      </x:c>
      <x:c r="V210" s="41" t="str">
        <x:f>IF(AND(I210&gt;M210,J210&gt;N210),"Sí","No")</x:f>
        <x:v>Sí</x:v>
      </x:c>
      <x:c r="W210" s="41" t="str">
        <x:f>IF(AND(E210&gt;M210,F210&gt;N210),"Sí","No")</x:f>
        <x:v>Sí</x:v>
      </x:c>
      <x:c r="X210" s="41" t="str">
        <x:f>IF(L210&gt;=H210,"Weekly","No weekly")</x:f>
        <x:v>Weekly</x:v>
      </x:c>
      <x:c r="Y210" s="41" t="n">
        <x:f>IFERROR(I210-E210,"")</x:f>
        <x:v>0.883051</x:v>
      </x:c>
      <x:c r="Z210" s="41" t="n">
        <x:f>IFERROR(J210-F210,"")</x:f>
        <x:v>4.322959000000001</x:v>
      </x:c>
      <x:c r="AA210" s="41" t="n">
        <x:v>11496</x:v>
      </x:c>
      <x:c r="AB210" s="41" t="n">
        <x:v>5800</x:v>
      </x:c>
    </x:row>
    <x:row r="211">
      <x:c r="A211" s="41" t="str">
        <x:v>HYP_REFINE_AUTO002_TOPN_6_V1_DDGRID_EXT_R12_C24_E60_CR50_REDD_RECOVERED_DD8_SL20</x:v>
      </x:c>
      <x:c r="B211" s="41" t="str">
        <x:v>dd_guard_grid</x:v>
      </x:c>
      <x:c r="C211" s="41" t="str">
        <x:v>1999-01-04</x:v>
      </x:c>
      <x:c r="D211" s="41" t="str">
        <x:v>2026-05-22</x:v>
      </x:c>
      <x:c r="E211" s="41" t="n">
        <x:v>11.814531</x:v>
      </x:c>
      <x:c r="F211" s="41" t="n">
        <x:v>-33.670382</x:v>
      </x:c>
      <x:c r="G211" s="41" t="n">
        <x:v>2027.206191</x:v>
      </x:c>
      <x:c r="H211" s="41" t="n">
        <x:f>IFERROR(E211/ABS(F211),"")</x:f>
        <x:v>0.3508879406238991</x:v>
      </x:c>
      <x:c r="I211" s="41" t="n">
        <x:v>13.72148</x:v>
      </x:c>
      <x:c r="J211" s="41" t="n">
        <x:v>-28.462398</x:v>
      </x:c>
      <x:c r="K211" s="41" t="n">
        <x:v>3279.748393</x:v>
      </x:c>
      <x:c r="L211" s="41" t="n">
        <x:f>IFERROR(I211/ABS(J211),"")</x:f>
        <x:v>0.48209149489090836</x:v>
      </x:c>
      <x:c r="M211" s="41" t="n">
        <x:v>6.802475</x:v>
      </x:c>
      <x:c r="N211" s="41" t="n">
        <x:v>-56.473669</x:v>
      </x:c>
      <x:c r="O211" s="41" t="n">
        <x:v>506.057416</x:v>
      </x:c>
      <x:c r="P211" s="41" t="n">
        <x:f>IFERROR(M211/ABS(N211),"")</x:f>
        <x:v>0.12045392340278087</x:v>
      </x:c>
      <x:c r="Q211" s="41" t="str">
        <x:f>IF(L211&gt;=MAX(H211,P211),"Weekly",IF(H211&gt;=MAX(L211,P211),"No weekly","SPY"))</x:f>
        <x:v>Weekly</x:v>
      </x:c>
      <x:c r="R211" s="41" t="n">
        <x:f>IFERROR(L211-P211,"")</x:f>
        <x:v>0.3616375714881275</x:v>
      </x:c>
      <x:c r="S211" s="41" t="n">
        <x:f>IFERROR(H211-P211,"")</x:f>
        <x:v>0.23043401722111823</x:v>
      </x:c>
      <x:c r="T211" s="41" t="n">
        <x:f>IFERROR(I211-M211,"")</x:f>
        <x:v>6.919004999999999</x:v>
      </x:c>
      <x:c r="U211" s="41" t="n">
        <x:f>IFERROR(E211-M211,"")</x:f>
        <x:v>5.012056</x:v>
      </x:c>
      <x:c r="V211" s="41" t="str">
        <x:f>IF(AND(I211&gt;M211,J211&gt;N211),"Sí","No")</x:f>
        <x:v>Sí</x:v>
      </x:c>
      <x:c r="W211" s="41" t="str">
        <x:f>IF(AND(E211&gt;M211,F211&gt;N211),"Sí","No")</x:f>
        <x:v>Sí</x:v>
      </x:c>
      <x:c r="X211" s="41" t="str">
        <x:f>IF(L211&gt;=H211,"Weekly","No weekly")</x:f>
        <x:v>Weekly</x:v>
      </x:c>
      <x:c r="Y211" s="41" t="n">
        <x:f>IFERROR(I211-E211,"")</x:f>
        <x:v>1.9069489999999991</x:v>
      </x:c>
      <x:c r="Z211" s="41" t="n">
        <x:f>IFERROR(J211-F211,"")</x:f>
        <x:v>5.207983999999996</x:v>
      </x:c>
      <x:c r="AA211" s="41" t="n">
        <x:v>11462</x:v>
      </x:c>
      <x:c r="AB211" s="41" t="n">
        <x:v>5797</x:v>
      </x:c>
    </x:row>
    <x:row r="212">
      <x:c r="A212" s="41" t="str">
        <x:v>HYP_REFINE_AUTO002_TOPN_6_V1_DDGRID_EXT_R12_C24_E60_CR50_REDD_RECOVERED_DD8_SL22</x:v>
      </x:c>
      <x:c r="B212" s="41" t="str">
        <x:v>dd_guard_grid</x:v>
      </x:c>
      <x:c r="C212" s="41" t="str">
        <x:v>1999-01-04</x:v>
      </x:c>
      <x:c r="D212" s="41" t="str">
        <x:v>2026-05-22</x:v>
      </x:c>
      <x:c r="E212" s="41" t="n">
        <x:v>12.482628</x:v>
      </x:c>
      <x:c r="F212" s="41" t="n">
        <x:v>-34.385957</x:v>
      </x:c>
      <x:c r="G212" s="41" t="n">
        <x:v>2404.052803</x:v>
      </x:c>
      <x:c r="H212" s="41" t="n">
        <x:f>IFERROR(E212/ABS(F212),"")</x:f>
        <x:v>0.3630152855713744</x:v>
      </x:c>
      <x:c r="I212" s="41" t="n">
        <x:v>13.625363</x:v>
      </x:c>
      <x:c r="J212" s="41" t="n">
        <x:v>-28.308243</x:v>
      </x:c>
      <x:c r="K212" s="41" t="n">
        <x:v>3202.405814</x:v>
      </x:c>
      <x:c r="L212" s="41" t="n">
        <x:f>IFERROR(I212/ABS(J212),"")</x:f>
        <x:v>0.48132139461993456</x:v>
      </x:c>
      <x:c r="M212" s="41" t="n">
        <x:v>6.802475</x:v>
      </x:c>
      <x:c r="N212" s="41" t="n">
        <x:v>-56.473669</x:v>
      </x:c>
      <x:c r="O212" s="41" t="n">
        <x:v>506.057416</x:v>
      </x:c>
      <x:c r="P212" s="41" t="n">
        <x:f>IFERROR(M212/ABS(N212),"")</x:f>
        <x:v>0.12045392340278087</x:v>
      </x:c>
      <x:c r="Q212" s="41" t="str">
        <x:f>IF(L212&gt;=MAX(H212,P212),"Weekly",IF(H212&gt;=MAX(L212,P212),"No weekly","SPY"))</x:f>
        <x:v>Weekly</x:v>
      </x:c>
      <x:c r="R212" s="41" t="n">
        <x:f>IFERROR(L212-P212,"")</x:f>
        <x:v>0.3608674712171537</x:v>
      </x:c>
      <x:c r="S212" s="41" t="n">
        <x:f>IFERROR(H212-P212,"")</x:f>
        <x:v>0.24256136216859353</x:v>
      </x:c>
      <x:c r="T212" s="41" t="n">
        <x:f>IFERROR(I212-M212,"")</x:f>
        <x:v>6.822888</x:v>
      </x:c>
      <x:c r="U212" s="41" t="n">
        <x:f>IFERROR(E212-M212,"")</x:f>
        <x:v>5.680153</x:v>
      </x:c>
      <x:c r="V212" s="41" t="str">
        <x:f>IF(AND(I212&gt;M212,J212&gt;N212),"Sí","No")</x:f>
        <x:v>Sí</x:v>
      </x:c>
      <x:c r="W212" s="41" t="str">
        <x:f>IF(AND(E212&gt;M212,F212&gt;N212),"Sí","No")</x:f>
        <x:v>Sí</x:v>
      </x:c>
      <x:c r="X212" s="41" t="str">
        <x:f>IF(L212&gt;=H212,"Weekly","No weekly")</x:f>
        <x:v>Weekly</x:v>
      </x:c>
      <x:c r="Y212" s="41" t="n">
        <x:f>IFERROR(I212-E212,"")</x:f>
        <x:v>1.142735</x:v>
      </x:c>
      <x:c r="Z212" s="41" t="n">
        <x:f>IFERROR(J212-F212,"")</x:f>
        <x:v>6.077713999999997</x:v>
      </x:c>
      <x:c r="AA212" s="41" t="n">
        <x:v>11564</x:v>
      </x:c>
      <x:c r="AB212" s="41" t="n">
        <x:v>5744</x:v>
      </x:c>
    </x:row>
    <x:row r="213">
      <x:c r="A213" s="41" t="str">
        <x:v>HYP_REFINE_AUTO002_TOPN_6_V1_DDGRID_EXT_R12_C24_E66_CR33_REDD_RECOVERED_DD8_SL20</x:v>
      </x:c>
      <x:c r="B213" s="41" t="str">
        <x:v>dd_guard_grid</x:v>
      </x:c>
      <x:c r="C213" s="41" t="str">
        <x:v>1999-01-04</x:v>
      </x:c>
      <x:c r="D213" s="41" t="str">
        <x:v>2026-05-22</x:v>
      </x:c>
      <x:c r="E213" s="41" t="n">
        <x:v>13.218454</x:v>
      </x:c>
      <x:c r="F213" s="41" t="n">
        <x:v>-32.021934</x:v>
      </x:c>
      <x:c r="G213" s="41" t="n">
        <x:v>2893.457401</x:v>
      </x:c>
      <x:c r="H213" s="41" t="n">
        <x:f>IFERROR(E213/ABS(F213),"")</x:f>
        <x:v>0.4127937431886531</x:v>
      </x:c>
      <x:c r="I213" s="41" t="n">
        <x:v>12.785668</x:v>
      </x:c>
      <x:c r="J213" s="41" t="n">
        <x:v>-28.051475</x:v>
      </x:c>
      <x:c r="K213" s="41" t="n">
        <x:v>2595.468695</x:v>
      </x:c>
      <x:c r="L213" s="41" t="n">
        <x:f>IFERROR(I213/ABS(J213),"")</x:f>
        <x:v>0.45579307326976565</x:v>
      </x:c>
      <x:c r="M213" s="41" t="n">
        <x:v>6.802475</x:v>
      </x:c>
      <x:c r="N213" s="41" t="n">
        <x:v>-56.473669</x:v>
      </x:c>
      <x:c r="O213" s="41" t="n">
        <x:v>506.057416</x:v>
      </x:c>
      <x:c r="P213" s="41" t="n">
        <x:f>IFERROR(M213/ABS(N213),"")</x:f>
        <x:v>0.12045392340278087</x:v>
      </x:c>
      <x:c r="Q213" s="41" t="str">
        <x:f>IF(L213&gt;=MAX(H213,P213),"Weekly",IF(H213&gt;=MAX(L213,P213),"No weekly","SPY"))</x:f>
        <x:v>Weekly</x:v>
      </x:c>
      <x:c r="R213" s="41" t="n">
        <x:f>IFERROR(L213-P213,"")</x:f>
        <x:v>0.33533914986698476</x:v>
      </x:c>
      <x:c r="S213" s="41" t="n">
        <x:f>IFERROR(H213-P213,"")</x:f>
        <x:v>0.2923398197858722</x:v>
      </x:c>
      <x:c r="T213" s="41" t="n">
        <x:f>IFERROR(I213-M213,"")</x:f>
        <x:v>5.983192999999999</x:v>
      </x:c>
      <x:c r="U213" s="41" t="n">
        <x:f>IFERROR(E213-M213,"")</x:f>
        <x:v>6.415978999999999</x:v>
      </x:c>
      <x:c r="V213" s="41" t="str">
        <x:f>IF(AND(I213&gt;M213,J213&gt;N213),"Sí","No")</x:f>
        <x:v>Sí</x:v>
      </x:c>
      <x:c r="W213" s="41" t="str">
        <x:f>IF(AND(E213&gt;M213,F213&gt;N213),"Sí","No")</x:f>
        <x:v>Sí</x:v>
      </x:c>
      <x:c r="X213" s="41" t="str">
        <x:f>IF(L213&gt;=H213,"Weekly","No weekly")</x:f>
        <x:v>Weekly</x:v>
      </x:c>
      <x:c r="Y213" s="41" t="n">
        <x:f>IFERROR(I213-E213,"")</x:f>
        <x:v>-0.4327860000000001</x:v>
      </x:c>
      <x:c r="Z213" s="41" t="n">
        <x:f>IFERROR(J213-F213,"")</x:f>
        <x:v>3.9704590000000017</x:v>
      </x:c>
      <x:c r="AA213" s="41" t="n">
        <x:v>11743</x:v>
      </x:c>
      <x:c r="AB213" s="41" t="n">
        <x:v>5521</x:v>
      </x:c>
    </x:row>
    <x:row r="214">
      <x:c r="A214" s="41" t="str">
        <x:v>HYP_REFINE_AUTO002_TOPN_6_V1_DDGRID_EXT_R12_C24_E66_CR40_REDD_RECOVERED_DD10_SL20</x:v>
      </x:c>
      <x:c r="B214" s="41" t="str">
        <x:v>dd_guard_grid</x:v>
      </x:c>
      <x:c r="C214" s="41" t="str">
        <x:v>1999-01-04</x:v>
      </x:c>
      <x:c r="D214" s="41" t="str">
        <x:v>2026-05-22</x:v>
      </x:c>
      <x:c r="E214" s="41" t="n">
        <x:v>13.260415</x:v>
      </x:c>
      <x:c r="F214" s="41" t="n">
        <x:v>-33.895305</x:v>
      </x:c>
      <x:c r="G214" s="41" t="n">
        <x:v>2923.980975</x:v>
      </x:c>
      <x:c r="H214" s="41" t="n">
        <x:f>IFERROR(E214/ABS(F214),"")</x:f>
        <x:v>0.3912168661706983</x:v>
      </x:c>
      <x:c r="I214" s="41" t="n">
        <x:v>13.963894</x:v>
      </x:c>
      <x:c r="J214" s="41" t="n">
        <x:v>-28.900582</x:v>
      </x:c>
      <x:c r="K214" s="41" t="n">
        <x:v>3482.642523</x:v>
      </x:c>
      <x:c r="L214" s="41" t="n">
        <x:f>IFERROR(I214/ABS(J214),"")</x:f>
        <x:v>0.4831699929087933</x:v>
      </x:c>
      <x:c r="M214" s="41" t="n">
        <x:v>6.802475</x:v>
      </x:c>
      <x:c r="N214" s="41" t="n">
        <x:v>-56.473669</x:v>
      </x:c>
      <x:c r="O214" s="41" t="n">
        <x:v>506.057416</x:v>
      </x:c>
      <x:c r="P214" s="41" t="n">
        <x:f>IFERROR(M214/ABS(N214),"")</x:f>
        <x:v>0.12045392340278087</x:v>
      </x:c>
      <x:c r="Q214" s="41" t="str">
        <x:f>IF(L214&gt;=MAX(H214,P214),"Weekly",IF(H214&gt;=MAX(L214,P214),"No weekly","SPY"))</x:f>
        <x:v>Weekly</x:v>
      </x:c>
      <x:c r="R214" s="41" t="n">
        <x:f>IFERROR(L214-P214,"")</x:f>
        <x:v>0.36271606950601243</x:v>
      </x:c>
      <x:c r="S214" s="41" t="n">
        <x:f>IFERROR(H214-P214,"")</x:f>
        <x:v>0.2707629427679174</x:v>
      </x:c>
      <x:c r="T214" s="41" t="n">
        <x:f>IFERROR(I214-M214,"")</x:f>
        <x:v>7.1614189999999995</x:v>
      </x:c>
      <x:c r="U214" s="41" t="n">
        <x:f>IFERROR(E214-M214,"")</x:f>
        <x:v>6.45794</x:v>
      </x:c>
      <x:c r="V214" s="41" t="str">
        <x:f>IF(AND(I214&gt;M214,J214&gt;N214),"Sí","No")</x:f>
        <x:v>Sí</x:v>
      </x:c>
      <x:c r="W214" s="41" t="str">
        <x:f>IF(AND(E214&gt;M214,F214&gt;N214),"Sí","No")</x:f>
        <x:v>Sí</x:v>
      </x:c>
      <x:c r="X214" s="41" t="str">
        <x:f>IF(L214&gt;=H214,"Weekly","No weekly")</x:f>
        <x:v>Weekly</x:v>
      </x:c>
      <x:c r="Y214" s="41" t="n">
        <x:f>IFERROR(I214-E214,"")</x:f>
        <x:v>0.7034789999999997</x:v>
      </x:c>
      <x:c r="Z214" s="41" t="n">
        <x:f>IFERROR(J214-F214,"")</x:f>
        <x:v>4.9947230000000005</x:v>
      </x:c>
      <x:c r="AA214" s="41" t="n">
        <x:v>11100</x:v>
      </x:c>
      <x:c r="AB214" s="41" t="n">
        <x:v>5236</x:v>
      </x:c>
    </x:row>
    <x:row r="215">
      <x:c r="A215" s="41" t="str">
        <x:v>HYP_REFINE_AUTO002_TOPN_6_V1_DDGRID_EXT_R12_C24_E66_CR40_REDD_RECOVERED_DD6_SL20</x:v>
      </x:c>
      <x:c r="B215" s="41" t="str">
        <x:v>dd_guard_grid</x:v>
      </x:c>
      <x:c r="C215" s="41" t="str">
        <x:v>1999-01-04</x:v>
      </x:c>
      <x:c r="D215" s="41" t="str">
        <x:v>2026-05-22</x:v>
      </x:c>
      <x:c r="E215" s="41" t="n">
        <x:v>13.718361</x:v>
      </x:c>
      <x:c r="F215" s="41" t="n">
        <x:v>-33.895305</x:v>
      </x:c>
      <x:c r="G215" s="41" t="n">
        <x:v>3277.212056</x:v>
      </x:c>
      <x:c r="H215" s="41" t="n">
        <x:f>IFERROR(E215/ABS(F215),"")</x:f>
        <x:v>0.4047274688928157</x:v>
      </x:c>
      <x:c r="I215" s="41" t="n">
        <x:v>14.153563</x:v>
      </x:c>
      <x:c r="J215" s="41" t="n">
        <x:v>-28.900582</x:v>
      </x:c>
      <x:c r="K215" s="41" t="n">
        <x:v>3649.522208</x:v>
      </x:c>
      <x:c r="L215" s="41" t="n">
        <x:f>IFERROR(I215/ABS(J215),"")</x:f>
        <x:v>0.4897328019207364</x:v>
      </x:c>
      <x:c r="M215" s="41" t="n">
        <x:v>6.802475</x:v>
      </x:c>
      <x:c r="N215" s="41" t="n">
        <x:v>-56.473669</x:v>
      </x:c>
      <x:c r="O215" s="41" t="n">
        <x:v>506.057416</x:v>
      </x:c>
      <x:c r="P215" s="41" t="n">
        <x:f>IFERROR(M215/ABS(N215),"")</x:f>
        <x:v>0.12045392340278087</x:v>
      </x:c>
      <x:c r="Q215" s="41" t="str">
        <x:f>IF(L215&gt;=MAX(H215,P215),"Weekly",IF(H215&gt;=MAX(L215,P215),"No weekly","SPY"))</x:f>
        <x:v>Weekly</x:v>
      </x:c>
      <x:c r="R215" s="41" t="n">
        <x:f>IFERROR(L215-P215,"")</x:f>
        <x:v>0.36927887851795554</x:v>
      </x:c>
      <x:c r="S215" s="41" t="n">
        <x:f>IFERROR(H215-P215,"")</x:f>
        <x:v>0.2842735454900348</x:v>
      </x:c>
      <x:c r="T215" s="41" t="n">
        <x:f>IFERROR(I215-M215,"")</x:f>
        <x:v>7.351088</x:v>
      </x:c>
      <x:c r="U215" s="41" t="n">
        <x:f>IFERROR(E215-M215,"")</x:f>
        <x:v>6.9158859999999995</x:v>
      </x:c>
      <x:c r="V215" s="41" t="str">
        <x:f>IF(AND(I215&gt;M215,J215&gt;N215),"Sí","No")</x:f>
        <x:v>Sí</x:v>
      </x:c>
      <x:c r="W215" s="41" t="str">
        <x:f>IF(AND(E215&gt;M215,F215&gt;N215),"Sí","No")</x:f>
        <x:v>Sí</x:v>
      </x:c>
      <x:c r="X215" s="41" t="str">
        <x:f>IF(L215&gt;=H215,"Weekly","No weekly")</x:f>
        <x:v>Weekly</x:v>
      </x:c>
      <x:c r="Y215" s="41" t="n">
        <x:f>IFERROR(I215-E215,"")</x:f>
        <x:v>0.4352020000000003</x:v>
      </x:c>
      <x:c r="Z215" s="41" t="n">
        <x:f>IFERROR(J215-F215,"")</x:f>
        <x:v>4.9947230000000005</x:v>
      </x:c>
      <x:c r="AA215" s="41" t="n">
        <x:v>11708</x:v>
      </x:c>
      <x:c r="AB215" s="41" t="n">
        <x:v>5820</x:v>
      </x:c>
    </x:row>
    <x:row r="216">
      <x:c r="A216" s="41" t="str">
        <x:v>HYP_REFINE_AUTO002_TOPN_6_V1_DDGRID_EXT_R12_C24_E66_CR40_REDD_RECOVERED_DD8_SL18</x:v>
      </x:c>
      <x:c r="B216" s="41" t="str">
        <x:v>dd_guard_grid</x:v>
      </x:c>
      <x:c r="C216" s="41" t="str">
        <x:v>1999-01-04</x:v>
      </x:c>
      <x:c r="D216" s="41" t="str">
        <x:v>2026-05-22</x:v>
      </x:c>
      <x:c r="E216" s="41" t="n">
        <x:v>13.063274</x:v>
      </x:c>
      <x:c r="F216" s="41" t="n">
        <x:v>-33.345033</x:v>
      </x:c>
      <x:c r="G216" s="41" t="n">
        <x:v>2783.133016</x:v>
      </x:c>
      <x:c r="H216" s="41" t="n">
        <x:f>IFERROR(E216/ABS(F216),"")</x:f>
        <x:v>0.391760715906324</x:v>
      </x:c>
      <x:c r="I216" s="41" t="n">
        <x:v>13.590372</x:v>
      </x:c>
      <x:c r="J216" s="41" t="n">
        <x:v>-28.568853</x:v>
      </x:c>
      <x:c r="K216" s="41" t="n">
        <x:v>3174.675878</x:v>
      </x:c>
      <x:c r="L216" s="41" t="n">
        <x:f>IFERROR(I216/ABS(J216),"")</x:f>
        <x:v>0.47570590250858164</x:v>
      </x:c>
      <x:c r="M216" s="41" t="n">
        <x:v>6.802475</x:v>
      </x:c>
      <x:c r="N216" s="41" t="n">
        <x:v>-56.473669</x:v>
      </x:c>
      <x:c r="O216" s="41" t="n">
        <x:v>506.057416</x:v>
      </x:c>
      <x:c r="P216" s="41" t="n">
        <x:f>IFERROR(M216/ABS(N216),"")</x:f>
        <x:v>0.12045392340278087</x:v>
      </x:c>
      <x:c r="Q216" s="41" t="str">
        <x:f>IF(L216&gt;=MAX(H216,P216),"Weekly",IF(H216&gt;=MAX(L216,P216),"No weekly","SPY"))</x:f>
        <x:v>Weekly</x:v>
      </x:c>
      <x:c r="R216" s="41" t="n">
        <x:f>IFERROR(L216-P216,"")</x:f>
        <x:v>0.35525197910580075</x:v>
      </x:c>
      <x:c r="S216" s="41" t="n">
        <x:f>IFERROR(H216-P216,"")</x:f>
        <x:v>0.2713067925035431</x:v>
      </x:c>
      <x:c r="T216" s="41" t="n">
        <x:f>IFERROR(I216-M216,"")</x:f>
        <x:v>6.787897</x:v>
      </x:c>
      <x:c r="U216" s="41" t="n">
        <x:f>IFERROR(E216-M216,"")</x:f>
        <x:v>6.260799</x:v>
      </x:c>
      <x:c r="V216" s="41" t="str">
        <x:f>IF(AND(I216&gt;M216,J216&gt;N216),"Sí","No")</x:f>
        <x:v>Sí</x:v>
      </x:c>
      <x:c r="W216" s="41" t="str">
        <x:f>IF(AND(E216&gt;M216,F216&gt;N216),"Sí","No")</x:f>
        <x:v>Sí</x:v>
      </x:c>
      <x:c r="X216" s="41" t="str">
        <x:f>IF(L216&gt;=H216,"Weekly","No weekly")</x:f>
        <x:v>Weekly</x:v>
      </x:c>
      <x:c r="Y216" s="41" t="n">
        <x:f>IFERROR(I216-E216,"")</x:f>
        <x:v>0.5270980000000005</x:v>
      </x:c>
      <x:c r="Z216" s="41" t="n">
        <x:f>IFERROR(J216-F216,"")</x:f>
        <x:v>4.77618</x:v>
      </x:c>
      <x:c r="AA216" s="41" t="n">
        <x:v>11690</x:v>
      </x:c>
      <x:c r="AB216" s="41" t="n">
        <x:v>5448</x:v>
      </x:c>
    </x:row>
    <x:row r="217">
      <x:c r="A217" s="41" t="str">
        <x:v>HYP_REFINE_AUTO002_TOPN_6_V1_DDGRID_EXT_R12_C24_E66_CR40_REDD_RECOVERED_DD8_SL20</x:v>
      </x:c>
      <x:c r="B217" s="41" t="str">
        <x:v>dd_guard_grid</x:v>
      </x:c>
      <x:c r="C217" s="41" t="str">
        <x:v>1999-01-04</x:v>
      </x:c>
      <x:c r="D217" s="41" t="str">
        <x:v>2026-05-22</x:v>
      </x:c>
      <x:c r="E217" s="41" t="n">
        <x:v>13.664536</x:v>
      </x:c>
      <x:c r="F217" s="41" t="n">
        <x:v>-33.895305</x:v>
      </x:c>
      <x:c r="G217" s="41" t="n">
        <x:v>3233.719277</x:v>
      </x:c>
      <x:c r="H217" s="41" t="n">
        <x:f>IFERROR(E217/ABS(F217),"")</x:f>
        <x:v>0.4031394908527892</x:v>
      </x:c>
      <x:c r="I217" s="41" t="n">
        <x:v>14.883951</x:v>
      </x:c>
      <x:c r="J217" s="41" t="n">
        <x:v>-28.900582</x:v>
      </x:c>
      <x:c r="K217" s="41" t="n">
        <x:v>4364.896767</x:v>
      </x:c>
      <x:c r="L217" s="41" t="n">
        <x:f>IFERROR(I217/ABS(J217),"")</x:f>
        <x:v>0.5150052341506479</x:v>
      </x:c>
      <x:c r="M217" s="41" t="n">
        <x:v>6.802475</x:v>
      </x:c>
      <x:c r="N217" s="41" t="n">
        <x:v>-56.473669</x:v>
      </x:c>
      <x:c r="O217" s="41" t="n">
        <x:v>506.057416</x:v>
      </x:c>
      <x:c r="P217" s="41" t="n">
        <x:f>IFERROR(M217/ABS(N217),"")</x:f>
        <x:v>0.12045392340278087</x:v>
      </x:c>
      <x:c r="Q217" s="41" t="str">
        <x:f>IF(L217&gt;=MAX(H217,P217),"Weekly",IF(H217&gt;=MAX(L217,P217),"No weekly","SPY"))</x:f>
        <x:v>Weekly</x:v>
      </x:c>
      <x:c r="R217" s="41" t="n">
        <x:f>IFERROR(L217-P217,"")</x:f>
        <x:v>0.39455131074786703</x:v>
      </x:c>
      <x:c r="S217" s="41" t="n">
        <x:f>IFERROR(H217-P217,"")</x:f>
        <x:v>0.28268556745000833</x:v>
      </x:c>
      <x:c r="T217" s="41" t="n">
        <x:f>IFERROR(I217-M217,"")</x:f>
        <x:v>8.081475999999999</x:v>
      </x:c>
      <x:c r="U217" s="41" t="n">
        <x:f>IFERROR(E217-M217,"")</x:f>
        <x:v>6.862061</x:v>
      </x:c>
      <x:c r="V217" s="41" t="str">
        <x:f>IF(AND(I217&gt;M217,J217&gt;N217),"Sí","No")</x:f>
        <x:v>Sí</x:v>
      </x:c>
      <x:c r="W217" s="41" t="str">
        <x:f>IF(AND(E217&gt;M217,F217&gt;N217),"Sí","No")</x:f>
        <x:v>Sí</x:v>
      </x:c>
      <x:c r="X217" s="41" t="str">
        <x:f>IF(L217&gt;=H217,"Weekly","No weekly")</x:f>
        <x:v>Weekly</x:v>
      </x:c>
      <x:c r="Y217" s="41" t="n">
        <x:f>IFERROR(I217-E217,"")</x:f>
        <x:v>1.2194149999999997</x:v>
      </x:c>
      <x:c r="Z217" s="41" t="n">
        <x:f>IFERROR(J217-F217,"")</x:f>
        <x:v>4.9947230000000005</x:v>
      </x:c>
      <x:c r="AA217" s="41" t="n">
        <x:v>11444</x:v>
      </x:c>
      <x:c r="AB217" s="41" t="n">
        <x:v>5518</x:v>
      </x:c>
    </x:row>
    <x:row r="218">
      <x:c r="A218" s="41" t="str">
        <x:v>HYP_REFINE_AUTO002_TOPN_6_V1_DDGRID_EXT_R12_C24_E66_CR40_REDD_RECOVERED_DD8_SL22</x:v>
      </x:c>
      <x:c r="B218" s="41" t="str">
        <x:v>dd_guard_grid</x:v>
      </x:c>
      <x:c r="C218" s="41" t="str">
        <x:v>1999-01-04</x:v>
      </x:c>
      <x:c r="D218" s="41" t="str">
        <x:v>2026-05-22</x:v>
      </x:c>
      <x:c r="E218" s="41" t="n">
        <x:v>12.969613</x:v>
      </x:c>
      <x:c r="F218" s="41" t="n">
        <x:v>-34.012853</x:v>
      </x:c>
      <x:c r="G218" s="41" t="n">
        <x:v>2718.452122</x:v>
      </x:c>
      <x:c r="H218" s="41" t="n">
        <x:f>IFERROR(E218/ABS(F218),"")</x:f>
        <x:v>0.3813150575754407</x:v>
      </x:c>
      <x:c r="I218" s="41" t="n">
        <x:v>12.654117</x:v>
      </x:c>
      <x:c r="J218" s="41" t="n">
        <x:v>-30.326496</x:v>
      </x:c>
      <x:c r="K218" s="41" t="n">
        <x:v>2510.703277</x:v>
      </x:c>
      <x:c r="L218" s="41" t="n">
        <x:f>IFERROR(I218/ABS(J218),"")</x:f>
        <x:v>0.4172627460818421</x:v>
      </x:c>
      <x:c r="M218" s="41" t="n">
        <x:v>6.802475</x:v>
      </x:c>
      <x:c r="N218" s="41" t="n">
        <x:v>-56.473669</x:v>
      </x:c>
      <x:c r="O218" s="41" t="n">
        <x:v>506.057416</x:v>
      </x:c>
      <x:c r="P218" s="41" t="n">
        <x:f>IFERROR(M218/ABS(N218),"")</x:f>
        <x:v>0.12045392340278087</x:v>
      </x:c>
      <x:c r="Q218" s="41" t="str">
        <x:f>IF(L218&gt;=MAX(H218,P218),"Weekly",IF(H218&gt;=MAX(L218,P218),"No weekly","SPY"))</x:f>
        <x:v>Weekly</x:v>
      </x:c>
      <x:c r="R218" s="41" t="n">
        <x:f>IFERROR(L218-P218,"")</x:f>
        <x:v>0.2968088226790612</x:v>
      </x:c>
      <x:c r="S218" s="41" t="n">
        <x:f>IFERROR(H218-P218,"")</x:f>
        <x:v>0.2608611341726598</x:v>
      </x:c>
      <x:c r="T218" s="41" t="n">
        <x:f>IFERROR(I218-M218,"")</x:f>
        <x:v>5.851641999999999</x:v>
      </x:c>
      <x:c r="U218" s="41" t="n">
        <x:f>IFERROR(E218-M218,"")</x:f>
        <x:v>6.1671380000000005</x:v>
      </x:c>
      <x:c r="V218" s="41" t="str">
        <x:f>IF(AND(I218&gt;M218,J218&gt;N218),"Sí","No")</x:f>
        <x:v>Sí</x:v>
      </x:c>
      <x:c r="W218" s="41" t="str">
        <x:f>IF(AND(E218&gt;M218,F218&gt;N218),"Sí","No")</x:f>
        <x:v>Sí</x:v>
      </x:c>
      <x:c r="X218" s="41" t="str">
        <x:f>IF(L218&gt;=H218,"Weekly","No weekly")</x:f>
        <x:v>Weekly</x:v>
      </x:c>
      <x:c r="Y218" s="41" t="n">
        <x:f>IFERROR(I218-E218,"")</x:f>
        <x:v>-0.31549600000000133</x:v>
      </x:c>
      <x:c r="Z218" s="41" t="n">
        <x:f>IFERROR(J218-F218,"")</x:f>
        <x:v>3.686357000000001</x:v>
      </x:c>
      <x:c r="AA218" s="41" t="n">
        <x:v>12261</x:v>
      </x:c>
      <x:c r="AB218" s="41" t="n">
        <x:v>5542</x:v>
      </x:c>
    </x:row>
    <x:row r="219">
      <x:c r="A219" s="41" t="str">
        <x:v>HYP_REFINE_AUTO002_TOPN_6_V1_DDGRID_EXT_R12_C24_E66_CR50_REDD_RECOVERED_DD10_SL18</x:v>
      </x:c>
      <x:c r="B219" s="41" t="str">
        <x:v>dd_guard_grid</x:v>
      </x:c>
      <x:c r="C219" s="41" t="str">
        <x:v>1999-01-04</x:v>
      </x:c>
      <x:c r="D219" s="41" t="str">
        <x:v>2026-05-22</x:v>
      </x:c>
      <x:c r="E219" s="41" t="n">
        <x:v>12.167904</x:v>
      </x:c>
      <x:c r="F219" s="41" t="n">
        <x:v>-33.735106</x:v>
      </x:c>
      <x:c r="G219" s="41" t="n">
        <x:v>2219.145348</x:v>
      </x:c>
      <x:c r="H219" s="41" t="n">
        <x:f>IFERROR(E219/ABS(F219),"")</x:f>
        <x:v>0.36068966257286994</x:v>
      </x:c>
      <x:c r="I219" s="41" t="n">
        <x:v>13.969365</x:v>
      </x:c>
      <x:c r="J219" s="41" t="n">
        <x:v>-29.487749</x:v>
      </x:c>
      <x:c r="K219" s="41" t="n">
        <x:v>3487.354333</x:v>
      </x:c>
      <x:c r="L219" s="41" t="n">
        <x:f>IFERROR(I219/ABS(J219),"")</x:f>
        <x:v>0.4737345329411207</x:v>
      </x:c>
      <x:c r="M219" s="41" t="n">
        <x:v>6.802475</x:v>
      </x:c>
      <x:c r="N219" s="41" t="n">
        <x:v>-56.473669</x:v>
      </x:c>
      <x:c r="O219" s="41" t="n">
        <x:v>506.057416</x:v>
      </x:c>
      <x:c r="P219" s="41" t="n">
        <x:f>IFERROR(M219/ABS(N219),"")</x:f>
        <x:v>0.12045392340278087</x:v>
      </x:c>
      <x:c r="Q219" s="41" t="str">
        <x:f>IF(L219&gt;=MAX(H219,P219),"Weekly",IF(H219&gt;=MAX(L219,P219),"No weekly","SPY"))</x:f>
        <x:v>Weekly</x:v>
      </x:c>
      <x:c r="R219" s="41" t="n">
        <x:f>IFERROR(L219-P219,"")</x:f>
        <x:v>0.35328060953833984</x:v>
      </x:c>
      <x:c r="S219" s="41" t="n">
        <x:f>IFERROR(H219-P219,"")</x:f>
        <x:v>0.24023573917008906</x:v>
      </x:c>
      <x:c r="T219" s="41" t="n">
        <x:f>IFERROR(I219-M219,"")</x:f>
        <x:v>7.1668899999999995</x:v>
      </x:c>
      <x:c r="U219" s="41" t="n">
        <x:f>IFERROR(E219-M219,"")</x:f>
        <x:v>5.365429</x:v>
      </x:c>
      <x:c r="V219" s="41" t="str">
        <x:f>IF(AND(I219&gt;M219,J219&gt;N219),"Sí","No")</x:f>
        <x:v>Sí</x:v>
      </x:c>
      <x:c r="W219" s="41" t="str">
        <x:f>IF(AND(E219&gt;M219,F219&gt;N219),"Sí","No")</x:f>
        <x:v>Sí</x:v>
      </x:c>
      <x:c r="X219" s="41" t="str">
        <x:f>IF(L219&gt;=H219,"Weekly","No weekly")</x:f>
        <x:v>Weekly</x:v>
      </x:c>
      <x:c r="Y219" s="41" t="n">
        <x:f>IFERROR(I219-E219,"")</x:f>
        <x:v>1.8014609999999998</x:v>
      </x:c>
      <x:c r="Z219" s="41" t="n">
        <x:f>IFERROR(J219-F219,"")</x:f>
        <x:v>4.247357000000001</x:v>
      </x:c>
      <x:c r="AA219" s="41" t="n">
        <x:v>10961</x:v>
      </x:c>
      <x:c r="AB219" s="41" t="n">
        <x:v>5171</x:v>
      </x:c>
    </x:row>
    <x:row r="220">
      <x:c r="A220" s="41" t="str">
        <x:v>HYP_REFINE_AUTO002_TOPN_6_V1_DDGRID_EXT_R12_C24_E66_CR50_REDD_RECOVERED_DD10_SL20</x:v>
      </x:c>
      <x:c r="B220" s="41" t="str">
        <x:v>dd_guard_grid</x:v>
      </x:c>
      <x:c r="C220" s="41" t="str">
        <x:v>1999-01-04</x:v>
      </x:c>
      <x:c r="D220" s="41" t="str">
        <x:v>2026-05-22</x:v>
      </x:c>
      <x:c r="E220" s="41" t="n">
        <x:v>13.420147</x:v>
      </x:c>
      <x:c r="F220" s="41" t="n">
        <x:v>-34.567413</x:v>
      </x:c>
      <x:c r="G220" s="41" t="n">
        <x:v>3042.94135</x:v>
      </x:c>
      <x:c r="H220" s="41" t="n">
        <x:f>IFERROR(E220/ABS(F220),"")</x:f>
        <x:v>0.388231164420664</x:v>
      </x:c>
      <x:c r="I220" s="41" t="n">
        <x:v>14.525547</x:v>
      </x:c>
      <x:c r="J220" s="41" t="n">
        <x:v>-29.082185</x:v>
      </x:c>
      <x:c r="K220" s="41" t="n">
        <x:v>3998.823134</x:v>
      </x:c>
      <x:c r="L220" s="41" t="n">
        <x:f>IFERROR(I220/ABS(J220),"")</x:f>
        <x:v>0.4994654631349054</x:v>
      </x:c>
      <x:c r="M220" s="41" t="n">
        <x:v>6.802475</x:v>
      </x:c>
      <x:c r="N220" s="41" t="n">
        <x:v>-56.473669</x:v>
      </x:c>
      <x:c r="O220" s="41" t="n">
        <x:v>506.057416</x:v>
      </x:c>
      <x:c r="P220" s="41" t="n">
        <x:f>IFERROR(M220/ABS(N220),"")</x:f>
        <x:v>0.12045392340278087</x:v>
      </x:c>
      <x:c r="Q220" s="41" t="str">
        <x:f>IF(L220&gt;=MAX(H220,P220),"Weekly",IF(H220&gt;=MAX(L220,P220),"No weekly","SPY"))</x:f>
        <x:v>Weekly</x:v>
      </x:c>
      <x:c r="R220" s="41" t="n">
        <x:f>IFERROR(L220-P220,"")</x:f>
        <x:v>0.37901153973212454</x:v>
      </x:c>
      <x:c r="S220" s="41" t="n">
        <x:f>IFERROR(H220-P220,"")</x:f>
        <x:v>0.26777724101788314</x:v>
      </x:c>
      <x:c r="T220" s="41" t="n">
        <x:f>IFERROR(I220-M220,"")</x:f>
        <x:v>7.723071999999999</x:v>
      </x:c>
      <x:c r="U220" s="41" t="n">
        <x:f>IFERROR(E220-M220,"")</x:f>
        <x:v>6.617672</x:v>
      </x:c>
      <x:c r="V220" s="41" t="str">
        <x:f>IF(AND(I220&gt;M220,J220&gt;N220),"Sí","No")</x:f>
        <x:v>Sí</x:v>
      </x:c>
      <x:c r="W220" s="41" t="str">
        <x:f>IF(AND(E220&gt;M220,F220&gt;N220),"Sí","No")</x:f>
        <x:v>Sí</x:v>
      </x:c>
      <x:c r="X220" s="41" t="str">
        <x:f>IF(L220&gt;=H220,"Weekly","No weekly")</x:f>
        <x:v>Weekly</x:v>
      </x:c>
      <x:c r="Y220" s="41" t="n">
        <x:f>IFERROR(I220-E220,"")</x:f>
        <x:v>1.1053999999999995</x:v>
      </x:c>
      <x:c r="Z220" s="41" t="n">
        <x:f>IFERROR(J220-F220,"")</x:f>
        <x:v>5.485228000000003</x:v>
      </x:c>
      <x:c r="AA220" s="41" t="n">
        <x:v>10938</x:v>
      </x:c>
      <x:c r="AB220" s="41" t="n">
        <x:v>4929</x:v>
      </x:c>
    </x:row>
    <x:row r="221">
      <x:c r="A221" s="41" t="str">
        <x:v>HYP_REFINE_AUTO002_TOPN_6_V1_DDGRID_EXT_R12_C24_E66_CR50_REDD_RECOVERED_DD10_SL22</x:v>
      </x:c>
      <x:c r="B221" s="41" t="str">
        <x:v>dd_guard_grid</x:v>
      </x:c>
      <x:c r="C221" s="41" t="str">
        <x:v>1999-01-04</x:v>
      </x:c>
      <x:c r="D221" s="41" t="str">
        <x:v>2026-05-22</x:v>
      </x:c>
      <x:c r="E221" s="41" t="n">
        <x:v>12.849363</x:v>
      </x:c>
      <x:c r="F221" s="41" t="n">
        <x:v>-35.408862</x:v>
      </x:c>
      <x:c r="G221" s="41" t="n">
        <x:v>2637.457319</x:v>
      </x:c>
      <x:c r="H221" s="41" t="n">
        <x:f>IFERROR(E221/ABS(F221),"")</x:f>
        <x:v>0.36288551154228005</x:v>
      </x:c>
      <x:c r="I221" s="41" t="n">
        <x:v>15.234803</x:v>
      </x:c>
      <x:c r="J221" s="41" t="n">
        <x:v>-29.087037</x:v>
      </x:c>
      <x:c r="K221" s="41" t="n">
        <x:v>4753.653594</x:v>
      </x:c>
      <x:c r="L221" s="41" t="n">
        <x:f>IFERROR(I221/ABS(J221),"")</x:f>
        <x:v>0.5237660680254231</x:v>
      </x:c>
      <x:c r="M221" s="41" t="n">
        <x:v>6.802475</x:v>
      </x:c>
      <x:c r="N221" s="41" t="n">
        <x:v>-56.473669</x:v>
      </x:c>
      <x:c r="O221" s="41" t="n">
        <x:v>506.057416</x:v>
      </x:c>
      <x:c r="P221" s="41" t="n">
        <x:f>IFERROR(M221/ABS(N221),"")</x:f>
        <x:v>0.12045392340278087</x:v>
      </x:c>
      <x:c r="Q221" s="41" t="str">
        <x:f>IF(L221&gt;=MAX(H221,P221),"Weekly",IF(H221&gt;=MAX(L221,P221),"No weekly","SPY"))</x:f>
        <x:v>Weekly</x:v>
      </x:c>
      <x:c r="R221" s="41" t="n">
        <x:f>IFERROR(L221-P221,"")</x:f>
        <x:v>0.40331214462264225</x:v>
      </x:c>
      <x:c r="S221" s="41" t="n">
        <x:f>IFERROR(H221-P221,"")</x:f>
        <x:v>0.24243158813949917</x:v>
      </x:c>
      <x:c r="T221" s="41" t="n">
        <x:f>IFERROR(I221-M221,"")</x:f>
        <x:v>8.432327999999998</x:v>
      </x:c>
      <x:c r="U221" s="41" t="n">
        <x:f>IFERROR(E221-M221,"")</x:f>
        <x:v>6.046888</x:v>
      </x:c>
      <x:c r="V221" s="41" t="str">
        <x:f>IF(AND(I221&gt;M221,J221&gt;N221),"Sí","No")</x:f>
        <x:v>Sí</x:v>
      </x:c>
      <x:c r="W221" s="41" t="str">
        <x:f>IF(AND(E221&gt;M221,F221&gt;N221),"Sí","No")</x:f>
        <x:v>Sí</x:v>
      </x:c>
      <x:c r="X221" s="41" t="str">
        <x:f>IF(L221&gt;=H221,"Weekly","No weekly")</x:f>
        <x:v>Weekly</x:v>
      </x:c>
      <x:c r="Y221" s="41" t="n">
        <x:f>IFERROR(I221-E221,"")</x:f>
        <x:v>2.385439999999999</x:v>
      </x:c>
      <x:c r="Z221" s="41" t="n">
        <x:f>IFERROR(J221-F221,"")</x:f>
        <x:v>6.3218250000000005</x:v>
      </x:c>
      <x:c r="AA221" s="41" t="n">
        <x:v>11007</x:v>
      </x:c>
      <x:c r="AB221" s="41" t="n">
        <x:v>5175</x:v>
      </x:c>
    </x:row>
    <x:row r="222">
      <x:c r="A222" s="41" t="str">
        <x:v>HYP_REFINE_AUTO002_TOPN_6_V1_DDGRID_EXT_R12_C24_E66_CR50_REDD_RECOVERED_DD12_SL20</x:v>
      </x:c>
      <x:c r="B222" s="41" t="str">
        <x:v>dd_guard_grid</x:v>
      </x:c>
      <x:c r="C222" s="41" t="str">
        <x:v>1999-01-04</x:v>
      </x:c>
      <x:c r="D222" s="41" t="str">
        <x:v>2026-05-22</x:v>
      </x:c>
      <x:c r="E222" s="41" t="n">
        <x:v>13.562678</x:v>
      </x:c>
      <x:c r="F222" s="41" t="n">
        <x:v>-34.567413</x:v>
      </x:c>
      <x:c r="G222" s="41" t="n">
        <x:v>3152.887383</x:v>
      </x:c>
      <x:c r="H222" s="41" t="n">
        <x:f>IFERROR(E222/ABS(F222),"")</x:f>
        <x:v>0.3923544408718118</x:v>
      </x:c>
      <x:c r="I222" s="41" t="n">
        <x:v>13.706298</x:v>
      </x:c>
      <x:c r="J222" s="41" t="n">
        <x:v>-29.082185</x:v>
      </x:c>
      <x:c r="K222" s="41" t="n">
        <x:v>3267.416919</x:v>
      </x:c>
      <x:c r="L222" s="41" t="n">
        <x:f>IFERROR(I222/ABS(J222),"")</x:f>
        <x:v>0.47129533080131364</x:v>
      </x:c>
      <x:c r="M222" s="41" t="n">
        <x:v>6.802475</x:v>
      </x:c>
      <x:c r="N222" s="41" t="n">
        <x:v>-56.473669</x:v>
      </x:c>
      <x:c r="O222" s="41" t="n">
        <x:v>506.057416</x:v>
      </x:c>
      <x:c r="P222" s="41" t="n">
        <x:f>IFERROR(M222/ABS(N222),"")</x:f>
        <x:v>0.12045392340278087</x:v>
      </x:c>
      <x:c r="Q222" s="41" t="str">
        <x:f>IF(L222&gt;=MAX(H222,P222),"Weekly",IF(H222&gt;=MAX(L222,P222),"No weekly","SPY"))</x:f>
        <x:v>Weekly</x:v>
      </x:c>
      <x:c r="R222" s="41" t="n">
        <x:f>IFERROR(L222-P222,"")</x:f>
        <x:v>0.35084140739853276</x:v>
      </x:c>
      <x:c r="S222" s="41" t="n">
        <x:f>IFERROR(H222-P222,"")</x:f>
        <x:v>0.27190051746903093</x:v>
      </x:c>
      <x:c r="T222" s="41" t="n">
        <x:f>IFERROR(I222-M222,"")</x:f>
        <x:v>6.903823</x:v>
      </x:c>
      <x:c r="U222" s="41" t="n">
        <x:f>IFERROR(E222-M222,"")</x:f>
        <x:v>6.760203</x:v>
      </x:c>
      <x:c r="V222" s="41" t="str">
        <x:f>IF(AND(I222&gt;M222,J222&gt;N222),"Sí","No")</x:f>
        <x:v>Sí</x:v>
      </x:c>
      <x:c r="W222" s="41" t="str">
        <x:f>IF(AND(E222&gt;M222,F222&gt;N222),"Sí","No")</x:f>
        <x:v>Sí</x:v>
      </x:c>
      <x:c r="X222" s="41" t="str">
        <x:f>IF(L222&gt;=H222,"Weekly","No weekly")</x:f>
        <x:v>Weekly</x:v>
      </x:c>
      <x:c r="Y222" s="41" t="n">
        <x:f>IFERROR(I222-E222,"")</x:f>
        <x:v>0.1436200000000003</x:v>
      </x:c>
      <x:c r="Z222" s="41" t="n">
        <x:f>IFERROR(J222-F222,"")</x:f>
        <x:v>5.485228000000003</x:v>
      </x:c>
      <x:c r="AA222" s="41" t="n">
        <x:v>10498</x:v>
      </x:c>
      <x:c r="AB222" s="41" t="n">
        <x:v>4575</x:v>
      </x:c>
    </x:row>
    <x:row r="223">
      <x:c r="A223" s="41" t="str">
        <x:v>HYP_REFINE_AUTO002_TOPN_6_V1_DDGRID_EXT_R12_C24_E66_CR50_REDD_RECOVERED_DD6_SL18</x:v>
      </x:c>
      <x:c r="B223" s="41" t="str">
        <x:v>dd_guard_grid</x:v>
      </x:c>
      <x:c r="C223" s="41" t="str">
        <x:v>1999-01-04</x:v>
      </x:c>
      <x:c r="D223" s="41" t="str">
        <x:v>2026-05-22</x:v>
      </x:c>
      <x:c r="E223" s="41" t="n">
        <x:v>13.376636</x:v>
      </x:c>
      <x:c r="F223" s="41" t="n">
        <x:v>-33.582542</x:v>
      </x:c>
      <x:c r="G223" s="41" t="n">
        <x:v>3010.096446</x:v>
      </x:c>
      <x:c r="H223" s="41" t="n">
        <x:f>IFERROR(E223/ABS(F223),"")</x:f>
        <x:v>0.3983211276859268</x:v>
      </x:c>
      <x:c r="I223" s="41" t="n">
        <x:v>13.514152</x:v>
      </x:c>
      <x:c r="J223" s="41" t="n">
        <x:v>-29.487749</x:v>
      </x:c>
      <x:c r="K223" s="41" t="n">
        <x:v>3115.04505</x:v>
      </x:c>
      <x:c r="L223" s="41" t="n">
        <x:f>IFERROR(I223/ABS(J223),"")</x:f>
        <x:v>0.45829717283608185</x:v>
      </x:c>
      <x:c r="M223" s="41" t="n">
        <x:v>6.802475</x:v>
      </x:c>
      <x:c r="N223" s="41" t="n">
        <x:v>-56.473669</x:v>
      </x:c>
      <x:c r="O223" s="41" t="n">
        <x:v>506.057416</x:v>
      </x:c>
      <x:c r="P223" s="41" t="n">
        <x:f>IFERROR(M223/ABS(N223),"")</x:f>
        <x:v>0.12045392340278087</x:v>
      </x:c>
      <x:c r="Q223" s="41" t="str">
        <x:f>IF(L223&gt;=MAX(H223,P223),"Weekly",IF(H223&gt;=MAX(L223,P223),"No weekly","SPY"))</x:f>
        <x:v>Weekly</x:v>
      </x:c>
      <x:c r="R223" s="41" t="n">
        <x:f>IFERROR(L223-P223,"")</x:f>
        <x:v>0.33784324943330096</x:v>
      </x:c>
      <x:c r="S223" s="41" t="n">
        <x:f>IFERROR(H223-P223,"")</x:f>
        <x:v>0.27786720428314593</x:v>
      </x:c>
      <x:c r="T223" s="41" t="n">
        <x:f>IFERROR(I223-M223,"")</x:f>
        <x:v>6.711676999999999</x:v>
      </x:c>
      <x:c r="U223" s="41" t="n">
        <x:f>IFERROR(E223-M223,"")</x:f>
        <x:v>6.574160999999999</x:v>
      </x:c>
      <x:c r="V223" s="41" t="str">
        <x:f>IF(AND(I223&gt;M223,J223&gt;N223),"Sí","No")</x:f>
        <x:v>Sí</x:v>
      </x:c>
      <x:c r="W223" s="41" t="str">
        <x:f>IF(AND(E223&gt;M223,F223&gt;N223),"Sí","No")</x:f>
        <x:v>Sí</x:v>
      </x:c>
      <x:c r="X223" s="41" t="str">
        <x:f>IF(L223&gt;=H223,"Weekly","No weekly")</x:f>
        <x:v>Weekly</x:v>
      </x:c>
      <x:c r="Y223" s="41" t="n">
        <x:f>IFERROR(I223-E223,"")</x:f>
        <x:v>0.13751599999999975</x:v>
      </x:c>
      <x:c r="Z223" s="41" t="n">
        <x:f>IFERROR(J223-F223,"")</x:f>
        <x:v>4.094792999999996</x:v>
      </x:c>
      <x:c r="AA223" s="41" t="n">
        <x:v>11238</x:v>
      </x:c>
      <x:c r="AB223" s="41" t="n">
        <x:v>5761</x:v>
      </x:c>
    </x:row>
    <x:row r="224">
      <x:c r="A224" s="41" t="str">
        <x:v>HYP_REFINE_AUTO002_TOPN_6_V1_DDGRID_EXT_R12_C24_E66_CR50_REDD_RECOVERED_DD6_SL20</x:v>
      </x:c>
      <x:c r="B224" s="41" t="str">
        <x:v>dd_guard_grid</x:v>
      </x:c>
      <x:c r="C224" s="41" t="str">
        <x:v>1999-01-04</x:v>
      </x:c>
      <x:c r="D224" s="41" t="str">
        <x:v>2026-05-22</x:v>
      </x:c>
      <x:c r="E224" s="41" t="n">
        <x:v>13.679667</x:v>
      </x:c>
      <x:c r="F224" s="41" t="n">
        <x:v>-34.567413</x:v>
      </x:c>
      <x:c r="G224" s="41" t="n">
        <x:v>3245.891072</x:v>
      </x:c>
      <x:c r="H224" s="41" t="n">
        <x:f>IFERROR(E224/ABS(F224),"")</x:f>
        <x:v>0.39573881331530364</x:v>
      </x:c>
      <x:c r="I224" s="41" t="n">
        <x:v>14.480499</x:v>
      </x:c>
      <x:c r="J224" s="41" t="n">
        <x:v>-29.082185</x:v>
      </x:c>
      <x:c r="K224" s="41" t="n">
        <x:v>3954.910331</x:v>
      </x:c>
      <x:c r="L224" s="41" t="n">
        <x:f>IFERROR(I224/ABS(J224),"")</x:f>
        <x:v>0.49791647360746794</x:v>
      </x:c>
      <x:c r="M224" s="41" t="n">
        <x:v>6.802475</x:v>
      </x:c>
      <x:c r="N224" s="41" t="n">
        <x:v>-56.473669</x:v>
      </x:c>
      <x:c r="O224" s="41" t="n">
        <x:v>506.057416</x:v>
      </x:c>
      <x:c r="P224" s="41" t="n">
        <x:f>IFERROR(M224/ABS(N224),"")</x:f>
        <x:v>0.12045392340278087</x:v>
      </x:c>
      <x:c r="Q224" s="41" t="str">
        <x:f>IF(L224&gt;=MAX(H224,P224),"Weekly",IF(H224&gt;=MAX(L224,P224),"No weekly","SPY"))</x:f>
        <x:v>Weekly</x:v>
      </x:c>
      <x:c r="R224" s="41" t="n">
        <x:f>IFERROR(L224-P224,"")</x:f>
        <x:v>0.37746255020468705</x:v>
      </x:c>
      <x:c r="S224" s="41" t="n">
        <x:f>IFERROR(H224-P224,"")</x:f>
        <x:v>0.27528488991252276</x:v>
      </x:c>
      <x:c r="T224" s="41" t="n">
        <x:f>IFERROR(I224-M224,"")</x:f>
        <x:v>7.678024</x:v>
      </x:c>
      <x:c r="U224" s="41" t="n">
        <x:f>IFERROR(E224-M224,"")</x:f>
        <x:v>6.877192</x:v>
      </x:c>
      <x:c r="V224" s="41" t="str">
        <x:f>IF(AND(I224&gt;M224,J224&gt;N224),"Sí","No")</x:f>
        <x:v>Sí</x:v>
      </x:c>
      <x:c r="W224" s="41" t="str">
        <x:f>IF(AND(E224&gt;M224,F224&gt;N224),"Sí","No")</x:f>
        <x:v>Sí</x:v>
      </x:c>
      <x:c r="X224" s="41" t="str">
        <x:f>IF(L224&gt;=H224,"Weekly","No weekly")</x:f>
        <x:v>Weekly</x:v>
      </x:c>
      <x:c r="Y224" s="41" t="n">
        <x:f>IFERROR(I224-E224,"")</x:f>
        <x:v>0.8008319999999998</x:v>
      </x:c>
      <x:c r="Z224" s="41" t="n">
        <x:f>IFERROR(J224-F224,"")</x:f>
        <x:v>5.485228000000003</x:v>
      </x:c>
      <x:c r="AA224" s="41" t="n">
        <x:v>11640</x:v>
      </x:c>
      <x:c r="AB224" s="41" t="n">
        <x:v>5633</x:v>
      </x:c>
    </x:row>
    <x:row r="225">
      <x:c r="A225" s="41" t="str">
        <x:v>HYP_REFINE_AUTO002_TOPN_6_V1_DDGRID_EXT_R12_C24_E66_CR50_REDD_RECOVERED_DD6_SL22</x:v>
      </x:c>
      <x:c r="B225" s="41" t="str">
        <x:v>dd_guard_grid</x:v>
      </x:c>
      <x:c r="C225" s="41" t="str">
        <x:v>1999-01-04</x:v>
      </x:c>
      <x:c r="D225" s="41" t="str">
        <x:v>2026-05-22</x:v>
      </x:c>
      <x:c r="E225" s="41" t="n">
        <x:v>12.977032</x:v>
      </x:c>
      <x:c r="F225" s="41" t="n">
        <x:v>-35.360977</x:v>
      </x:c>
      <x:c r="G225" s="41" t="n">
        <x:v>2723.524183</x:v>
      </x:c>
      <x:c r="H225" s="41" t="n">
        <x:f>IFERROR(E225/ABS(F225),"")</x:f>
        <x:v>0.3669873714179334</x:v>
      </x:c>
      <x:c r="I225" s="41" t="n">
        <x:v>13.864878</x:v>
      </x:c>
      <x:c r="J225" s="41" t="n">
        <x:v>-29.087037</x:v>
      </x:c>
      <x:c r="K225" s="41" t="n">
        <x:v>3398.389966</x:v>
      </x:c>
      <x:c r="L225" s="41" t="n">
        <x:f>IFERROR(I225/ABS(J225),"")</x:f>
        <x:v>0.4766686273338876</x:v>
      </x:c>
      <x:c r="M225" s="41" t="n">
        <x:v>6.802475</x:v>
      </x:c>
      <x:c r="N225" s="41" t="n">
        <x:v>-56.473669</x:v>
      </x:c>
      <x:c r="O225" s="41" t="n">
        <x:v>506.057416</x:v>
      </x:c>
      <x:c r="P225" s="41" t="n">
        <x:f>IFERROR(M225/ABS(N225),"")</x:f>
        <x:v>0.12045392340278087</x:v>
      </x:c>
      <x:c r="Q225" s="41" t="str">
        <x:f>IF(L225&gt;=MAX(H225,P225),"Weekly",IF(H225&gt;=MAX(L225,P225),"No weekly","SPY"))</x:f>
        <x:v>Weekly</x:v>
      </x:c>
      <x:c r="R225" s="41" t="n">
        <x:f>IFERROR(L225-P225,"")</x:f>
        <x:v>0.3562147039311067</x:v>
      </x:c>
      <x:c r="S225" s="41" t="n">
        <x:f>IFERROR(H225-P225,"")</x:f>
        <x:v>0.24653344801515253</x:v>
      </x:c>
      <x:c r="T225" s="41" t="n">
        <x:f>IFERROR(I225-M225,"")</x:f>
        <x:v>7.062402999999999</x:v>
      </x:c>
      <x:c r="U225" s="41" t="n">
        <x:f>IFERROR(E225-M225,"")</x:f>
        <x:v>6.174556999999999</x:v>
      </x:c>
      <x:c r="V225" s="41" t="str">
        <x:f>IF(AND(I225&gt;M225,J225&gt;N225),"Sí","No")</x:f>
        <x:v>Sí</x:v>
      </x:c>
      <x:c r="W225" s="41" t="str">
        <x:f>IF(AND(E225&gt;M225,F225&gt;N225),"Sí","No")</x:f>
        <x:v>Sí</x:v>
      </x:c>
      <x:c r="X225" s="41" t="str">
        <x:f>IF(L225&gt;=H225,"Weekly","No weekly")</x:f>
        <x:v>Weekly</x:v>
      </x:c>
      <x:c r="Y225" s="41" t="n">
        <x:f>IFERROR(I225-E225,"")</x:f>
        <x:v>0.8878459999999997</x:v>
      </x:c>
      <x:c r="Z225" s="41" t="n">
        <x:f>IFERROR(J225-F225,"")</x:f>
        <x:v>6.27394</x:v>
      </x:c>
      <x:c r="AA225" s="41" t="n">
        <x:v>11928</x:v>
      </x:c>
      <x:c r="AB225" s="41" t="n">
        <x:v>5861</x:v>
      </x:c>
    </x:row>
    <x:row r="226">
      <x:c r="A226" s="41" t="str">
        <x:v>HYP_REFINE_AUTO002_TOPN_6_V1_DDGRID_EXT_R12_C24_E66_CR50_REDD_RECOVERED_DD8_SL18</x:v>
      </x:c>
      <x:c r="B226" s="41" t="str">
        <x:v>dd_guard_grid</x:v>
      </x:c>
      <x:c r="C226" s="41" t="str">
        <x:v>1999-01-04</x:v>
      </x:c>
      <x:c r="D226" s="41" t="str">
        <x:v>2026-05-22</x:v>
      </x:c>
      <x:c r="E226" s="41" t="n">
        <x:v>13.205392</x:v>
      </x:c>
      <x:c r="F226" s="41" t="n">
        <x:v>-33.749997</x:v>
      </x:c>
      <x:c r="G226" s="41" t="n">
        <x:v>2884.016375</x:v>
      </x:c>
      <x:c r="H226" s="41" t="n">
        <x:f>IFERROR(E226/ABS(F226),"")</x:f>
        <x:v>0.3912709088537104</x:v>
      </x:c>
      <x:c r="I226" s="41" t="n">
        <x:v>13.880854</x:v>
      </x:c>
      <x:c r="J226" s="41" t="n">
        <x:v>-29.487749</x:v>
      </x:c>
      <x:c r="K226" s="41" t="n">
        <x:v>3411.853285</x:v>
      </x:c>
      <x:c r="L226" s="41" t="n">
        <x:f>IFERROR(I226/ABS(J226),"")</x:f>
        <x:v>0.4707329135228328</x:v>
      </x:c>
      <x:c r="M226" s="41" t="n">
        <x:v>6.802475</x:v>
      </x:c>
      <x:c r="N226" s="41" t="n">
        <x:v>-56.473669</x:v>
      </x:c>
      <x:c r="O226" s="41" t="n">
        <x:v>506.057416</x:v>
      </x:c>
      <x:c r="P226" s="41" t="n">
        <x:f>IFERROR(M226/ABS(N226),"")</x:f>
        <x:v>0.12045392340278087</x:v>
      </x:c>
      <x:c r="Q226" s="41" t="str">
        <x:f>IF(L226&gt;=MAX(H226,P226),"Weekly",IF(H226&gt;=MAX(L226,P226),"No weekly","SPY"))</x:f>
        <x:v>Weekly</x:v>
      </x:c>
      <x:c r="R226" s="41" t="n">
        <x:f>IFERROR(L226-P226,"")</x:f>
        <x:v>0.3502789901200519</x:v>
      </x:c>
      <x:c r="S226" s="41" t="n">
        <x:f>IFERROR(H226-P226,"")</x:f>
        <x:v>0.2708169854509295</x:v>
      </x:c>
      <x:c r="T226" s="41" t="n">
        <x:f>IFERROR(I226-M226,"")</x:f>
        <x:v>7.078378999999999</x:v>
      </x:c>
      <x:c r="U226" s="41" t="n">
        <x:f>IFERROR(E226-M226,"")</x:f>
        <x:v>6.4029169999999995</x:v>
      </x:c>
      <x:c r="V226" s="41" t="str">
        <x:f>IF(AND(I226&gt;M226,J226&gt;N226),"Sí","No")</x:f>
        <x:v>Sí</x:v>
      </x:c>
      <x:c r="W226" s="41" t="str">
        <x:f>IF(AND(E226&gt;M226,F226&gt;N226),"Sí","No")</x:f>
        <x:v>Sí</x:v>
      </x:c>
      <x:c r="X226" s="41" t="str">
        <x:f>IF(L226&gt;=H226,"Weekly","No weekly")</x:f>
        <x:v>Weekly</x:v>
      </x:c>
      <x:c r="Y226" s="41" t="n">
        <x:f>IFERROR(I226-E226,"")</x:f>
        <x:v>0.6754619999999996</x:v>
      </x:c>
      <x:c r="Z226" s="41" t="n">
        <x:f>IFERROR(J226-F226,"")</x:f>
        <x:v>4.262248</x:v>
      </x:c>
      <x:c r="AA226" s="41" t="n">
        <x:v>11102</x:v>
      </x:c>
      <x:c r="AB226" s="41" t="n">
        <x:v>5470</x:v>
      </x:c>
    </x:row>
    <x:row r="227">
      <x:c r="A227" s="41" t="str">
        <x:v>HYP_REFINE_AUTO002_TOPN_6_V1_DDGRID_EXT_R12_C24_E66_CR50_REDD_RECOVERED_DD8_SL20</x:v>
      </x:c>
      <x:c r="B227" s="41" t="str">
        <x:v>dd_guard_grid</x:v>
      </x:c>
      <x:c r="C227" s="41" t="str">
        <x:v>1999-01-04</x:v>
      </x:c>
      <x:c r="D227" s="41" t="str">
        <x:v>2026-05-22</x:v>
      </x:c>
      <x:c r="E227" s="41" t="n">
        <x:v>13.988917</x:v>
      </x:c>
      <x:c r="F227" s="41" t="n">
        <x:v>-34.567413</x:v>
      </x:c>
      <x:c r="G227" s="41" t="n">
        <x:v>3504.241623</x:v>
      </x:c>
      <x:c r="H227" s="41" t="n">
        <x:f>IFERROR(E227/ABS(F227),"")</x:f>
        <x:v>0.4046851003863089</x:v>
      </x:c>
      <x:c r="I227" s="41" t="n">
        <x:v>14.927481</x:v>
      </x:c>
      <x:c r="J227" s="41" t="n">
        <x:v>-29.082185</x:v>
      </x:c>
      <x:c r="K227" s="41" t="n">
        <x:v>4411.447282</x:v>
      </x:c>
      <x:c r="L227" s="41" t="n">
        <x:f>IFERROR(I227/ABS(J227),"")</x:f>
        <x:v>0.5132860890610523</x:v>
      </x:c>
      <x:c r="M227" s="41" t="n">
        <x:v>6.802475</x:v>
      </x:c>
      <x:c r="N227" s="41" t="n">
        <x:v>-56.473669</x:v>
      </x:c>
      <x:c r="O227" s="41" t="n">
        <x:v>506.057416</x:v>
      </x:c>
      <x:c r="P227" s="41" t="n">
        <x:f>IFERROR(M227/ABS(N227),"")</x:f>
        <x:v>0.12045392340278087</x:v>
      </x:c>
      <x:c r="Q227" s="41" t="str">
        <x:f>IF(L227&gt;=MAX(H227,P227),"Weekly",IF(H227&gt;=MAX(L227,P227),"No weekly","SPY"))</x:f>
        <x:v>Weekly</x:v>
      </x:c>
      <x:c r="R227" s="41" t="n">
        <x:f>IFERROR(L227-P227,"")</x:f>
        <x:v>0.39283216565827145</x:v>
      </x:c>
      <x:c r="S227" s="41" t="n">
        <x:f>IFERROR(H227-P227,"")</x:f>
        <x:v>0.284231176983528</x:v>
      </x:c>
      <x:c r="T227" s="41" t="n">
        <x:f>IFERROR(I227-M227,"")</x:f>
        <x:v>8.125005999999999</x:v>
      </x:c>
      <x:c r="U227" s="41" t="n">
        <x:f>IFERROR(E227-M227,"")</x:f>
        <x:v>7.186442</x:v>
      </x:c>
      <x:c r="V227" s="41" t="str">
        <x:f>IF(AND(I227&gt;M227,J227&gt;N227),"Sí","No")</x:f>
        <x:v>Sí</x:v>
      </x:c>
      <x:c r="W227" s="41" t="str">
        <x:f>IF(AND(E227&gt;M227,F227&gt;N227),"Sí","No")</x:f>
        <x:v>Sí</x:v>
      </x:c>
      <x:c r="X227" s="41" t="str">
        <x:f>IF(L227&gt;=H227,"Weekly","No weekly")</x:f>
        <x:v>Weekly</x:v>
      </x:c>
      <x:c r="Y227" s="41" t="n">
        <x:f>IFERROR(I227-E227,"")</x:f>
        <x:v>0.9385639999999995</x:v>
      </x:c>
      <x:c r="Z227" s="41" t="n">
        <x:f>IFERROR(J227-F227,"")</x:f>
        <x:v>5.485228000000003</x:v>
      </x:c>
      <x:c r="AA227" s="41" t="n">
        <x:v>11438</x:v>
      </x:c>
      <x:c r="AB227" s="41" t="n">
        <x:v>5206</x:v>
      </x:c>
    </x:row>
    <x:row r="228">
      <x:c r="A228" s="41" t="str">
        <x:v>HYP_REFINE_AUTO002_TOPN_6_V1_DDGRID_EXT_R12_C24_E66_CR50_REDD_RECOVERED_DD8_SL22</x:v>
      </x:c>
      <x:c r="B228" s="41" t="str">
        <x:v>dd_guard_grid</x:v>
      </x:c>
      <x:c r="C228" s="41" t="str">
        <x:v>1999-01-04</x:v>
      </x:c>
      <x:c r="D228" s="41" t="str">
        <x:v>2026-05-22</x:v>
      </x:c>
      <x:c r="E228" s="41" t="n">
        <x:v>13.154159</x:v>
      </x:c>
      <x:c r="F228" s="41" t="n">
        <x:v>-35.360977</x:v>
      </x:c>
      <x:c r="G228" s="41" t="n">
        <x:v>2847.262407</x:v>
      </x:c>
      <x:c r="H228" s="41" t="n">
        <x:f>IFERROR(E228/ABS(F228),"")</x:f>
        <x:v>0.37199648075334574</x:v>
      </x:c>
      <x:c r="I228" s="41" t="n">
        <x:v>14.715919</x:v>
      </x:c>
      <x:c r="J228" s="41" t="n">
        <x:v>-29.087037</x:v>
      </x:c>
      <x:c r="K228" s="41" t="n">
        <x:v>4189.509918</x:v>
      </x:c>
      <x:c r="L228" s="41" t="n">
        <x:f>IFERROR(I228/ABS(J228),"")</x:f>
        <x:v>0.5059270560971886</x:v>
      </x:c>
      <x:c r="M228" s="41" t="n">
        <x:v>6.802475</x:v>
      </x:c>
      <x:c r="N228" s="41" t="n">
        <x:v>-56.473669</x:v>
      </x:c>
      <x:c r="O228" s="41" t="n">
        <x:v>506.057416</x:v>
      </x:c>
      <x:c r="P228" s="41" t="n">
        <x:f>IFERROR(M228/ABS(N228),"")</x:f>
        <x:v>0.12045392340278087</x:v>
      </x:c>
      <x:c r="Q228" s="41" t="str">
        <x:f>IF(L228&gt;=MAX(H228,P228),"Weekly",IF(H228&gt;=MAX(L228,P228),"No weekly","SPY"))</x:f>
        <x:v>Weekly</x:v>
      </x:c>
      <x:c r="R228" s="41" t="n">
        <x:f>IFERROR(L228-P228,"")</x:f>
        <x:v>0.3854731326944077</x:v>
      </x:c>
      <x:c r="S228" s="41" t="n">
        <x:f>IFERROR(H228-P228,"")</x:f>
        <x:v>0.25154255735056485</x:v>
      </x:c>
      <x:c r="T228" s="41" t="n">
        <x:f>IFERROR(I228-M228,"")</x:f>
        <x:v>7.913443999999999</x:v>
      </x:c>
      <x:c r="U228" s="41" t="n">
        <x:f>IFERROR(E228-M228,"")</x:f>
        <x:v>6.351684</x:v>
      </x:c>
      <x:c r="V228" s="41" t="str">
        <x:f>IF(AND(I228&gt;M228,J228&gt;N228),"Sí","No")</x:f>
        <x:v>Sí</x:v>
      </x:c>
      <x:c r="W228" s="41" t="str">
        <x:f>IF(AND(E228&gt;M228,F228&gt;N228),"Sí","No")</x:f>
        <x:v>Sí</x:v>
      </x:c>
      <x:c r="X228" s="41" t="str">
        <x:f>IF(L228&gt;=H228,"Weekly","No weekly")</x:f>
        <x:v>Weekly</x:v>
      </x:c>
      <x:c r="Y228" s="41" t="n">
        <x:f>IFERROR(I228-E228,"")</x:f>
        <x:v>1.5617599999999996</x:v>
      </x:c>
      <x:c r="Z228" s="41" t="n">
        <x:f>IFERROR(J228-F228,"")</x:f>
        <x:v>6.27394</x:v>
      </x:c>
      <x:c r="AA228" s="41" t="n">
        <x:v>11555</x:v>
      </x:c>
      <x:c r="AB228" s="41" t="n">
        <x:v>5451</x:v>
      </x:c>
    </x:row>
    <x:row r="229">
      <x:c r="A229" s="41" t="str">
        <x:v>HYP_REFINE_AUTO002_TOPN_6_V1_DDGRID_EXT_R12_C24_E66_CR50_REDD_RECOVERED_DD8_SL25</x:v>
      </x:c>
      <x:c r="B229" s="41" t="str">
        <x:v>dd_guard_grid</x:v>
      </x:c>
      <x:c r="C229" s="41" t="str">
        <x:v>1999-01-04</x:v>
      </x:c>
      <x:c r="D229" s="41" t="str">
        <x:v>2026-05-22</x:v>
      </x:c>
      <x:c r="E229" s="41" t="n">
        <x:v>13.249899</x:v>
      </x:c>
      <x:c r="F229" s="41" t="n">
        <x:v>-34.955572</x:v>
      </x:c>
      <x:c r="G229" s="41" t="n">
        <x:v>2916.303114</x:v>
      </x:c>
      <x:c r="H229" s="41" t="n">
        <x:f>IFERROR(E229/ABS(F229),"")</x:f>
        <x:v>0.37904969771342895</x:v>
      </x:c>
      <x:c r="I229" s="41" t="n">
        <x:v>14.589862</x:v>
      </x:c>
      <x:c r="J229" s="41" t="n">
        <x:v>-28.825056</x:v>
      </x:c>
      <x:c r="K229" s="41" t="n">
        <x:v>4062.311252</x:v>
      </x:c>
      <x:c r="L229" s="41" t="n">
        <x:f>IFERROR(I229/ABS(J229),"")</x:f>
        <x:v>0.5061520782474802</x:v>
      </x:c>
      <x:c r="M229" s="41" t="n">
        <x:v>6.802475</x:v>
      </x:c>
      <x:c r="N229" s="41" t="n">
        <x:v>-56.473669</x:v>
      </x:c>
      <x:c r="O229" s="41" t="n">
        <x:v>506.057416</x:v>
      </x:c>
      <x:c r="P229" s="41" t="n">
        <x:f>IFERROR(M229/ABS(N229),"")</x:f>
        <x:v>0.12045392340278087</x:v>
      </x:c>
      <x:c r="Q229" s="41" t="str">
        <x:f>IF(L229&gt;=MAX(H229,P229),"Weekly",IF(H229&gt;=MAX(L229,P229),"No weekly","SPY"))</x:f>
        <x:v>Weekly</x:v>
      </x:c>
      <x:c r="R229" s="41" t="n">
        <x:f>IFERROR(L229-P229,"")</x:f>
        <x:v>0.3856981548446993</x:v>
      </x:c>
      <x:c r="S229" s="41" t="n">
        <x:f>IFERROR(H229-P229,"")</x:f>
        <x:v>0.25859577431064806</x:v>
      </x:c>
      <x:c r="T229" s="41" t="n">
        <x:f>IFERROR(I229-M229,"")</x:f>
        <x:v>7.787387</x:v>
      </x:c>
      <x:c r="U229" s="41" t="n">
        <x:f>IFERROR(E229-M229,"")</x:f>
        <x:v>6.447423999999999</x:v>
      </x:c>
      <x:c r="V229" s="41" t="str">
        <x:f>IF(AND(I229&gt;M229,J229&gt;N229),"Sí","No")</x:f>
        <x:v>Sí</x:v>
      </x:c>
      <x:c r="W229" s="41" t="str">
        <x:f>IF(AND(E229&gt;M229,F229&gt;N229),"Sí","No")</x:f>
        <x:v>Sí</x:v>
      </x:c>
      <x:c r="X229" s="41" t="str">
        <x:f>IF(L229&gt;=H229,"Weekly","No weekly")</x:f>
        <x:v>Weekly</x:v>
      </x:c>
      <x:c r="Y229" s="41" t="n">
        <x:f>IFERROR(I229-E229,"")</x:f>
        <x:v>1.339963000000001</x:v>
      </x:c>
      <x:c r="Z229" s="41" t="n">
        <x:f>IFERROR(J229-F229,"")</x:f>
        <x:v>6.1305159999999965</x:v>
      </x:c>
      <x:c r="AA229" s="41" t="n">
        <x:v>11559</x:v>
      </x:c>
      <x:c r="AB229" s="41" t="n">
        <x:v>5538</x:v>
      </x:c>
    </x:row>
    <x:row r="230">
      <x:c r="A230" s="41" t="str">
        <x:v>HYP_REFINE_AUTO002_TOPN_6_V1_DDGRID_EXT_R12_C24_E66_CR50_REDD_RECOVERED_DD8_SLNONE</x:v>
      </x:c>
      <x:c r="B230" s="41" t="str">
        <x:v>dd_guard_grid</x:v>
      </x:c>
      <x:c r="C230" s="41" t="str">
        <x:v>1999-01-04</x:v>
      </x:c>
      <x:c r="D230" s="41" t="str">
        <x:v>2026-05-22</x:v>
      </x:c>
      <x:c r="E230" s="41" t="n">
        <x:v>13.963662</x:v>
      </x:c>
      <x:c r="F230" s="41" t="n">
        <x:v>-34.742729</x:v>
      </x:c>
      <x:c r="G230" s="41" t="n">
        <x:v>3482.442781</x:v>
      </x:c>
      <x:c r="H230" s="41" t="n">
        <x:f>IFERROR(E230/ABS(F230),"")</x:f>
        <x:v>0.4019160958829688</x:v>
      </x:c>
      <x:c r="I230" s="41" t="n">
        <x:v>14.538032</x:v>
      </x:c>
      <x:c r="J230" s="41" t="n">
        <x:v>-28.784434</x:v>
      </x:c>
      <x:c r="K230" s="41" t="n">
        <x:v>4011.074256</x:v>
      </x:c>
      <x:c r="L230" s="41" t="n">
        <x:f>IFERROR(I230/ABS(J230),"")</x:f>
        <x:v>0.50506575880561</x:v>
      </x:c>
      <x:c r="M230" s="41" t="n">
        <x:v>6.802475</x:v>
      </x:c>
      <x:c r="N230" s="41" t="n">
        <x:v>-56.473669</x:v>
      </x:c>
      <x:c r="O230" s="41" t="n">
        <x:v>506.057416</x:v>
      </x:c>
      <x:c r="P230" s="41" t="n">
        <x:f>IFERROR(M230/ABS(N230),"")</x:f>
        <x:v>0.12045392340278087</x:v>
      </x:c>
      <x:c r="Q230" s="41" t="str">
        <x:f>IF(L230&gt;=MAX(H230,P230),"Weekly",IF(H230&gt;=MAX(L230,P230),"No weekly","SPY"))</x:f>
        <x:v>Weekly</x:v>
      </x:c>
      <x:c r="R230" s="41" t="n">
        <x:f>IFERROR(L230-P230,"")</x:f>
        <x:v>0.3846118354028291</x:v>
      </x:c>
      <x:c r="S230" s="41" t="n">
        <x:f>IFERROR(H230-P230,"")</x:f>
        <x:v>0.2814621724801879</x:v>
      </x:c>
      <x:c r="T230" s="41" t="n">
        <x:f>IFERROR(I230-M230,"")</x:f>
        <x:v>7.735556999999999</x:v>
      </x:c>
      <x:c r="U230" s="41" t="n">
        <x:f>IFERROR(E230-M230,"")</x:f>
        <x:v>7.161186999999999</x:v>
      </x:c>
      <x:c r="V230" s="41" t="str">
        <x:f>IF(AND(I230&gt;M230,J230&gt;N230),"Sí","No")</x:f>
        <x:v>Sí</x:v>
      </x:c>
      <x:c r="W230" s="41" t="str">
        <x:f>IF(AND(E230&gt;M230,F230&gt;N230),"Sí","No")</x:f>
        <x:v>Sí</x:v>
      </x:c>
      <x:c r="X230" s="41" t="str">
        <x:f>IF(L230&gt;=H230,"Weekly","No weekly")</x:f>
        <x:v>Weekly</x:v>
      </x:c>
      <x:c r="Y230" s="41" t="n">
        <x:f>IFERROR(I230-E230,"")</x:f>
        <x:v>0.57437</x:v>
      </x:c>
      <x:c r="Z230" s="41" t="n">
        <x:f>IFERROR(J230-F230,"")</x:f>
        <x:v>5.958294999999996</x:v>
      </x:c>
      <x:c r="AA230" s="41" t="n">
        <x:v>11649</x:v>
      </x:c>
      <x:c r="AB230" s="41" t="n">
        <x:v>5736</x:v>
      </x:c>
    </x:row>
    <x:row r="231">
      <x:c r="A231" s="41" t="str">
        <x:v>HYP_REFINE_AUTO002_TOPN_6_V1_DDGRID_EXT_R12_C24_E75_CR25_REDD_RECOVERED_DD8_SL20</x:v>
      </x:c>
      <x:c r="B231" s="41" t="str">
        <x:v>dd_guard_grid</x:v>
      </x:c>
      <x:c r="C231" s="41" t="str">
        <x:v>1999-01-04</x:v>
      </x:c>
      <x:c r="D231" s="41" t="str">
        <x:v>2026-05-22</x:v>
      </x:c>
      <x:c r="E231" s="41" t="n">
        <x:v>10.499778</x:v>
      </x:c>
      <x:c r="F231" s="41" t="n">
        <x:v>-31.518466</x:v>
      </x:c>
      <x:c r="G231" s="41" t="n">
        <x:v>1438.759078</x:v>
      </x:c>
      <x:c r="H231" s="41" t="n">
        <x:f>IFERROR(E231/ABS(F231),"")</x:f>
        <x:v>0.3331309969209796</x:v>
      </x:c>
      <x:c r="I231" s="41" t="n">
        <x:v>11.534979</x:v>
      </x:c>
      <x:c r="J231" s="41" t="n">
        <x:v>-30.268063</x:v>
      </x:c>
      <x:c r="K231" s="41" t="n">
        <x:v>1886.300193</x:v>
      </x:c>
      <x:c r="L231" s="41" t="n">
        <x:f>IFERROR(I231/ABS(J231),"")</x:f>
        <x:v>0.38109405943816094</x:v>
      </x:c>
      <x:c r="M231" s="41" t="n">
        <x:v>6.802475</x:v>
      </x:c>
      <x:c r="N231" s="41" t="n">
        <x:v>-56.473669</x:v>
      </x:c>
      <x:c r="O231" s="41" t="n">
        <x:v>506.057416</x:v>
      </x:c>
      <x:c r="P231" s="41" t="n">
        <x:f>IFERROR(M231/ABS(N231),"")</x:f>
        <x:v>0.12045392340278087</x:v>
      </x:c>
      <x:c r="Q231" s="41" t="str">
        <x:f>IF(L231&gt;=MAX(H231,P231),"Weekly",IF(H231&gt;=MAX(L231,P231),"No weekly","SPY"))</x:f>
        <x:v>Weekly</x:v>
      </x:c>
      <x:c r="R231" s="41" t="n">
        <x:f>IFERROR(L231-P231,"")</x:f>
        <x:v>0.26064013603538005</x:v>
      </x:c>
      <x:c r="S231" s="41" t="n">
        <x:f>IFERROR(H231-P231,"")</x:f>
        <x:v>0.2126770735181987</x:v>
      </x:c>
      <x:c r="T231" s="41" t="n">
        <x:f>IFERROR(I231-M231,"")</x:f>
        <x:v>4.732504</x:v>
      </x:c>
      <x:c r="U231" s="41" t="n">
        <x:f>IFERROR(E231-M231,"")</x:f>
        <x:v>3.697302999999999</x:v>
      </x:c>
      <x:c r="V231" s="41" t="str">
        <x:f>IF(AND(I231&gt;M231,J231&gt;N231),"Sí","No")</x:f>
        <x:v>Sí</x:v>
      </x:c>
      <x:c r="W231" s="41" t="str">
        <x:f>IF(AND(E231&gt;M231,F231&gt;N231),"Sí","No")</x:f>
        <x:v>Sí</x:v>
      </x:c>
      <x:c r="X231" s="41" t="str">
        <x:f>IF(L231&gt;=H231,"Weekly","No weekly")</x:f>
        <x:v>Weekly</x:v>
      </x:c>
      <x:c r="Y231" s="41" t="n">
        <x:f>IFERROR(I231-E231,"")</x:f>
        <x:v>1.0352010000000007</x:v>
      </x:c>
      <x:c r="Z231" s="41" t="n">
        <x:f>IFERROR(J231-F231,"")</x:f>
        <x:v>1.2504029999999986</x:v>
      </x:c>
      <x:c r="AA231" s="41" t="n">
        <x:v>12590</x:v>
      </x:c>
      <x:c r="AB231" s="41" t="n">
        <x:v>6338</x:v>
      </x:c>
    </x:row>
    <x:row r="232">
      <x:c r="A232" s="41" t="str">
        <x:v>HYP_REFINE_AUTO002_TOPN_6_V1_DDGRID_EXT_R12_C24_E75_CR33_REDD_RECOVERED_DD10_SL20</x:v>
      </x:c>
      <x:c r="B232" s="41" t="str">
        <x:v>dd_guard_grid</x:v>
      </x:c>
      <x:c r="C232" s="41" t="str">
        <x:v>1999-01-04</x:v>
      </x:c>
      <x:c r="D232" s="41" t="str">
        <x:v>2026-05-22</x:v>
      </x:c>
      <x:c r="E232" s="41" t="n">
        <x:v>11.938804</x:v>
      </x:c>
      <x:c r="F232" s="41" t="n">
        <x:v>-33.05814</x:v>
      </x:c>
      <x:c r="G232" s="41" t="n">
        <x:v>2092.89326</x:v>
      </x:c>
      <x:c r="H232" s="41" t="n">
        <x:f>IFERROR(E232/ABS(F232),"")</x:f>
        <x:v>0.36114566639260404</x:v>
      </x:c>
      <x:c r="I232" s="41" t="n">
        <x:v>12.109425</x:v>
      </x:c>
      <x:c r="J232" s="41" t="n">
        <x:v>-30.368331</x:v>
      </x:c>
      <x:c r="K232" s="41" t="n">
        <x:v>2186.268856</x:v>
      </x:c>
      <x:c r="L232" s="41" t="n">
        <x:f>IFERROR(I232/ABS(J232),"")</x:f>
        <x:v>0.3987517456919183</x:v>
      </x:c>
      <x:c r="M232" s="41" t="n">
        <x:v>6.802475</x:v>
      </x:c>
      <x:c r="N232" s="41" t="n">
        <x:v>-56.473669</x:v>
      </x:c>
      <x:c r="O232" s="41" t="n">
        <x:v>506.057416</x:v>
      </x:c>
      <x:c r="P232" s="41" t="n">
        <x:f>IFERROR(M232/ABS(N232),"")</x:f>
        <x:v>0.12045392340278087</x:v>
      </x:c>
      <x:c r="Q232" s="41" t="str">
        <x:f>IF(L232&gt;=MAX(H232,P232),"Weekly",IF(H232&gt;=MAX(L232,P232),"No weekly","SPY"))</x:f>
        <x:v>Weekly</x:v>
      </x:c>
      <x:c r="R232" s="41" t="n">
        <x:f>IFERROR(L232-P232,"")</x:f>
        <x:v>0.2782978222891374</x:v>
      </x:c>
      <x:c r="S232" s="41" t="n">
        <x:f>IFERROR(H232-P232,"")</x:f>
        <x:v>0.24069174298982315</x:v>
      </x:c>
      <x:c r="T232" s="41" t="n">
        <x:f>IFERROR(I232-M232,"")</x:f>
        <x:v>5.30695</x:v>
      </x:c>
      <x:c r="U232" s="41" t="n">
        <x:f>IFERROR(E232-M232,"")</x:f>
        <x:v>5.136328999999999</x:v>
      </x:c>
      <x:c r="V232" s="41" t="str">
        <x:f>IF(AND(I232&gt;M232,J232&gt;N232),"Sí","No")</x:f>
        <x:v>Sí</x:v>
      </x:c>
      <x:c r="W232" s="41" t="str">
        <x:f>IF(AND(E232&gt;M232,F232&gt;N232),"Sí","No")</x:f>
        <x:v>Sí</x:v>
      </x:c>
      <x:c r="X232" s="41" t="str">
        <x:f>IF(L232&gt;=H232,"Weekly","No weekly")</x:f>
        <x:v>Weekly</x:v>
      </x:c>
      <x:c r="Y232" s="41" t="n">
        <x:f>IFERROR(I232-E232,"")</x:f>
        <x:v>0.17062100000000058</x:v>
      </x:c>
      <x:c r="Z232" s="41" t="n">
        <x:f>IFERROR(J232-F232,"")</x:f>
        <x:v>2.6898090000000003</x:v>
      </x:c>
      <x:c r="AA232" s="41" t="n">
        <x:v>11957</x:v>
      </x:c>
      <x:c r="AB232" s="41" t="n">
        <x:v>5430</x:v>
      </x:c>
    </x:row>
    <x:row r="233">
      <x:c r="A233" s="41" t="str">
        <x:v>HYP_REFINE_AUTO002_TOPN_6_V1_DDGRID_EXT_R12_C24_E75_CR33_REDD_RECOVERED_DD6_SL20</x:v>
      </x:c>
      <x:c r="B233" s="41" t="str">
        <x:v>dd_guard_grid</x:v>
      </x:c>
      <x:c r="C233" s="41" t="str">
        <x:v>1999-01-04</x:v>
      </x:c>
      <x:c r="D233" s="41" t="str">
        <x:v>2026-05-22</x:v>
      </x:c>
      <x:c r="E233" s="41" t="n">
        <x:v>12.454058</x:v>
      </x:c>
      <x:c r="F233" s="41" t="n">
        <x:v>-33.05814</x:v>
      </x:c>
      <x:c r="G233" s="41" t="n">
        <x:v>2386.698033</x:v>
      </x:c>
      <x:c r="H233" s="41" t="n">
        <x:f>IFERROR(E233/ABS(F233),"")</x:f>
        <x:v>0.37673196374629664</x:v>
      </x:c>
      <x:c r="I233" s="41" t="n">
        <x:v>11.567557</x:v>
      </x:c>
      <x:c r="J233" s="41" t="n">
        <x:v>-30.368331</x:v>
      </x:c>
      <x:c r="K233" s="41" t="n">
        <x:v>1902.246089</x:v>
      </x:c>
      <x:c r="L233" s="41" t="n">
        <x:f>IFERROR(I233/ABS(J233),"")</x:f>
        <x:v>0.3809085523995375</x:v>
      </x:c>
      <x:c r="M233" s="41" t="n">
        <x:v>6.802475</x:v>
      </x:c>
      <x:c r="N233" s="41" t="n">
        <x:v>-56.473669</x:v>
      </x:c>
      <x:c r="O233" s="41" t="n">
        <x:v>506.057416</x:v>
      </x:c>
      <x:c r="P233" s="41" t="n">
        <x:f>IFERROR(M233/ABS(N233),"")</x:f>
        <x:v>0.12045392340278087</x:v>
      </x:c>
      <x:c r="Q233" s="41" t="str">
        <x:f>IF(L233&gt;=MAX(H233,P233),"Weekly",IF(H233&gt;=MAX(L233,P233),"No weekly","SPY"))</x:f>
        <x:v>Weekly</x:v>
      </x:c>
      <x:c r="R233" s="41" t="n">
        <x:f>IFERROR(L233-P233,"")</x:f>
        <x:v>0.26045462899675664</x:v>
      </x:c>
      <x:c r="S233" s="41" t="n">
        <x:f>IFERROR(H233-P233,"")</x:f>
        <x:v>0.25627804034351576</x:v>
      </x:c>
      <x:c r="T233" s="41" t="n">
        <x:f>IFERROR(I233-M233,"")</x:f>
        <x:v>4.7650820000000005</x:v>
      </x:c>
      <x:c r="U233" s="41" t="n">
        <x:f>IFERROR(E233-M233,"")</x:f>
        <x:v>5.651583</x:v>
      </x:c>
      <x:c r="V233" s="41" t="str">
        <x:f>IF(AND(I233&gt;M233,J233&gt;N233),"Sí","No")</x:f>
        <x:v>Sí</x:v>
      </x:c>
      <x:c r="W233" s="41" t="str">
        <x:f>IF(AND(E233&gt;M233,F233&gt;N233),"Sí","No")</x:f>
        <x:v>Sí</x:v>
      </x:c>
      <x:c r="X233" s="41" t="str">
        <x:f>IF(L233&gt;=H233,"Weekly","No weekly")</x:f>
        <x:v>Weekly</x:v>
      </x:c>
      <x:c r="Y233" s="41" t="n">
        <x:f>IFERROR(I233-E233,"")</x:f>
        <x:v>-0.8865009999999991</x:v>
      </x:c>
      <x:c r="Z233" s="41" t="n">
        <x:f>IFERROR(J233-F233,"")</x:f>
        <x:v>2.6898090000000003</x:v>
      </x:c>
      <x:c r="AA233" s="41" t="n">
        <x:v>12650</x:v>
      </x:c>
      <x:c r="AB233" s="41" t="n">
        <x:v>6100</x:v>
      </x:c>
    </x:row>
    <x:row r="234">
      <x:c r="A234" s="41" t="str">
        <x:v>HYP_REFINE_AUTO002_TOPN_6_V1_DDGRID_EXT_R12_C24_E75_CR33_REDD_RECOVERED_DD8_SL18</x:v>
      </x:c>
      <x:c r="B234" s="41" t="str">
        <x:v>dd_guard_grid</x:v>
      </x:c>
      <x:c r="C234" s="41" t="str">
        <x:v>1999-01-04</x:v>
      </x:c>
      <x:c r="D234" s="41" t="str">
        <x:v>2026-05-22</x:v>
      </x:c>
      <x:c r="E234" s="41" t="n">
        <x:v>11.569059</x:v>
      </x:c>
      <x:c r="F234" s="41" t="n">
        <x:v>-32.240337</x:v>
      </x:c>
      <x:c r="G234" s="41" t="n">
        <x:v>1902.984121</x:v>
      </x:c>
      <x:c r="H234" s="41" t="n">
        <x:f>IFERROR(E234/ABS(F234),"")</x:f>
        <x:v>0.3588380295156344</x:v>
      </x:c>
      <x:c r="I234" s="41" t="n">
        <x:v>11.24436</x:v>
      </x:c>
      <x:c r="J234" s="41" t="n">
        <x:v>-30.218572</x:v>
      </x:c>
      <x:c r="K234" s="41" t="n">
        <x:v>1749.364803</x:v>
      </x:c>
      <x:c r="L234" s="41" t="n">
        <x:f>IFERROR(I234/ABS(J234),"")</x:f>
        <x:v>0.37210097154822536</x:v>
      </x:c>
      <x:c r="M234" s="41" t="n">
        <x:v>6.802475</x:v>
      </x:c>
      <x:c r="N234" s="41" t="n">
        <x:v>-56.473669</x:v>
      </x:c>
      <x:c r="O234" s="41" t="n">
        <x:v>506.057416</x:v>
      </x:c>
      <x:c r="P234" s="41" t="n">
        <x:f>IFERROR(M234/ABS(N234),"")</x:f>
        <x:v>0.12045392340278087</x:v>
      </x:c>
      <x:c r="Q234" s="41" t="str">
        <x:f>IF(L234&gt;=MAX(H234,P234),"Weekly",IF(H234&gt;=MAX(L234,P234),"No weekly","SPY"))</x:f>
        <x:v>Weekly</x:v>
      </x:c>
      <x:c r="R234" s="41" t="n">
        <x:f>IFERROR(L234-P234,"")</x:f>
        <x:v>0.2516470481454445</x:v>
      </x:c>
      <x:c r="S234" s="41" t="n">
        <x:f>IFERROR(H234-P234,"")</x:f>
        <x:v>0.23838410611285354</x:v>
      </x:c>
      <x:c r="T234" s="41" t="n">
        <x:f>IFERROR(I234-M234,"")</x:f>
        <x:v>4.441885</x:v>
      </x:c>
      <x:c r="U234" s="41" t="n">
        <x:f>IFERROR(E234-M234,"")</x:f>
        <x:v>4.766583999999999</x:v>
      </x:c>
      <x:c r="V234" s="41" t="str">
        <x:f>IF(AND(I234&gt;M234,J234&gt;N234),"Sí","No")</x:f>
        <x:v>Sí</x:v>
      </x:c>
      <x:c r="W234" s="41" t="str">
        <x:f>IF(AND(E234&gt;M234,F234&gt;N234),"Sí","No")</x:f>
        <x:v>Sí</x:v>
      </x:c>
      <x:c r="X234" s="41" t="str">
        <x:f>IF(L234&gt;=H234,"Weekly","No weekly")</x:f>
        <x:v>Weekly</x:v>
      </x:c>
      <x:c r="Y234" s="41" t="n">
        <x:f>IFERROR(I234-E234,"")</x:f>
        <x:v>-0.32469899999999896</x:v>
      </x:c>
      <x:c r="Z234" s="41" t="n">
        <x:f>IFERROR(J234-F234,"")</x:f>
        <x:v>2.021764999999995</x:v>
      </x:c>
      <x:c r="AA234" s="41" t="n">
        <x:v>12317</x:v>
      </x:c>
      <x:c r="AB234" s="41" t="n">
        <x:v>5665</x:v>
      </x:c>
    </x:row>
    <x:row r="235">
      <x:c r="A235" s="41" t="str">
        <x:v>HYP_REFINE_AUTO002_TOPN_6_V1_DDGRID_EXT_R12_C24_E75_CR33_REDD_RECOVERED_DD8_SL20</x:v>
      </x:c>
      <x:c r="B235" s="41" t="str">
        <x:v>dd_guard_grid</x:v>
      </x:c>
      <x:c r="C235" s="41" t="str">
        <x:v>1999-01-04</x:v>
      </x:c>
      <x:c r="D235" s="41" t="str">
        <x:v>2026-05-22</x:v>
      </x:c>
      <x:c r="E235" s="41" t="n">
        <x:v>12.338742</x:v>
      </x:c>
      <x:c r="F235" s="41" t="n">
        <x:v>-33.05814</x:v>
      </x:c>
      <x:c r="G235" s="41" t="n">
        <x:v>2317.819657</x:v>
      </x:c>
      <x:c r="H235" s="41" t="n">
        <x:f>IFERROR(E235/ABS(F235),"")</x:f>
        <x:v>0.3732436852164096</x:v>
      </x:c>
      <x:c r="I235" s="41" t="n">
        <x:v>12.140427</x:v>
      </x:c>
      <x:c r="J235" s="41" t="n">
        <x:v>-30.368331</x:v>
      </x:c>
      <x:c r="K235" s="41" t="n">
        <x:v>2203.641601</x:v>
      </x:c>
      <x:c r="L235" s="41" t="n">
        <x:f>IFERROR(I235/ABS(J235),"")</x:f>
        <x:v>0.3997726118040534</x:v>
      </x:c>
      <x:c r="M235" s="41" t="n">
        <x:v>6.802475</x:v>
      </x:c>
      <x:c r="N235" s="41" t="n">
        <x:v>-56.473669</x:v>
      </x:c>
      <x:c r="O235" s="41" t="n">
        <x:v>506.057416</x:v>
      </x:c>
      <x:c r="P235" s="41" t="n">
        <x:f>IFERROR(M235/ABS(N235),"")</x:f>
        <x:v>0.12045392340278087</x:v>
      </x:c>
      <x:c r="Q235" s="41" t="str">
        <x:f>IF(L235&gt;=MAX(H235,P235),"Weekly",IF(H235&gt;=MAX(L235,P235),"No weekly","SPY"))</x:f>
        <x:v>Weekly</x:v>
      </x:c>
      <x:c r="R235" s="41" t="n">
        <x:f>IFERROR(L235-P235,"")</x:f>
        <x:v>0.2793186884012725</x:v>
      </x:c>
      <x:c r="S235" s="41" t="n">
        <x:f>IFERROR(H235-P235,"")</x:f>
        <x:v>0.2527897618136287</x:v>
      </x:c>
      <x:c r="T235" s="41" t="n">
        <x:f>IFERROR(I235-M235,"")</x:f>
        <x:v>5.3379520000000005</x:v>
      </x:c>
      <x:c r="U235" s="41" t="n">
        <x:f>IFERROR(E235-M235,"")</x:f>
        <x:v>5.536267</x:v>
      </x:c>
      <x:c r="V235" s="41" t="str">
        <x:f>IF(AND(I235&gt;M235,J235&gt;N235),"Sí","No")</x:f>
        <x:v>Sí</x:v>
      </x:c>
      <x:c r="W235" s="41" t="str">
        <x:f>IF(AND(E235&gt;M235,F235&gt;N235),"Sí","No")</x:f>
        <x:v>Sí</x:v>
      </x:c>
      <x:c r="X235" s="41" t="str">
        <x:f>IF(L235&gt;=H235,"Weekly","No weekly")</x:f>
        <x:v>Weekly</x:v>
      </x:c>
      <x:c r="Y235" s="41" t="n">
        <x:f>IFERROR(I235-E235,"")</x:f>
        <x:v>-0.19831499999999913</x:v>
      </x:c>
      <x:c r="Z235" s="41" t="n">
        <x:f>IFERROR(J235-F235,"")</x:f>
        <x:v>2.6898090000000003</x:v>
      </x:c>
      <x:c r="AA235" s="41" t="n">
        <x:v>12274</x:v>
      </x:c>
      <x:c r="AB235" s="41" t="n">
        <x:v>5890</x:v>
      </x:c>
    </x:row>
    <x:row r="236">
      <x:c r="A236" s="41" t="str">
        <x:v>HYP_REFINE_AUTO002_TOPN_6_V1_DDGRID_EXT_R12_C24_E75_CR33_REDD_RECOVERED_DD8_SL22</x:v>
      </x:c>
      <x:c r="B236" s="41" t="str">
        <x:v>dd_guard_grid</x:v>
      </x:c>
      <x:c r="C236" s="41" t="str">
        <x:v>1999-01-04</x:v>
      </x:c>
      <x:c r="D236" s="41" t="str">
        <x:v>2026-05-22</x:v>
      </x:c>
      <x:c r="E236" s="41" t="n">
        <x:v>11.515875</x:v>
      </x:c>
      <x:c r="F236" s="41" t="n">
        <x:v>-33.576091</x:v>
      </x:c>
      <x:c r="G236" s="41" t="n">
        <x:v>1877.006351</x:v>
      </x:c>
      <x:c r="H236" s="41" t="n">
        <x:f>IFERROR(E236/ABS(F236),"")</x:f>
        <x:v>0.342978430693436</x:v>
      </x:c>
      <x:c r="I236" s="41" t="n">
        <x:v>11.973627</x:v>
      </x:c>
      <x:c r="J236" s="41" t="n">
        <x:v>-30.368574</x:v>
      </x:c>
      <x:c r="K236" s="41" t="n">
        <x:v>2111.64696</x:v>
      </x:c>
      <x:c r="L236" s="41" t="n">
        <x:f>IFERROR(I236/ABS(J236),"")</x:f>
        <x:v>0.39427689294861196</x:v>
      </x:c>
      <x:c r="M236" s="41" t="n">
        <x:v>6.802475</x:v>
      </x:c>
      <x:c r="N236" s="41" t="n">
        <x:v>-56.473669</x:v>
      </x:c>
      <x:c r="O236" s="41" t="n">
        <x:v>506.057416</x:v>
      </x:c>
      <x:c r="P236" s="41" t="n">
        <x:f>IFERROR(M236/ABS(N236),"")</x:f>
        <x:v>0.12045392340278087</x:v>
      </x:c>
      <x:c r="Q236" s="41" t="str">
        <x:f>IF(L236&gt;=MAX(H236,P236),"Weekly",IF(H236&gt;=MAX(L236,P236),"No weekly","SPY"))</x:f>
        <x:v>Weekly</x:v>
      </x:c>
      <x:c r="R236" s="41" t="n">
        <x:f>IFERROR(L236-P236,"")</x:f>
        <x:v>0.2738229695458311</x:v>
      </x:c>
      <x:c r="S236" s="41" t="n">
        <x:f>IFERROR(H236-P236,"")</x:f>
        <x:v>0.2225245072906551</x:v>
      </x:c>
      <x:c r="T236" s="41" t="n">
        <x:f>IFERROR(I236-M236,"")</x:f>
        <x:v>5.171152</x:v>
      </x:c>
      <x:c r="U236" s="41" t="n">
        <x:f>IFERROR(E236-M236,"")</x:f>
        <x:v>4.713399999999999</x:v>
      </x:c>
      <x:c r="V236" s="41" t="str">
        <x:f>IF(AND(I236&gt;M236,J236&gt;N236),"Sí","No")</x:f>
        <x:v>Sí</x:v>
      </x:c>
      <x:c r="W236" s="41" t="str">
        <x:f>IF(AND(E236&gt;M236,F236&gt;N236),"Sí","No")</x:f>
        <x:v>Sí</x:v>
      </x:c>
      <x:c r="X236" s="41" t="str">
        <x:f>IF(L236&gt;=H236,"Weekly","No weekly")</x:f>
        <x:v>Weekly</x:v>
      </x:c>
      <x:c r="Y236" s="41" t="n">
        <x:f>IFERROR(I236-E236,"")</x:f>
        <x:v>0.45775200000000105</x:v>
      </x:c>
      <x:c r="Z236" s="41" t="n">
        <x:f>IFERROR(J236-F236,"")</x:f>
        <x:v>3.2075169999999993</x:v>
      </x:c>
      <x:c r="AA236" s="41" t="n">
        <x:v>12520</x:v>
      </x:c>
      <x:c r="AB236" s="41" t="n">
        <x:v>6143</x:v>
      </x:c>
    </x:row>
    <x:row r="237">
      <x:c r="A237" s="41" t="str">
        <x:v>HYP_REFINE_AUTO002_TOPN_6_V1_DDGRID_EXT_R12_C24_E75_CR40_REDD_RECOVERED_DD10_SL18</x:v>
      </x:c>
      <x:c r="B237" s="41" t="str">
        <x:v>dd_guard_grid</x:v>
      </x:c>
      <x:c r="C237" s="41" t="str">
        <x:v>1999-01-04</x:v>
      </x:c>
      <x:c r="D237" s="41" t="str">
        <x:v>2026-05-22</x:v>
      </x:c>
      <x:c r="E237" s="41" t="n">
        <x:v>12.059887</x:v>
      </x:c>
      <x:c r="F237" s="41" t="n">
        <x:v>-33.186006</x:v>
      </x:c>
      <x:c r="G237" s="41" t="n">
        <x:v>2158.770654</x:v>
      </x:c>
      <x:c r="H237" s="41" t="n">
        <x:f>IFERROR(E237/ABS(F237),"")</x:f>
        <x:v>0.3634027848967423</x:v>
      </x:c>
      <x:c r="I237" s="41" t="n">
        <x:v>12.363191</x:v>
      </x:c>
      <x:c r="J237" s="41" t="n">
        <x:v>-29.509193</x:v>
      </x:c>
      <x:c r="K237" s="41" t="n">
        <x:v>2332.26734</x:v>
      </x:c>
      <x:c r="L237" s="41" t="n">
        <x:f>IFERROR(I237/ABS(J237),"")</x:f>
        <x:v>0.4189606608354217</x:v>
      </x:c>
      <x:c r="M237" s="41" t="n">
        <x:v>6.802475</x:v>
      </x:c>
      <x:c r="N237" s="41" t="n">
        <x:v>-56.473669</x:v>
      </x:c>
      <x:c r="O237" s="41" t="n">
        <x:v>506.057416</x:v>
      </x:c>
      <x:c r="P237" s="41" t="n">
        <x:f>IFERROR(M237/ABS(N237),"")</x:f>
        <x:v>0.12045392340278087</x:v>
      </x:c>
      <x:c r="Q237" s="41" t="str">
        <x:f>IF(L237&gt;=MAX(H237,P237),"Weekly",IF(H237&gt;=MAX(L237,P237),"No weekly","SPY"))</x:f>
        <x:v>Weekly</x:v>
      </x:c>
      <x:c r="R237" s="41" t="n">
        <x:f>IFERROR(L237-P237,"")</x:f>
        <x:v>0.29850673743264083</x:v>
      </x:c>
      <x:c r="S237" s="41" t="n">
        <x:f>IFERROR(H237-P237,"")</x:f>
        <x:v>0.24294886149396144</x:v>
      </x:c>
      <x:c r="T237" s="41" t="n">
        <x:f>IFERROR(I237-M237,"")</x:f>
        <x:v>5.560716</x:v>
      </x:c>
      <x:c r="U237" s="41" t="n">
        <x:f>IFERROR(E237-M237,"")</x:f>
        <x:v>5.2574119999999995</x:v>
      </x:c>
      <x:c r="V237" s="41" t="str">
        <x:f>IF(AND(I237&gt;M237,J237&gt;N237),"Sí","No")</x:f>
        <x:v>Sí</x:v>
      </x:c>
      <x:c r="W237" s="41" t="str">
        <x:f>IF(AND(E237&gt;M237,F237&gt;N237),"Sí","No")</x:f>
        <x:v>Sí</x:v>
      </x:c>
      <x:c r="X237" s="41" t="str">
        <x:f>IF(L237&gt;=H237,"Weekly","No weekly")</x:f>
        <x:v>Weekly</x:v>
      </x:c>
      <x:c r="Y237" s="41" t="n">
        <x:f>IFERROR(I237-E237,"")</x:f>
        <x:v>0.3033040000000007</x:v>
      </x:c>
      <x:c r="Z237" s="41" t="n">
        <x:f>IFERROR(J237-F237,"")</x:f>
        <x:v>3.676812999999999</x:v>
      </x:c>
      <x:c r="AA237" s="41" t="n">
        <x:v>11082</x:v>
      </x:c>
      <x:c r="AB237" s="41" t="n">
        <x:v>5201</x:v>
      </x:c>
    </x:row>
    <x:row r="238">
      <x:c r="A238" s="41" t="str">
        <x:v>HYP_REFINE_AUTO002_TOPN_6_V1_DDGRID_EXT_R12_C24_E75_CR40_REDD_RECOVERED_DD10_SL20</x:v>
      </x:c>
      <x:c r="B238" s="41" t="str">
        <x:v>dd_guard_grid</x:v>
      </x:c>
      <x:c r="C238" s="41" t="str">
        <x:v>1999-01-04</x:v>
      </x:c>
      <x:c r="D238" s="41" t="str">
        <x:v>2026-05-22</x:v>
      </x:c>
      <x:c r="E238" s="41" t="n">
        <x:v>12.796696</x:v>
      </x:c>
      <x:c r="F238" s="41" t="n">
        <x:v>-33.937267</x:v>
      </x:c>
      <x:c r="G238" s="41" t="n">
        <x:v>2602.693391</x:v>
      </x:c>
      <x:c r="H238" s="41" t="n">
        <x:f>IFERROR(E238/ABS(F238),"")</x:f>
        <x:v>0.37706913759437377</x:v>
      </x:c>
      <x:c r="I238" s="41" t="n">
        <x:v>12.874991</x:v>
      </x:c>
      <x:c r="J238" s="41" t="n">
        <x:v>-29.150912</x:v>
      </x:c>
      <x:c r="K238" s="41" t="n">
        <x:v>2654.528836</x:v>
      </x:c>
      <x:c r="L238" s="41" t="n">
        <x:f>IFERROR(I238/ABS(J238),"")</x:f>
        <x:v>0.44166683361398773</x:v>
      </x:c>
      <x:c r="M238" s="41" t="n">
        <x:v>6.802475</x:v>
      </x:c>
      <x:c r="N238" s="41" t="n">
        <x:v>-56.473669</x:v>
      </x:c>
      <x:c r="O238" s="41" t="n">
        <x:v>506.057416</x:v>
      </x:c>
      <x:c r="P238" s="41" t="n">
        <x:f>IFERROR(M238/ABS(N238),"")</x:f>
        <x:v>0.12045392340278087</x:v>
      </x:c>
      <x:c r="Q238" s="41" t="str">
        <x:f>IF(L238&gt;=MAX(H238,P238),"Weekly",IF(H238&gt;=MAX(L238,P238),"No weekly","SPY"))</x:f>
        <x:v>Weekly</x:v>
      </x:c>
      <x:c r="R238" s="41" t="n">
        <x:f>IFERROR(L238-P238,"")</x:f>
        <x:v>0.32121291021120685</x:v>
      </x:c>
      <x:c r="S238" s="41" t="n">
        <x:f>IFERROR(H238-P238,"")</x:f>
        <x:v>0.2566152141915929</x:v>
      </x:c>
      <x:c r="T238" s="41" t="n">
        <x:f>IFERROR(I238-M238,"")</x:f>
        <x:v>6.072515999999999</x:v>
      </x:c>
      <x:c r="U238" s="41" t="n">
        <x:f>IFERROR(E238-M238,"")</x:f>
        <x:v>5.9942210000000005</x:v>
      </x:c>
      <x:c r="V238" s="41" t="str">
        <x:f>IF(AND(I238&gt;M238,J238&gt;N238),"Sí","No")</x:f>
        <x:v>Sí</x:v>
      </x:c>
      <x:c r="W238" s="41" t="str">
        <x:f>IF(AND(E238&gt;M238,F238&gt;N238),"Sí","No")</x:f>
        <x:v>Sí</x:v>
      </x:c>
      <x:c r="X238" s="41" t="str">
        <x:f>IF(L238&gt;=H238,"Weekly","No weekly")</x:f>
        <x:v>Weekly</x:v>
      </x:c>
      <x:c r="Y238" s="41" t="n">
        <x:f>IFERROR(I238-E238,"")</x:f>
        <x:v>0.0782949999999989</x:v>
      </x:c>
      <x:c r="Z238" s="41" t="n">
        <x:f>IFERROR(J238-F238,"")</x:f>
        <x:v>4.786354999999997</x:v>
      </x:c>
      <x:c r="AA238" s="41" t="n">
        <x:v>11294</x:v>
      </x:c>
      <x:c r="AB238" s="41" t="n">
        <x:v>5044</x:v>
      </x:c>
    </x:row>
    <x:row r="239">
      <x:c r="A239" s="41" t="str">
        <x:v>HYP_REFINE_AUTO002_TOPN_6_V1_DDGRID_EXT_R12_C24_E75_CR40_REDD_RECOVERED_DD6_SL18</x:v>
      </x:c>
      <x:c r="B239" s="41" t="str">
        <x:v>dd_guard_grid</x:v>
      </x:c>
      <x:c r="C239" s="41" t="str">
        <x:v>1999-01-04</x:v>
      </x:c>
      <x:c r="D239" s="41" t="str">
        <x:v>2026-05-22</x:v>
      </x:c>
      <x:c r="E239" s="41" t="n">
        <x:v>13.442459</x:v>
      </x:c>
      <x:c r="F239" s="41" t="n">
        <x:v>-33.186006</x:v>
      </x:c>
      <x:c r="G239" s="41" t="n">
        <x:v>3059.91271</x:v>
      </x:c>
      <x:c r="H239" s="41" t="n">
        <x:f>IFERROR(E239/ABS(F239),"")</x:f>
        <x:v>0.4050640803234954</x:v>
      </x:c>
      <x:c r="I239" s="41" t="n">
        <x:v>12.615635</x:v>
      </x:c>
      <x:c r="J239" s="41" t="n">
        <x:v>-29.509193</x:v>
      </x:c>
      <x:c r="K239" s="41" t="n">
        <x:v>2486.39702</x:v>
      </x:c>
      <x:c r="L239" s="41" t="n">
        <x:f>IFERROR(I239/ABS(J239),"")</x:f>
        <x:v>0.42751541866970066</x:v>
      </x:c>
      <x:c r="M239" s="41" t="n">
        <x:v>6.802475</x:v>
      </x:c>
      <x:c r="N239" s="41" t="n">
        <x:v>-56.473669</x:v>
      </x:c>
      <x:c r="O239" s="41" t="n">
        <x:v>506.057416</x:v>
      </x:c>
      <x:c r="P239" s="41" t="n">
        <x:f>IFERROR(M239/ABS(N239),"")</x:f>
        <x:v>0.12045392340278087</x:v>
      </x:c>
      <x:c r="Q239" s="41" t="str">
        <x:f>IF(L239&gt;=MAX(H239,P239),"Weekly",IF(H239&gt;=MAX(L239,P239),"No weekly","SPY"))</x:f>
        <x:v>Weekly</x:v>
      </x:c>
      <x:c r="R239" s="41" t="n">
        <x:f>IFERROR(L239-P239,"")</x:f>
        <x:v>0.3070614952669198</x:v>
      </x:c>
      <x:c r="S239" s="41" t="n">
        <x:f>IFERROR(H239-P239,"")</x:f>
        <x:v>0.2846101569207145</x:v>
      </x:c>
      <x:c r="T239" s="41" t="n">
        <x:f>IFERROR(I239-M239,"")</x:f>
        <x:v>5.813159999999999</x:v>
      </x:c>
      <x:c r="U239" s="41" t="n">
        <x:f>IFERROR(E239-M239,"")</x:f>
        <x:v>6.639983999999999</x:v>
      </x:c>
      <x:c r="V239" s="41" t="str">
        <x:f>IF(AND(I239&gt;M239,J239&gt;N239),"Sí","No")</x:f>
        <x:v>Sí</x:v>
      </x:c>
      <x:c r="W239" s="41" t="str">
        <x:f>IF(AND(E239&gt;M239,F239&gt;N239),"Sí","No")</x:f>
        <x:v>Sí</x:v>
      </x:c>
      <x:c r="X239" s="41" t="str">
        <x:f>IF(L239&gt;=H239,"Weekly","No weekly")</x:f>
        <x:v>Weekly</x:v>
      </x:c>
      <x:c r="Y239" s="41" t="n">
        <x:f>IFERROR(I239-E239,"")</x:f>
        <x:v>-0.8268240000000002</x:v>
      </x:c>
      <x:c r="Z239" s="41" t="n">
        <x:f>IFERROR(J239-F239,"")</x:f>
        <x:v>3.676812999999999</x:v>
      </x:c>
      <x:c r="AA239" s="41" t="n">
        <x:v>11940</x:v>
      </x:c>
      <x:c r="AB239" s="41" t="n">
        <x:v>5447</x:v>
      </x:c>
    </x:row>
    <x:row r="240">
      <x:c r="A240" s="41" t="str">
        <x:v>HYP_REFINE_AUTO002_TOPN_6_V1_DDGRID_EXT_R12_C24_E75_CR40_REDD_RECOVERED_DD6_SL20</x:v>
      </x:c>
      <x:c r="B240" s="41" t="str">
        <x:v>dd_guard_grid</x:v>
      </x:c>
      <x:c r="C240" s="41" t="str">
        <x:v>1999-01-04</x:v>
      </x:c>
      <x:c r="D240" s="41" t="str">
        <x:v>2026-05-22</x:v>
      </x:c>
      <x:c r="E240" s="41" t="n">
        <x:v>13.112611</x:v>
      </x:c>
      <x:c r="F240" s="41" t="n">
        <x:v>-33.937267</x:v>
      </x:c>
      <x:c r="G240" s="41" t="n">
        <x:v>2817.776885</x:v>
      </x:c>
      <x:c r="H240" s="41" t="n">
        <x:f>IFERROR(E240/ABS(F240),"")</x:f>
        <x:v>0.38637793078623567</x:v>
      </x:c>
      <x:c r="I240" s="41" t="n">
        <x:v>12.418219</x:v>
      </x:c>
      <x:c r="J240" s="41" t="n">
        <x:v>-29.114991</x:v>
      </x:c>
      <x:c r="K240" s="41" t="n">
        <x:v>2365.091479</x:v>
      </x:c>
      <x:c r="L240" s="41" t="n">
        <x:f>IFERROR(I240/ABS(J240),"")</x:f>
        <x:v>0.42652319555929114</x:v>
      </x:c>
      <x:c r="M240" s="41" t="n">
        <x:v>6.802475</x:v>
      </x:c>
      <x:c r="N240" s="41" t="n">
        <x:v>-56.473669</x:v>
      </x:c>
      <x:c r="O240" s="41" t="n">
        <x:v>506.057416</x:v>
      </x:c>
      <x:c r="P240" s="41" t="n">
        <x:f>IFERROR(M240/ABS(N240),"")</x:f>
        <x:v>0.12045392340278087</x:v>
      </x:c>
      <x:c r="Q240" s="41" t="str">
        <x:f>IF(L240&gt;=MAX(H240,P240),"Weekly",IF(H240&gt;=MAX(L240,P240),"No weekly","SPY"))</x:f>
        <x:v>Weekly</x:v>
      </x:c>
      <x:c r="R240" s="41" t="n">
        <x:f>IFERROR(L240-P240,"")</x:f>
        <x:v>0.30606927215651025</x:v>
      </x:c>
      <x:c r="S240" s="41" t="n">
        <x:f>IFERROR(H240-P240,"")</x:f>
        <x:v>0.2659240073834548</x:v>
      </x:c>
      <x:c r="T240" s="41" t="n">
        <x:f>IFERROR(I240-M240,"")</x:f>
        <x:v>5.615744</x:v>
      </x:c>
      <x:c r="U240" s="41" t="n">
        <x:f>IFERROR(E240-M240,"")</x:f>
        <x:v>6.310135999999999</x:v>
      </x:c>
      <x:c r="V240" s="41" t="str">
        <x:f>IF(AND(I240&gt;M240,J240&gt;N240),"Sí","No")</x:f>
        <x:v>Sí</x:v>
      </x:c>
      <x:c r="W240" s="41" t="str">
        <x:f>IF(AND(E240&gt;M240,F240&gt;N240),"Sí","No")</x:f>
        <x:v>Sí</x:v>
      </x:c>
      <x:c r="X240" s="41" t="str">
        <x:f>IF(L240&gt;=H240,"Weekly","No weekly")</x:f>
        <x:v>Weekly</x:v>
      </x:c>
      <x:c r="Y240" s="41" t="n">
        <x:f>IFERROR(I240-E240,"")</x:f>
        <x:v>-0.6943919999999988</x:v>
      </x:c>
      <x:c r="Z240" s="41" t="n">
        <x:f>IFERROR(J240-F240,"")</x:f>
        <x:v>4.822275999999999</x:v>
      </x:c>
      <x:c r="AA240" s="41" t="n">
        <x:v>12047</x:v>
      </x:c>
      <x:c r="AB240" s="41" t="n">
        <x:v>5803</x:v>
      </x:c>
    </x:row>
    <x:row r="241">
      <x:c r="A241" s="41" t="str">
        <x:v>HYP_REFINE_AUTO002_TOPN_6_V1_DDGRID_EXT_R12_C24_E75_CR40_REDD_RECOVERED_DD8_SL18</x:v>
      </x:c>
      <x:c r="B241" s="41" t="str">
        <x:v>dd_guard_grid</x:v>
      </x:c>
      <x:c r="C241" s="41" t="str">
        <x:v>1999-01-04</x:v>
      </x:c>
      <x:c r="D241" s="41" t="str">
        <x:v>2026-05-22</x:v>
      </x:c>
      <x:c r="E241" s="41" t="n">
        <x:v>12.302733</x:v>
      </x:c>
      <x:c r="F241" s="41" t="n">
        <x:v>-33.186006</x:v>
      </x:c>
      <x:c r="G241" s="41" t="n">
        <x:v>2296.690022</x:v>
      </x:c>
      <x:c r="H241" s="41" t="n">
        <x:f>IFERROR(E241/ABS(F241),"")</x:f>
        <x:v>0.3707205079152942</x:v>
      </x:c>
      <x:c r="I241" s="41" t="n">
        <x:v>12.600932</x:v>
      </x:c>
      <x:c r="J241" s="41" t="n">
        <x:v>-29.509193</x:v>
      </x:c>
      <x:c r="K241" s="41" t="n">
        <x:v>2477.167511</x:v>
      </x:c>
      <x:c r="L241" s="41" t="n">
        <x:f>IFERROR(I241/ABS(J241),"")</x:f>
        <x:v>0.4270171671587224</x:v>
      </x:c>
      <x:c r="M241" s="41" t="n">
        <x:v>6.802475</x:v>
      </x:c>
      <x:c r="N241" s="41" t="n">
        <x:v>-56.473669</x:v>
      </x:c>
      <x:c r="O241" s="41" t="n">
        <x:v>506.057416</x:v>
      </x:c>
      <x:c r="P241" s="41" t="n">
        <x:f>IFERROR(M241/ABS(N241),"")</x:f>
        <x:v>0.12045392340278087</x:v>
      </x:c>
      <x:c r="Q241" s="41" t="str">
        <x:f>IF(L241&gt;=MAX(H241,P241),"Weekly",IF(H241&gt;=MAX(L241,P241),"No weekly","SPY"))</x:f>
        <x:v>Weekly</x:v>
      </x:c>
      <x:c r="R241" s="41" t="n">
        <x:f>IFERROR(L241-P241,"")</x:f>
        <x:v>0.3065632437559415</x:v>
      </x:c>
      <x:c r="S241" s="41" t="n">
        <x:f>IFERROR(H241-P241,"")</x:f>
        <x:v>0.2502665845125133</x:v>
      </x:c>
      <x:c r="T241" s="41" t="n">
        <x:f>IFERROR(I241-M241,"")</x:f>
        <x:v>5.798457</x:v>
      </x:c>
      <x:c r="U241" s="41" t="n">
        <x:f>IFERROR(E241-M241,"")</x:f>
        <x:v>5.500258</x:v>
      </x:c>
      <x:c r="V241" s="41" t="str">
        <x:f>IF(AND(I241&gt;M241,J241&gt;N241),"Sí","No")</x:f>
        <x:v>Sí</x:v>
      </x:c>
      <x:c r="W241" s="41" t="str">
        <x:f>IF(AND(E241&gt;M241,F241&gt;N241),"Sí","No")</x:f>
        <x:v>Sí</x:v>
      </x:c>
      <x:c r="X241" s="41" t="str">
        <x:f>IF(L241&gt;=H241,"Weekly","No weekly")</x:f>
        <x:v>Weekly</x:v>
      </x:c>
      <x:c r="Y241" s="41" t="n">
        <x:f>IFERROR(I241-E241,"")</x:f>
        <x:v>0.2981990000000003</x:v>
      </x:c>
      <x:c r="Z241" s="41" t="n">
        <x:f>IFERROR(J241-F241,"")</x:f>
        <x:v>3.676812999999999</x:v>
      </x:c>
      <x:c r="AA241" s="41" t="n">
        <x:v>11469</x:v>
      </x:c>
      <x:c r="AB241" s="41" t="n">
        <x:v>5443</x:v>
      </x:c>
    </x:row>
    <x:row r="242">
      <x:c r="A242" s="41" t="str">
        <x:v>HYP_REFINE_AUTO002_TOPN_6_V1_DDGRID_EXT_R12_C24_E75_CR40_REDD_RECOVERED_DD8_SL20</x:v>
      </x:c>
      <x:c r="B242" s="41" t="str">
        <x:v>dd_guard_grid</x:v>
      </x:c>
      <x:c r="C242" s="41" t="str">
        <x:v>1999-01-04</x:v>
      </x:c>
      <x:c r="D242" s="41" t="str">
        <x:v>2026-05-22</x:v>
      </x:c>
      <x:c r="E242" s="41" t="n">
        <x:v>13.209965</x:v>
      </x:c>
      <x:c r="F242" s="41" t="n">
        <x:v>-33.937267</x:v>
      </x:c>
      <x:c r="G242" s="41" t="n">
        <x:v>2887.317874</x:v>
      </x:c>
      <x:c r="H242" s="41" t="n">
        <x:f>IFERROR(E242/ABS(F242),"")</x:f>
        <x:v>0.38924657663211365</x:v>
      </x:c>
      <x:c r="I242" s="41" t="n">
        <x:v>12.808918</x:v>
      </x:c>
      <x:c r="J242" s="41" t="n">
        <x:v>-29.150912</x:v>
      </x:c>
      <x:c r="K242" s="41" t="n">
        <x:v>2610.722803</x:v>
      </x:c>
      <x:c r="L242" s="41" t="n">
        <x:f>IFERROR(I242/ABS(J242),"")</x:f>
        <x:v>0.43940024929580246</x:v>
      </x:c>
      <x:c r="M242" s="41" t="n">
        <x:v>6.802475</x:v>
      </x:c>
      <x:c r="N242" s="41" t="n">
        <x:v>-56.473669</x:v>
      </x:c>
      <x:c r="O242" s="41" t="n">
        <x:v>506.057416</x:v>
      </x:c>
      <x:c r="P242" s="41" t="n">
        <x:f>IFERROR(M242/ABS(N242),"")</x:f>
        <x:v>0.12045392340278087</x:v>
      </x:c>
      <x:c r="Q242" s="41" t="str">
        <x:f>IF(L242&gt;=MAX(H242,P242),"Weekly",IF(H242&gt;=MAX(L242,P242),"No weekly","SPY"))</x:f>
        <x:v>Weekly</x:v>
      </x:c>
      <x:c r="R242" s="41" t="n">
        <x:f>IFERROR(L242-P242,"")</x:f>
        <x:v>0.3189463258930216</x:v>
      </x:c>
      <x:c r="S242" s="41" t="n">
        <x:f>IFERROR(H242-P242,"")</x:f>
        <x:v>0.26879265322933277</x:v>
      </x:c>
      <x:c r="T242" s="41" t="n">
        <x:f>IFERROR(I242-M242,"")</x:f>
        <x:v>6.006443</x:v>
      </x:c>
      <x:c r="U242" s="41" t="n">
        <x:f>IFERROR(E242-M242,"")</x:f>
        <x:v>6.40749</x:v>
      </x:c>
      <x:c r="V242" s="41" t="str">
        <x:f>IF(AND(I242&gt;M242,J242&gt;N242),"Sí","No")</x:f>
        <x:v>Sí</x:v>
      </x:c>
      <x:c r="W242" s="41" t="str">
        <x:f>IF(AND(E242&gt;M242,F242&gt;N242),"Sí","No")</x:f>
        <x:v>Sí</x:v>
      </x:c>
      <x:c r="X242" s="41" t="str">
        <x:f>IF(L242&gt;=H242,"Weekly","No weekly")</x:f>
        <x:v>Weekly</x:v>
      </x:c>
      <x:c r="Y242" s="41" t="n">
        <x:f>IFERROR(I242-E242,"")</x:f>
        <x:v>-0.40104700000000015</x:v>
      </x:c>
      <x:c r="Z242" s="41" t="n">
        <x:f>IFERROR(J242-F242,"")</x:f>
        <x:v>4.786354999999997</x:v>
      </x:c>
      <x:c r="AA242" s="41" t="n">
        <x:v>11582</x:v>
      </x:c>
      <x:c r="AB242" s="41" t="n">
        <x:v>5373</x:v>
      </x:c>
    </x:row>
    <x:row r="243">
      <x:c r="A243" s="41" t="str">
        <x:v>HYP_REFINE_AUTO002_TOPN_6_V1_DDGRID_EXT_R12_C24_E75_CR40_REDD_RECOVERED_DD8_SL22</x:v>
      </x:c>
      <x:c r="B243" s="41" t="str">
        <x:v>dd_guard_grid</x:v>
      </x:c>
      <x:c r="C243" s="41" t="str">
        <x:v>1999-01-04</x:v>
      </x:c>
      <x:c r="D243" s="41" t="str">
        <x:v>2026-05-22</x:v>
      </x:c>
      <x:c r="E243" s="41" t="n">
        <x:v>12.858775</x:v>
      </x:c>
      <x:c r="F243" s="41" t="n">
        <x:v>-34.388897</x:v>
      </x:c>
      <x:c r="G243" s="41" t="n">
        <x:v>2643.715101</x:v>
      </x:c>
      <x:c r="H243" s="41" t="n">
        <x:f>IFERROR(E243/ABS(F243),"")</x:f>
        <x:v>0.373922286603144</x:v>
      </x:c>
      <x:c r="I243" s="41" t="n">
        <x:v>12.825955</x:v>
      </x:c>
      <x:c r="J243" s="41" t="n">
        <x:v>-29.00038</x:v>
      </x:c>
      <x:c r="K243" s="41" t="n">
        <x:v>2621.953314</x:v>
      </x:c>
      <x:c r="L243" s="41" t="n">
        <x:f>IFERROR(I243/ABS(J243),"")</x:f>
        <x:v>0.44226851510221593</x:v>
      </x:c>
      <x:c r="M243" s="41" t="n">
        <x:v>6.802475</x:v>
      </x:c>
      <x:c r="N243" s="41" t="n">
        <x:v>-56.473669</x:v>
      </x:c>
      <x:c r="O243" s="41" t="n">
        <x:v>506.057416</x:v>
      </x:c>
      <x:c r="P243" s="41" t="n">
        <x:f>IFERROR(M243/ABS(N243),"")</x:f>
        <x:v>0.12045392340278087</x:v>
      </x:c>
      <x:c r="Q243" s="41" t="str">
        <x:f>IF(L243&gt;=MAX(H243,P243),"Weekly",IF(H243&gt;=MAX(L243,P243),"No weekly","SPY"))</x:f>
        <x:v>Weekly</x:v>
      </x:c>
      <x:c r="R243" s="41" t="n">
        <x:f>IFERROR(L243-P243,"")</x:f>
        <x:v>0.32181459169943505</x:v>
      </x:c>
      <x:c r="S243" s="41" t="n">
        <x:f>IFERROR(H243-P243,"")</x:f>
        <x:v>0.25346836320036314</x:v>
      </x:c>
      <x:c r="T243" s="41" t="n">
        <x:f>IFERROR(I243-M243,"")</x:f>
        <x:v>6.02348</x:v>
      </x:c>
      <x:c r="U243" s="41" t="n">
        <x:f>IFERROR(E243-M243,"")</x:f>
        <x:v>6.056299999999999</x:v>
      </x:c>
      <x:c r="V243" s="41" t="str">
        <x:f>IF(AND(I243&gt;M243,J243&gt;N243),"Sí","No")</x:f>
        <x:v>Sí</x:v>
      </x:c>
      <x:c r="W243" s="41" t="str">
        <x:f>IF(AND(E243&gt;M243,F243&gt;N243),"Sí","No")</x:f>
        <x:v>Sí</x:v>
      </x:c>
      <x:c r="X243" s="41" t="str">
        <x:f>IF(L243&gt;=H243,"Weekly","No weekly")</x:f>
        <x:v>Weekly</x:v>
      </x:c>
      <x:c r="Y243" s="41" t="n">
        <x:f>IFERROR(I243-E243,"")</x:f>
        <x:v>-0.03281999999999918</x:v>
      </x:c>
      <x:c r="Z243" s="41" t="n">
        <x:f>IFERROR(J243-F243,"")</x:f>
        <x:v>5.388517</x:v>
      </x:c>
      <x:c r="AA243" s="41" t="n">
        <x:v>11585</x:v>
      </x:c>
      <x:c r="AB243" s="41" t="n">
        <x:v>5576</x:v>
      </x:c>
    </x:row>
    <x:row r="244">
      <x:c r="A244" s="41" t="str">
        <x:v>HYP_REFINE_AUTO002_TOPN_6_V1_DDGRID_EXT_R12_C24_E75_CR40_REDD_RECOVERED_DD8_SL25</x:v>
      </x:c>
      <x:c r="B244" s="41" t="str">
        <x:v>dd_guard_grid</x:v>
      </x:c>
      <x:c r="C244" s="41" t="str">
        <x:v>1999-01-04</x:v>
      </x:c>
      <x:c r="D244" s="41" t="str">
        <x:v>2026-05-22</x:v>
      </x:c>
      <x:c r="E244" s="41" t="n">
        <x:v>12.063368</x:v>
      </x:c>
      <x:c r="F244" s="41" t="n">
        <x:v>-35.713335</x:v>
      </x:c>
      <x:c r="G244" s="41" t="n">
        <x:v>2160.69249</x:v>
      </x:c>
      <x:c r="H244" s="41" t="n">
        <x:f>IFERROR(E244/ABS(F244),"")</x:f>
        <x:v>0.337783295791334</x:v>
      </x:c>
      <x:c r="I244" s="41" t="n">
        <x:v>13.86273</x:v>
      </x:c>
      <x:c r="J244" s="41" t="n">
        <x:v>-28.897036</x:v>
      </x:c>
      <x:c r="K244" s="41" t="n">
        <x:v>3396.583406</x:v>
      </x:c>
      <x:c r="L244" s="41" t="n">
        <x:f>IFERROR(I244/ABS(J244),"")</x:f>
        <x:v>0.4797284399687221</x:v>
      </x:c>
      <x:c r="M244" s="41" t="n">
        <x:v>6.802475</x:v>
      </x:c>
      <x:c r="N244" s="41" t="n">
        <x:v>-56.473669</x:v>
      </x:c>
      <x:c r="O244" s="41" t="n">
        <x:v>506.057416</x:v>
      </x:c>
      <x:c r="P244" s="41" t="n">
        <x:f>IFERROR(M244/ABS(N244),"")</x:f>
        <x:v>0.12045392340278087</x:v>
      </x:c>
      <x:c r="Q244" s="41" t="str">
        <x:f>IF(L244&gt;=MAX(H244,P244),"Weekly",IF(H244&gt;=MAX(L244,P244),"No weekly","SPY"))</x:f>
        <x:v>Weekly</x:v>
      </x:c>
      <x:c r="R244" s="41" t="n">
        <x:f>IFERROR(L244-P244,"")</x:f>
        <x:v>0.3592745165659412</x:v>
      </x:c>
      <x:c r="S244" s="41" t="n">
        <x:f>IFERROR(H244-P244,"")</x:f>
        <x:v>0.2173293723885531</x:v>
      </x:c>
      <x:c r="T244" s="41" t="n">
        <x:f>IFERROR(I244-M244,"")</x:f>
        <x:v>7.060255000000001</x:v>
      </x:c>
      <x:c r="U244" s="41" t="n">
        <x:f>IFERROR(E244-M244,"")</x:f>
        <x:v>5.260893</x:v>
      </x:c>
      <x:c r="V244" s="41" t="str">
        <x:f>IF(AND(I244&gt;M244,J244&gt;N244),"Sí","No")</x:f>
        <x:v>Sí</x:v>
      </x:c>
      <x:c r="W244" s="41" t="str">
        <x:f>IF(AND(E244&gt;M244,F244&gt;N244),"Sí","No")</x:f>
        <x:v>Sí</x:v>
      </x:c>
      <x:c r="X244" s="41" t="str">
        <x:f>IF(L244&gt;=H244,"Weekly","No weekly")</x:f>
        <x:v>Weekly</x:v>
      </x:c>
      <x:c r="Y244" s="41" t="n">
        <x:f>IFERROR(I244-E244,"")</x:f>
        <x:v>1.7993620000000004</x:v>
      </x:c>
      <x:c r="Z244" s="41" t="n">
        <x:f>IFERROR(J244-F244,"")</x:f>
        <x:v>6.816299000000001</x:v>
      </x:c>
      <x:c r="AA244" s="41" t="n">
        <x:v>11474</x:v>
      </x:c>
      <x:c r="AB244" s="41" t="n">
        <x:v>5819</x:v>
      </x:c>
    </x:row>
    <x:row r="245">
      <x:c r="A245" s="41" t="str">
        <x:v>HYP_REFINE_AUTO002_TOPN_6_V1_DDGRID_EXT_R12_C24_E75_CR40_REDD_RECOVERED_DD8_SLNONE</x:v>
      </x:c>
      <x:c r="B245" s="41" t="str">
        <x:v>dd_guard_grid</x:v>
      </x:c>
      <x:c r="C245" s="41" t="str">
        <x:v>1999-01-04</x:v>
      </x:c>
      <x:c r="D245" s="41" t="str">
        <x:v>2026-05-22</x:v>
      </x:c>
      <x:c r="E245" s="41" t="n">
        <x:v>12.588887</x:v>
      </x:c>
      <x:c r="F245" s="41" t="n">
        <x:v>-35.185798</x:v>
      </x:c>
      <x:c r="G245" s="41" t="n">
        <x:v>2469.6302</x:v>
      </x:c>
      <x:c r="H245" s="41" t="n">
        <x:f>IFERROR(E245/ABS(F245),"")</x:f>
        <x:v>0.35778318854669716</x:v>
      </x:c>
      <x:c r="I245" s="41" t="n">
        <x:v>13.862742</x:v>
      </x:c>
      <x:c r="J245" s="41" t="n">
        <x:v>-29.625517</x:v>
      </x:c>
      <x:c r="K245" s="41" t="n">
        <x:v>3396.593081</x:v>
      </x:c>
      <x:c r="L245" s="41" t="n">
        <x:f>IFERROR(I245/ABS(J245),"")</x:f>
        <x:v>0.4679324921148212</x:v>
      </x:c>
      <x:c r="M245" s="41" t="n">
        <x:v>6.802475</x:v>
      </x:c>
      <x:c r="N245" s="41" t="n">
        <x:v>-56.473669</x:v>
      </x:c>
      <x:c r="O245" s="41" t="n">
        <x:v>506.057416</x:v>
      </x:c>
      <x:c r="P245" s="41" t="n">
        <x:f>IFERROR(M245/ABS(N245),"")</x:f>
        <x:v>0.12045392340278087</x:v>
      </x:c>
      <x:c r="Q245" s="41" t="str">
        <x:f>IF(L245&gt;=MAX(H245,P245),"Weekly",IF(H245&gt;=MAX(L245,P245),"No weekly","SPY"))</x:f>
        <x:v>Weekly</x:v>
      </x:c>
      <x:c r="R245" s="41" t="n">
        <x:f>IFERROR(L245-P245,"")</x:f>
        <x:v>0.3474785687120403</x:v>
      </x:c>
      <x:c r="S245" s="41" t="n">
        <x:f>IFERROR(H245-P245,"")</x:f>
        <x:v>0.23732926514391628</x:v>
      </x:c>
      <x:c r="T245" s="41" t="n">
        <x:f>IFERROR(I245-M245,"")</x:f>
        <x:v>7.0602670000000005</x:v>
      </x:c>
      <x:c r="U245" s="41" t="n">
        <x:f>IFERROR(E245-M245,"")</x:f>
        <x:v>5.7864119999999994</x:v>
      </x:c>
      <x:c r="V245" s="41" t="str">
        <x:f>IF(AND(I245&gt;M245,J245&gt;N245),"Sí","No")</x:f>
        <x:v>Sí</x:v>
      </x:c>
      <x:c r="W245" s="41" t="str">
        <x:f>IF(AND(E245&gt;M245,F245&gt;N245),"Sí","No")</x:f>
        <x:v>Sí</x:v>
      </x:c>
      <x:c r="X245" s="41" t="str">
        <x:f>IF(L245&gt;=H245,"Weekly","No weekly")</x:f>
        <x:v>Weekly</x:v>
      </x:c>
      <x:c r="Y245" s="41" t="n">
        <x:f>IFERROR(I245-E245,"")</x:f>
        <x:v>1.273855000000001</x:v>
      </x:c>
      <x:c r="Z245" s="41" t="n">
        <x:f>IFERROR(J245-F245,"")</x:f>
        <x:v>5.560281</x:v>
      </x:c>
      <x:c r="AA245" s="41" t="n">
        <x:v>11707</x:v>
      </x:c>
      <x:c r="AB245" s="41" t="n">
        <x:v>6144</x:v>
      </x:c>
    </x:row>
    <x:row r="246">
      <x:c r="A246" s="41" t="str">
        <x:v>HYP_REFINE_AUTO002_TOPN_6_V1_DDGRID_EXT_R12_C24_E75_CR50_REDD_RECOVERED_DD10_SL18</x:v>
      </x:c>
      <x:c r="B246" s="41" t="str">
        <x:v>dd_guard_grid</x:v>
      </x:c>
      <x:c r="C246" s="41" t="str">
        <x:v>1999-01-04</x:v>
      </x:c>
      <x:c r="D246" s="41" t="str">
        <x:v>2026-05-22</x:v>
      </x:c>
      <x:c r="E246" s="41" t="n">
        <x:v>13.628597</x:v>
      </x:c>
      <x:c r="F246" s="41" t="n">
        <x:v>-35.028353</x:v>
      </x:c>
      <x:c r="G246" s="41" t="n">
        <x:v>3204.98033</x:v>
      </x:c>
      <x:c r="H246" s="41" t="n">
        <x:f>IFERROR(E246/ABS(F246),"")</x:f>
        <x:v>0.3890733029897237</x:v>
      </x:c>
      <x:c r="I246" s="41" t="n">
        <x:v>13.740644</x:v>
      </x:c>
      <x:c r="J246" s="41" t="n">
        <x:v>-30.526509</x:v>
      </x:c>
      <x:c r="K246" s="41" t="n">
        <x:v>3295.376377</x:v>
      </x:c>
      <x:c r="L246" s="41" t="n">
        <x:f>IFERROR(I246/ABS(J246),"")</x:f>
        <x:v>0.4501216958676801</x:v>
      </x:c>
      <x:c r="M246" s="41" t="n">
        <x:v>6.802475</x:v>
      </x:c>
      <x:c r="N246" s="41" t="n">
        <x:v>-56.473669</x:v>
      </x:c>
      <x:c r="O246" s="41" t="n">
        <x:v>506.057416</x:v>
      </x:c>
      <x:c r="P246" s="41" t="n">
        <x:f>IFERROR(M246/ABS(N246),"")</x:f>
        <x:v>0.12045392340278087</x:v>
      </x:c>
      <x:c r="Q246" s="41" t="str">
        <x:f>IF(L246&gt;=MAX(H246,P246),"Weekly",IF(H246&gt;=MAX(L246,P246),"No weekly","SPY"))</x:f>
        <x:v>Weekly</x:v>
      </x:c>
      <x:c r="R246" s="41" t="n">
        <x:f>IFERROR(L246-P246,"")</x:f>
        <x:v>0.3296677724648992</x:v>
      </x:c>
      <x:c r="S246" s="41" t="n">
        <x:f>IFERROR(H246-P246,"")</x:f>
        <x:v>0.2686193795869428</x:v>
      </x:c>
      <x:c r="T246" s="41" t="n">
        <x:f>IFERROR(I246-M246,"")</x:f>
        <x:v>6.938168999999999</x:v>
      </x:c>
      <x:c r="U246" s="41" t="n">
        <x:f>IFERROR(E246-M246,"")</x:f>
        <x:v>6.826121999999999</x:v>
      </x:c>
      <x:c r="V246" s="41" t="str">
        <x:f>IF(AND(I246&gt;M246,J246&gt;N246),"Sí","No")</x:f>
        <x:v>Sí</x:v>
      </x:c>
      <x:c r="W246" s="41" t="str">
        <x:f>IF(AND(E246&gt;M246,F246&gt;N246),"Sí","No")</x:f>
        <x:v>Sí</x:v>
      </x:c>
      <x:c r="X246" s="41" t="str">
        <x:f>IF(L246&gt;=H246,"Weekly","No weekly")</x:f>
        <x:v>Weekly</x:v>
      </x:c>
      <x:c r="Y246" s="41" t="n">
        <x:f>IFERROR(I246-E246,"")</x:f>
        <x:v>0.11204700000000045</x:v>
      </x:c>
      <x:c r="Z246" s="41" t="n">
        <x:f>IFERROR(J246-F246,"")</x:f>
        <x:v>4.501844000000002</x:v>
      </x:c>
      <x:c r="AA246" s="41" t="n">
        <x:v>10756</x:v>
      </x:c>
      <x:c r="AB246" s="41" t="n">
        <x:v>4908</x:v>
      </x:c>
    </x:row>
    <x:row r="247">
      <x:c r="A247" s="41" t="str">
        <x:v>HYP_REFINE_AUTO002_TOPN_6_V1_DDGRID_EXT_R12_C24_E75_CR50_REDD_RECOVERED_DD10_SL20</x:v>
      </x:c>
      <x:c r="B247" s="41" t="str">
        <x:v>dd_guard_grid</x:v>
      </x:c>
      <x:c r="C247" s="41" t="str">
        <x:v>1999-01-04</x:v>
      </x:c>
      <x:c r="D247" s="41" t="str">
        <x:v>2026-05-22</x:v>
      </x:c>
      <x:c r="E247" s="41" t="n">
        <x:v>14.333566</x:v>
      </x:c>
      <x:c r="F247" s="41" t="n">
        <x:v>-36.040647</x:v>
      </x:c>
      <x:c r="G247" s="41" t="n">
        <x:v>3814.807972</x:v>
      </x:c>
      <x:c r="H247" s="41" t="n">
        <x:f>IFERROR(E247/ABS(F247),"")</x:f>
        <x:v>0.39770556838227683</x:v>
      </x:c>
      <x:c r="I247" s="41" t="n">
        <x:v>15.149306</x:v>
      </x:c>
      <x:c r="J247" s="41" t="n">
        <x:v>-30.044477</x:v>
      </x:c>
      <x:c r="K247" s="41" t="n">
        <x:v>4656.0201</x:v>
      </x:c>
      <x:c r="L247" s="41" t="n">
        <x:f>IFERROR(I247/ABS(J247),"")</x:f>
        <x:v>0.5042293130947162</x:v>
      </x:c>
      <x:c r="M247" s="41" t="n">
        <x:v>6.802475</x:v>
      </x:c>
      <x:c r="N247" s="41" t="n">
        <x:v>-56.473669</x:v>
      </x:c>
      <x:c r="O247" s="41" t="n">
        <x:v>506.057416</x:v>
      </x:c>
      <x:c r="P247" s="41" t="n">
        <x:f>IFERROR(M247/ABS(N247),"")</x:f>
        <x:v>0.12045392340278087</x:v>
      </x:c>
      <x:c r="Q247" s="41" t="str">
        <x:f>IF(L247&gt;=MAX(H247,P247),"Weekly",IF(H247&gt;=MAX(L247,P247),"No weekly","SPY"))</x:f>
        <x:v>Weekly</x:v>
      </x:c>
      <x:c r="R247" s="41" t="n">
        <x:f>IFERROR(L247-P247,"")</x:f>
        <x:v>0.3837753896919353</x:v>
      </x:c>
      <x:c r="S247" s="41" t="n">
        <x:f>IFERROR(H247-P247,"")</x:f>
        <x:v>0.27725164497949595</x:v>
      </x:c>
      <x:c r="T247" s="41" t="n">
        <x:f>IFERROR(I247-M247,"")</x:f>
        <x:v>8.346830999999998</x:v>
      </x:c>
      <x:c r="U247" s="41" t="n">
        <x:f>IFERROR(E247-M247,"")</x:f>
        <x:v>7.531090999999999</x:v>
      </x:c>
      <x:c r="V247" s="41" t="str">
        <x:f>IF(AND(I247&gt;M247,J247&gt;N247),"Sí","No")</x:f>
        <x:v>Sí</x:v>
      </x:c>
      <x:c r="W247" s="41" t="str">
        <x:f>IF(AND(E247&gt;M247,F247&gt;N247),"Sí","No")</x:f>
        <x:v>Sí</x:v>
      </x:c>
      <x:c r="X247" s="41" t="str">
        <x:f>IF(L247&gt;=H247,"Weekly","No weekly")</x:f>
        <x:v>Weekly</x:v>
      </x:c>
      <x:c r="Y247" s="41" t="n">
        <x:f>IFERROR(I247-E247,"")</x:f>
        <x:v>0.8157399999999999</x:v>
      </x:c>
      <x:c r="Z247" s="41" t="n">
        <x:f>IFERROR(J247-F247,"")</x:f>
        <x:v>5.996169999999999</x:v>
      </x:c>
      <x:c r="AA247" s="41" t="n">
        <x:v>10687</x:v>
      </x:c>
      <x:c r="AB247" s="41" t="n">
        <x:v>4994</x:v>
      </x:c>
    </x:row>
    <x:row r="248">
      <x:c r="A248" s="41" t="str">
        <x:v>HYP_REFINE_AUTO002_TOPN_6_V1_DDGRID_EXT_R12_C24_E75_CR50_REDD_RECOVERED_DD10_SL22</x:v>
      </x:c>
      <x:c r="B248" s="41" t="str">
        <x:v>dd_guard_grid</x:v>
      </x:c>
      <x:c r="C248" s="41" t="str">
        <x:v>1999-01-04</x:v>
      </x:c>
      <x:c r="D248" s="41" t="str">
        <x:v>2026-05-22</x:v>
      </x:c>
      <x:c r="E248" s="41" t="n">
        <x:v>14.298065</x:v>
      </x:c>
      <x:c r="F248" s="41" t="n">
        <x:v>-36.607058</x:v>
      </x:c>
      <x:c r="G248" s="41" t="n">
        <x:v>3781.663545</x:v>
      </x:c>
      <x:c r="H248" s="41" t="n">
        <x:f>IFERROR(E248/ABS(F248),"")</x:f>
        <x:v>0.3905821931934546</x:v>
      </x:c>
      <x:c r="I248" s="41" t="n">
        <x:v>14.675593</x:v>
      </x:c>
      <x:c r="J248" s="41" t="n">
        <x:v>-29.903332</x:v>
      </x:c>
      <x:c r="K248" s="41" t="n">
        <x:v>4148.416298</x:v>
      </x:c>
      <x:c r="L248" s="41" t="n">
        <x:f>IFERROR(I248/ABS(J248),"")</x:f>
        <x:v>0.4907678181147171</x:v>
      </x:c>
      <x:c r="M248" s="41" t="n">
        <x:v>6.802475</x:v>
      </x:c>
      <x:c r="N248" s="41" t="n">
        <x:v>-56.473669</x:v>
      </x:c>
      <x:c r="O248" s="41" t="n">
        <x:v>506.057416</x:v>
      </x:c>
      <x:c r="P248" s="41" t="n">
        <x:f>IFERROR(M248/ABS(N248),"")</x:f>
        <x:v>0.12045392340278087</x:v>
      </x:c>
      <x:c r="Q248" s="41" t="str">
        <x:f>IF(L248&gt;=MAX(H248,P248),"Weekly",IF(H248&gt;=MAX(L248,P248),"No weekly","SPY"))</x:f>
        <x:v>Weekly</x:v>
      </x:c>
      <x:c r="R248" s="41" t="n">
        <x:f>IFERROR(L248-P248,"")</x:f>
        <x:v>0.3703138947119362</x:v>
      </x:c>
      <x:c r="S248" s="41" t="n">
        <x:f>IFERROR(H248-P248,"")</x:f>
        <x:v>0.2701282697906737</x:v>
      </x:c>
      <x:c r="T248" s="41" t="n">
        <x:f>IFERROR(I248-M248,"")</x:f>
        <x:v>7.873117999999999</x:v>
      </x:c>
      <x:c r="U248" s="41" t="n">
        <x:f>IFERROR(E248-M248,"")</x:f>
        <x:v>7.495589999999999</x:v>
      </x:c>
      <x:c r="V248" s="41" t="str">
        <x:f>IF(AND(I248&gt;M248,J248&gt;N248),"Sí","No")</x:f>
        <x:v>Sí</x:v>
      </x:c>
      <x:c r="W248" s="41" t="str">
        <x:f>IF(AND(E248&gt;M248,F248&gt;N248),"Sí","No")</x:f>
        <x:v>Sí</x:v>
      </x:c>
      <x:c r="X248" s="41" t="str">
        <x:f>IF(L248&gt;=H248,"Weekly","No weekly")</x:f>
        <x:v>Weekly</x:v>
      </x:c>
      <x:c r="Y248" s="41" t="n">
        <x:f>IFERROR(I248-E248,"")</x:f>
        <x:v>0.37752799999999986</x:v>
      </x:c>
      <x:c r="Z248" s="41" t="n">
        <x:f>IFERROR(J248-F248,"")</x:f>
        <x:v>6.703726000000003</x:v>
      </x:c>
      <x:c r="AA248" s="41" t="n">
        <x:v>10968</x:v>
      </x:c>
      <x:c r="AB248" s="41" t="n">
        <x:v>4881</x:v>
      </x:c>
    </x:row>
    <x:row r="249">
      <x:c r="A249" s="41" t="str">
        <x:v>HYP_REFINE_AUTO002_TOPN_6_V1_DDGRID_EXT_R12_C24_E75_CR50_REDD_RECOVERED_DD10_SL25</x:v>
      </x:c>
      <x:c r="B249" s="41" t="str">
        <x:v>dd_guard_grid</x:v>
      </x:c>
      <x:c r="C249" s="41" t="str">
        <x:v>1999-01-04</x:v>
      </x:c>
      <x:c r="D249" s="41" t="str">
        <x:v>2026-05-22</x:v>
      </x:c>
      <x:c r="E249" s="41" t="n">
        <x:v>14.092518</x:v>
      </x:c>
      <x:c r="F249" s="41" t="n">
        <x:v>-37.240179</x:v>
      </x:c>
      <x:c r="G249" s="41" t="n">
        <x:v>3595.011121</x:v>
      </x:c>
      <x:c r="H249" s="41" t="n">
        <x:f>IFERROR(E249/ABS(F249),"")</x:f>
        <x:v>0.378422402319817</x:v>
      </x:c>
      <x:c r="I249" s="41" t="n">
        <x:v>14.612697</x:v>
      </x:c>
      <x:c r="J249" s="41" t="n">
        <x:v>-29.873001</x:v>
      </x:c>
      <x:c r="K249" s="41" t="n">
        <x:v>4085.080202</x:v>
      </x:c>
      <x:c r="L249" s="41" t="n">
        <x:f>IFERROR(I249/ABS(J249),"")</x:f>
        <x:v>0.48916066383822643</x:v>
      </x:c>
      <x:c r="M249" s="41" t="n">
        <x:v>6.802475</x:v>
      </x:c>
      <x:c r="N249" s="41" t="n">
        <x:v>-56.473669</x:v>
      </x:c>
      <x:c r="O249" s="41" t="n">
        <x:v>506.057416</x:v>
      </x:c>
      <x:c r="P249" s="41" t="n">
        <x:f>IFERROR(M249/ABS(N249),"")</x:f>
        <x:v>0.12045392340278087</x:v>
      </x:c>
      <x:c r="Q249" s="41" t="str">
        <x:f>IF(L249&gt;=MAX(H249,P249),"Weekly",IF(H249&gt;=MAX(L249,P249),"No weekly","SPY"))</x:f>
        <x:v>Weekly</x:v>
      </x:c>
      <x:c r="R249" s="41" t="n">
        <x:f>IFERROR(L249-P249,"")</x:f>
        <x:v>0.36870674043544555</x:v>
      </x:c>
      <x:c r="S249" s="41" t="n">
        <x:f>IFERROR(H249-P249,"")</x:f>
        <x:v>0.2579684789170361</x:v>
      </x:c>
      <x:c r="T249" s="41" t="n">
        <x:f>IFERROR(I249-M249,"")</x:f>
        <x:v>7.810222</x:v>
      </x:c>
      <x:c r="U249" s="41" t="n">
        <x:f>IFERROR(E249-M249,"")</x:f>
        <x:v>7.290043</x:v>
      </x:c>
      <x:c r="V249" s="41" t="str">
        <x:f>IF(AND(I249&gt;M249,J249&gt;N249),"Sí","No")</x:f>
        <x:v>Sí</x:v>
      </x:c>
      <x:c r="W249" s="41" t="str">
        <x:f>IF(AND(E249&gt;M249,F249&gt;N249),"Sí","No")</x:f>
        <x:v>Sí</x:v>
      </x:c>
      <x:c r="X249" s="41" t="str">
        <x:f>IF(L249&gt;=H249,"Weekly","No weekly")</x:f>
        <x:v>Weekly</x:v>
      </x:c>
      <x:c r="Y249" s="41" t="n">
        <x:f>IFERROR(I249-E249,"")</x:f>
        <x:v>0.5201790000000006</x:v>
      </x:c>
      <x:c r="Z249" s="41" t="n">
        <x:f>IFERROR(J249-F249,"")</x:f>
        <x:v>7.367177999999999</x:v>
      </x:c>
      <x:c r="AA249" s="41" t="n">
        <x:v>10927</x:v>
      </x:c>
      <x:c r="AB249" s="41" t="n">
        <x:v>5262</x:v>
      </x:c>
    </x:row>
    <x:row r="250">
      <x:c r="A250" s="41" t="str">
        <x:v>HYP_REFINE_AUTO002_TOPN_6_V1_DDGRID_EXT_R12_C24_E75_CR50_REDD_RECOVERED_DD10_SLNONE</x:v>
      </x:c>
      <x:c r="B250" s="41" t="str">
        <x:v>dd_guard_grid</x:v>
      </x:c>
      <x:c r="C250" s="41" t="str">
        <x:v>1999-01-04</x:v>
      </x:c>
      <x:c r="D250" s="41" t="str">
        <x:v>2026-05-22</x:v>
      </x:c>
      <x:c r="E250" s="41" t="n">
        <x:v>14.166092</x:v>
      </x:c>
      <x:c r="F250" s="41" t="n">
        <x:v>-36.866255</x:v>
      </x:c>
      <x:c r="G250" s="41" t="n">
        <x:v>3660.80588</x:v>
      </x:c>
      <x:c r="H250" s="41" t="n">
        <x:f>IFERROR(E250/ABS(F250),"")</x:f>
        <x:v>0.3842563341462267</x:v>
      </x:c>
      <x:c r="I250" s="41" t="n">
        <x:v>14.743381</x:v>
      </x:c>
      <x:c r="J250" s="41" t="n">
        <x:v>-30.287977</x:v>
      </x:c>
      <x:c r="K250" s="41" t="n">
        <x:v>4217.712302</x:v>
      </x:c>
      <x:c r="L250" s="41" t="n">
        <x:f>IFERROR(I250/ABS(J250),"")</x:f>
        <x:v>0.48677338205849796</x:v>
      </x:c>
      <x:c r="M250" s="41" t="n">
        <x:v>6.802475</x:v>
      </x:c>
      <x:c r="N250" s="41" t="n">
        <x:v>-56.473669</x:v>
      </x:c>
      <x:c r="O250" s="41" t="n">
        <x:v>506.057416</x:v>
      </x:c>
      <x:c r="P250" s="41" t="n">
        <x:f>IFERROR(M250/ABS(N250),"")</x:f>
        <x:v>0.12045392340278087</x:v>
      </x:c>
      <x:c r="Q250" s="41" t="str">
        <x:f>IF(L250&gt;=MAX(H250,P250),"Weekly",IF(H250&gt;=MAX(L250,P250),"No weekly","SPY"))</x:f>
        <x:v>Weekly</x:v>
      </x:c>
      <x:c r="R250" s="41" t="n">
        <x:f>IFERROR(L250-P250,"")</x:f>
        <x:v>0.3663194586557171</x:v>
      </x:c>
      <x:c r="S250" s="41" t="n">
        <x:f>IFERROR(H250-P250,"")</x:f>
        <x:v>0.2638024107434458</x:v>
      </x:c>
      <x:c r="T250" s="41" t="n">
        <x:f>IFERROR(I250-M250,"")</x:f>
        <x:v>7.940905999999999</x:v>
      </x:c>
      <x:c r="U250" s="41" t="n">
        <x:f>IFERROR(E250-M250,"")</x:f>
        <x:v>7.3636170000000005</x:v>
      </x:c>
      <x:c r="V250" s="41" t="str">
        <x:f>IF(AND(I250&gt;M250,J250&gt;N250),"Sí","No")</x:f>
        <x:v>Sí</x:v>
      </x:c>
      <x:c r="W250" s="41" t="str">
        <x:f>IF(AND(E250&gt;M250,F250&gt;N250),"Sí","No")</x:f>
        <x:v>Sí</x:v>
      </x:c>
      <x:c r="X250" s="41" t="str">
        <x:f>IF(L250&gt;=H250,"Weekly","No weekly")</x:f>
        <x:v>Weekly</x:v>
      </x:c>
      <x:c r="Y250" s="41" t="n">
        <x:f>IFERROR(I250-E250,"")</x:f>
        <x:v>0.5772889999999986</x:v>
      </x:c>
      <x:c r="Z250" s="41" t="n">
        <x:f>IFERROR(J250-F250,"")</x:f>
        <x:v>6.578278000000001</x:v>
      </x:c>
      <x:c r="AA250" s="41" t="n">
        <x:v>10900</x:v>
      </x:c>
      <x:c r="AB250" s="41" t="n">
        <x:v>5577</x:v>
      </x:c>
    </x:row>
    <x:row r="251">
      <x:c r="A251" s="41" t="str">
        <x:v>HYP_REFINE_AUTO002_TOPN_6_V1_DDGRID_EXT_R12_C24_E75_CR50_REDD_RECOVERED_DD12_SL18</x:v>
      </x:c>
      <x:c r="B251" s="41" t="str">
        <x:v>dd_guard_grid</x:v>
      </x:c>
      <x:c r="C251" s="41" t="str">
        <x:v>1999-01-04</x:v>
      </x:c>
      <x:c r="D251" s="41" t="str">
        <x:v>2026-05-22</x:v>
      </x:c>
      <x:c r="E251" s="41" t="n">
        <x:v>13.781666</x:v>
      </x:c>
      <x:c r="F251" s="41" t="n">
        <x:v>-35.028353</x:v>
      </x:c>
      <x:c r="G251" s="41" t="n">
        <x:v>3329.063743</x:v>
      </x:c>
      <x:c r="H251" s="41" t="n">
        <x:f>IFERROR(E251/ABS(F251),"")</x:f>
        <x:v>0.3934431630285329</x:v>
      </x:c>
      <x:c r="I251" s="41" t="n">
        <x:v>13.437658</x:v>
      </x:c>
      <x:c r="J251" s="41" t="n">
        <x:v>-30.526509</x:v>
      </x:c>
      <x:c r="K251" s="41" t="n">
        <x:v>3056.253098</x:v>
      </x:c>
      <x:c r="L251" s="41" t="n">
        <x:f>IFERROR(I251/ABS(J251),"")</x:f>
        <x:v>0.44019635523996536</x:v>
      </x:c>
      <x:c r="M251" s="41" t="n">
        <x:v>6.802475</x:v>
      </x:c>
      <x:c r="N251" s="41" t="n">
        <x:v>-56.473669</x:v>
      </x:c>
      <x:c r="O251" s="41" t="n">
        <x:v>506.057416</x:v>
      </x:c>
      <x:c r="P251" s="41" t="n">
        <x:f>IFERROR(M251/ABS(N251),"")</x:f>
        <x:v>0.12045392340278087</x:v>
      </x:c>
      <x:c r="Q251" s="41" t="str">
        <x:f>IF(L251&gt;=MAX(H251,P251),"Weekly",IF(H251&gt;=MAX(L251,P251),"No weekly","SPY"))</x:f>
        <x:v>Weekly</x:v>
      </x:c>
      <x:c r="R251" s="41" t="n">
        <x:f>IFERROR(L251-P251,"")</x:f>
        <x:v>0.3197424318371845</x:v>
      </x:c>
      <x:c r="S251" s="41" t="n">
        <x:f>IFERROR(H251-P251,"")</x:f>
        <x:v>0.272989239625752</x:v>
      </x:c>
      <x:c r="T251" s="41" t="n">
        <x:f>IFERROR(I251-M251,"")</x:f>
        <x:v>6.6351830000000005</x:v>
      </x:c>
      <x:c r="U251" s="41" t="n">
        <x:f>IFERROR(E251-M251,"")</x:f>
        <x:v>6.979190999999999</x:v>
      </x:c>
      <x:c r="V251" s="41" t="str">
        <x:f>IF(AND(I251&gt;M251,J251&gt;N251),"Sí","No")</x:f>
        <x:v>Sí</x:v>
      </x:c>
      <x:c r="W251" s="41" t="str">
        <x:f>IF(AND(E251&gt;M251,F251&gt;N251),"Sí","No")</x:f>
        <x:v>Sí</x:v>
      </x:c>
      <x:c r="X251" s="41" t="str">
        <x:f>IF(L251&gt;=H251,"Weekly","No weekly")</x:f>
        <x:v>Weekly</x:v>
      </x:c>
      <x:c r="Y251" s="41" t="n">
        <x:f>IFERROR(I251-E251,"")</x:f>
        <x:v>-0.34400799999999876</x:v>
      </x:c>
      <x:c r="Z251" s="41" t="n">
        <x:f>IFERROR(J251-F251,"")</x:f>
        <x:v>4.501844000000002</x:v>
      </x:c>
      <x:c r="AA251" s="41" t="n">
        <x:v>10465</x:v>
      </x:c>
      <x:c r="AB251" s="41" t="n">
        <x:v>4456</x:v>
      </x:c>
    </x:row>
    <x:row r="252">
      <x:c r="A252" s="41" t="str">
        <x:v>HYP_REFINE_AUTO002_TOPN_6_V1_DDGRID_EXT_R12_C24_E75_CR50_REDD_RECOVERED_DD12_SL20</x:v>
      </x:c>
      <x:c r="B252" s="41" t="str">
        <x:v>dd_guard_grid</x:v>
      </x:c>
      <x:c r="C252" s="41" t="str">
        <x:v>1999-01-04</x:v>
      </x:c>
      <x:c r="D252" s="41" t="str">
        <x:v>2026-05-22</x:v>
      </x:c>
      <x:c r="E252" s="41" t="n">
        <x:v>14.595763</x:v>
      </x:c>
      <x:c r="F252" s="41" t="n">
        <x:v>-36.040647</x:v>
      </x:c>
      <x:c r="G252" s="41" t="n">
        <x:v>4068.183744</x:v>
      </x:c>
      <x:c r="H252" s="41" t="n">
        <x:f>IFERROR(E252/ABS(F252),"")</x:f>
        <x:v>0.4049806042605173</x:v>
      </x:c>
      <x:c r="I252" s="41" t="n">
        <x:v>13.783418</x:v>
      </x:c>
      <x:c r="J252" s="41" t="n">
        <x:v>-30.299037</x:v>
      </x:c>
      <x:c r="K252" s="41" t="n">
        <x:v>3330.509959</x:v>
      </x:c>
      <x:c r="L252" s="41" t="n">
        <x:f>IFERROR(I252/ABS(J252),"")</x:f>
        <x:v>0.45491274194622094</x:v>
      </x:c>
      <x:c r="M252" s="41" t="n">
        <x:v>6.802475</x:v>
      </x:c>
      <x:c r="N252" s="41" t="n">
        <x:v>-56.473669</x:v>
      </x:c>
      <x:c r="O252" s="41" t="n">
        <x:v>506.057416</x:v>
      </x:c>
      <x:c r="P252" s="41" t="n">
        <x:f>IFERROR(M252/ABS(N252),"")</x:f>
        <x:v>0.12045392340278087</x:v>
      </x:c>
      <x:c r="Q252" s="41" t="str">
        <x:f>IF(L252&gt;=MAX(H252,P252),"Weekly",IF(H252&gt;=MAX(L252,P252),"No weekly","SPY"))</x:f>
        <x:v>Weekly</x:v>
      </x:c>
      <x:c r="R252" s="41" t="n">
        <x:f>IFERROR(L252-P252,"")</x:f>
        <x:v>0.33445881854344006</x:v>
      </x:c>
      <x:c r="S252" s="41" t="n">
        <x:f>IFERROR(H252-P252,"")</x:f>
        <x:v>0.2845266808577364</x:v>
      </x:c>
      <x:c r="T252" s="41" t="n">
        <x:f>IFERROR(I252-M252,"")</x:f>
        <x:v>6.980942999999999</x:v>
      </x:c>
      <x:c r="U252" s="41" t="n">
        <x:f>IFERROR(E252-M252,"")</x:f>
        <x:v>7.7932879999999995</x:v>
      </x:c>
      <x:c r="V252" s="41" t="str">
        <x:f>IF(AND(I252&gt;M252,J252&gt;N252),"Sí","No")</x:f>
        <x:v>Sí</x:v>
      </x:c>
      <x:c r="W252" s="41" t="str">
        <x:f>IF(AND(E252&gt;M252,F252&gt;N252),"Sí","No")</x:f>
        <x:v>Sí</x:v>
      </x:c>
      <x:c r="X252" s="41" t="str">
        <x:f>IF(L252&gt;=H252,"Weekly","No weekly")</x:f>
        <x:v>Weekly</x:v>
      </x:c>
      <x:c r="Y252" s="41" t="n">
        <x:f>IFERROR(I252-E252,"")</x:f>
        <x:v>-0.8123450000000005</x:v>
      </x:c>
      <x:c r="Z252" s="41" t="n">
        <x:f>IFERROR(J252-F252,"")</x:f>
        <x:v>5.741610000000001</x:v>
      </x:c>
      <x:c r="AA252" s="41" t="n">
        <x:v>10617</x:v>
      </x:c>
      <x:c r="AB252" s="41" t="n">
        <x:v>4675</x:v>
      </x:c>
    </x:row>
    <x:row r="253">
      <x:c r="A253" s="41" t="str">
        <x:v>HYP_REFINE_AUTO002_TOPN_6_V1_DDGRID_EXT_R12_C24_E75_CR50_REDD_RECOVERED_DD6_SL18</x:v>
      </x:c>
      <x:c r="B253" s="41" t="str">
        <x:v>dd_guard_grid</x:v>
      </x:c>
      <x:c r="C253" s="41" t="str">
        <x:v>1999-01-04</x:v>
      </x:c>
      <x:c r="D253" s="41" t="str">
        <x:v>2026-05-22</x:v>
      </x:c>
      <x:c r="E253" s="41" t="n">
        <x:v>14.329832</x:v>
      </x:c>
      <x:c r="F253" s="41" t="n">
        <x:v>-35.028353</x:v>
      </x:c>
      <x:c r="G253" s="41" t="n">
        <x:v>3811.308894</x:v>
      </x:c>
      <x:c r="H253" s="41" t="n">
        <x:f>IFERROR(E253/ABS(F253),"")</x:f>
        <x:v>0.4090923715425615</x:v>
      </x:c>
      <x:c r="I253" s="41" t="n">
        <x:v>13.890323</x:v>
      </x:c>
      <x:c r="J253" s="41" t="n">
        <x:v>-30.526509</x:v>
      </x:c>
      <x:c r="K253" s="41" t="n">
        <x:v>3419.856918</x:v>
      </x:c>
      <x:c r="L253" s="41" t="n">
        <x:f>IFERROR(I253/ABS(J253),"")</x:f>
        <x:v>0.4550249424197179</x:v>
      </x:c>
      <x:c r="M253" s="41" t="n">
        <x:v>6.802475</x:v>
      </x:c>
      <x:c r="N253" s="41" t="n">
        <x:v>-56.473669</x:v>
      </x:c>
      <x:c r="O253" s="41" t="n">
        <x:v>506.057416</x:v>
      </x:c>
      <x:c r="P253" s="41" t="n">
        <x:f>IFERROR(M253/ABS(N253),"")</x:f>
        <x:v>0.12045392340278087</x:v>
      </x:c>
      <x:c r="Q253" s="41" t="str">
        <x:f>IF(L253&gt;=MAX(H253,P253),"Weekly",IF(H253&gt;=MAX(L253,P253),"No weekly","SPY"))</x:f>
        <x:v>Weekly</x:v>
      </x:c>
      <x:c r="R253" s="41" t="n">
        <x:f>IFERROR(L253-P253,"")</x:f>
        <x:v>0.33457101901693703</x:v>
      </x:c>
      <x:c r="S253" s="41" t="n">
        <x:f>IFERROR(H253-P253,"")</x:f>
        <x:v>0.2886384481397806</x:v>
      </x:c>
      <x:c r="T253" s="41" t="n">
        <x:f>IFERROR(I253-M253,"")</x:f>
        <x:v>7.087848</x:v>
      </x:c>
      <x:c r="U253" s="41" t="n">
        <x:f>IFERROR(E253-M253,"")</x:f>
        <x:v>7.527356999999999</x:v>
      </x:c>
      <x:c r="V253" s="41" t="str">
        <x:f>IF(AND(I253&gt;M253,J253&gt;N253),"Sí","No")</x:f>
        <x:v>Sí</x:v>
      </x:c>
      <x:c r="W253" s="41" t="str">
        <x:f>IF(AND(E253&gt;M253,F253&gt;N253),"Sí","No")</x:f>
        <x:v>Sí</x:v>
      </x:c>
      <x:c r="X253" s="41" t="str">
        <x:f>IF(L253&gt;=H253,"Weekly","No weekly")</x:f>
        <x:v>Weekly</x:v>
      </x:c>
      <x:c r="Y253" s="41" t="n">
        <x:f>IFERROR(I253-E253,"")</x:f>
        <x:v>-0.43950899999999926</x:v>
      </x:c>
      <x:c r="Z253" s="41" t="n">
        <x:f>IFERROR(J253-F253,"")</x:f>
        <x:v>4.501844000000002</x:v>
      </x:c>
      <x:c r="AA253" s="41" t="n">
        <x:v>11657</x:v>
      </x:c>
      <x:c r="AB253" s="41" t="n">
        <x:v>5152</x:v>
      </x:c>
    </x:row>
    <x:row r="254">
      <x:c r="A254" s="41" t="str">
        <x:v>HYP_REFINE_AUTO002_TOPN_6_V1_DDGRID_EXT_R12_C24_E75_CR50_REDD_RECOVERED_DD6_SL20</x:v>
      </x:c>
      <x:c r="B254" s="41" t="str">
        <x:v>dd_guard_grid</x:v>
      </x:c>
      <x:c r="C254" s="41" t="str">
        <x:v>1999-01-04</x:v>
      </x:c>
      <x:c r="D254" s="41" t="str">
        <x:v>2026-05-22</x:v>
      </x:c>
      <x:c r="E254" s="41" t="n">
        <x:v>14.88374</x:v>
      </x:c>
      <x:c r="F254" s="41" t="n">
        <x:v>-36.040647</x:v>
      </x:c>
      <x:c r="G254" s="41" t="n">
        <x:v>4364.672221</x:v>
      </x:c>
      <x:c r="H254" s="41" t="n">
        <x:f>IFERROR(E254/ABS(F254),"")</x:f>
        <x:v>0.41297094361263825</x:v>
      </x:c>
      <x:c r="I254" s="41" t="n">
        <x:v>14.384304</x:v>
      </x:c>
      <x:c r="J254" s="41" t="n">
        <x:v>-30.044477</x:v>
      </x:c>
      <x:c r="K254" s="41" t="n">
        <x:v>3862.651775</x:v>
      </x:c>
      <x:c r="L254" s="41" t="n">
        <x:f>IFERROR(I254/ABS(J254),"")</x:f>
        <x:v>0.4787669960106145</x:v>
      </x:c>
      <x:c r="M254" s="41" t="n">
        <x:v>6.802475</x:v>
      </x:c>
      <x:c r="N254" s="41" t="n">
        <x:v>-56.473669</x:v>
      </x:c>
      <x:c r="O254" s="41" t="n">
        <x:v>506.057416</x:v>
      </x:c>
      <x:c r="P254" s="41" t="n">
        <x:f>IFERROR(M254/ABS(N254),"")</x:f>
        <x:v>0.12045392340278087</x:v>
      </x:c>
      <x:c r="Q254" s="41" t="str">
        <x:f>IF(L254&gt;=MAX(H254,P254),"Weekly",IF(H254&gt;=MAX(L254,P254),"No weekly","SPY"))</x:f>
        <x:v>Weekly</x:v>
      </x:c>
      <x:c r="R254" s="41" t="n">
        <x:f>IFERROR(L254-P254,"")</x:f>
        <x:v>0.3583130726078336</x:v>
      </x:c>
      <x:c r="S254" s="41" t="n">
        <x:f>IFERROR(H254-P254,"")</x:f>
        <x:v>0.29251702020985737</x:v>
      </x:c>
      <x:c r="T254" s="41" t="n">
        <x:f>IFERROR(I254-M254,"")</x:f>
        <x:v>7.581829</x:v>
      </x:c>
      <x:c r="U254" s="41" t="n">
        <x:f>IFERROR(E254-M254,"")</x:f>
        <x:v>8.081264999999998</x:v>
      </x:c>
      <x:c r="V254" s="41" t="str">
        <x:f>IF(AND(I254&gt;M254,J254&gt;N254),"Sí","No")</x:f>
        <x:v>Sí</x:v>
      </x:c>
      <x:c r="W254" s="41" t="str">
        <x:f>IF(AND(E254&gt;M254,F254&gt;N254),"Sí","No")</x:f>
        <x:v>Sí</x:v>
      </x:c>
      <x:c r="X254" s="41" t="str">
        <x:f>IF(L254&gt;=H254,"Weekly","No weekly")</x:f>
        <x:v>Weekly</x:v>
      </x:c>
      <x:c r="Y254" s="41" t="n">
        <x:f>IFERROR(I254-E254,"")</x:f>
        <x:v>-0.4994359999999993</x:v>
      </x:c>
      <x:c r="Z254" s="41" t="n">
        <x:f>IFERROR(J254-F254,"")</x:f>
        <x:v>5.996169999999999</x:v>
      </x:c>
      <x:c r="AA254" s="41" t="n">
        <x:v>11556</x:v>
      </x:c>
      <x:c r="AB254" s="41" t="n">
        <x:v>5492</x:v>
      </x:c>
    </x:row>
    <x:row r="255">
      <x:c r="A255" s="41" t="str">
        <x:v>HYP_REFINE_AUTO002_TOPN_6_V1_DDGRID_EXT_R12_C24_E75_CR50_REDD_RECOVERED_DD6_SL22</x:v>
      </x:c>
      <x:c r="B255" s="41" t="str">
        <x:v>dd_guard_grid</x:v>
      </x:c>
      <x:c r="C255" s="41" t="str">
        <x:v>1999-01-04</x:v>
      </x:c>
      <x:c r="D255" s="41" t="str">
        <x:v>2026-05-22</x:v>
      </x:c>
      <x:c r="E255" s="41" t="n">
        <x:v>14.25019</x:v>
      </x:c>
      <x:c r="F255" s="41" t="n">
        <x:v>-36.14276</x:v>
      </x:c>
      <x:c r="G255" s="41" t="n">
        <x:v>3737.394178</x:v>
      </x:c>
      <x:c r="H255" s="41" t="n">
        <x:f>IFERROR(E255/ABS(F255),"")</x:f>
        <x:v>0.39427509133226124</x:v>
      </x:c>
      <x:c r="I255" s="41" t="n">
        <x:v>14.42969</x:v>
      </x:c>
      <x:c r="J255" s="41" t="n">
        <x:v>-29.903332</x:v>
      </x:c>
      <x:c r="K255" s="41" t="n">
        <x:v>3905.925431</x:v>
      </x:c>
      <x:c r="L255" s="41" t="n">
        <x:f>IFERROR(I255/ABS(J255),"")</x:f>
        <x:v>0.4825445538978734</x:v>
      </x:c>
      <x:c r="M255" s="41" t="n">
        <x:v>6.802475</x:v>
      </x:c>
      <x:c r="N255" s="41" t="n">
        <x:v>-56.473669</x:v>
      </x:c>
      <x:c r="O255" s="41" t="n">
        <x:v>506.057416</x:v>
      </x:c>
      <x:c r="P255" s="41" t="n">
        <x:f>IFERROR(M255/ABS(N255),"")</x:f>
        <x:v>0.12045392340278087</x:v>
      </x:c>
      <x:c r="Q255" s="41" t="str">
        <x:f>IF(L255&gt;=MAX(H255,P255),"Weekly",IF(H255&gt;=MAX(L255,P255),"No weekly","SPY"))</x:f>
        <x:v>Weekly</x:v>
      </x:c>
      <x:c r="R255" s="41" t="n">
        <x:f>IFERROR(L255-P255,"")</x:f>
        <x:v>0.3620906304950925</x:v>
      </x:c>
      <x:c r="S255" s="41" t="n">
        <x:f>IFERROR(H255-P255,"")</x:f>
        <x:v>0.27382116792948036</x:v>
      </x:c>
      <x:c r="T255" s="41" t="n">
        <x:f>IFERROR(I255-M255,"")</x:f>
        <x:v>7.6272150000000005</x:v>
      </x:c>
      <x:c r="U255" s="41" t="n">
        <x:f>IFERROR(E255-M255,"")</x:f>
        <x:v>7.447715</x:v>
      </x:c>
      <x:c r="V255" s="41" t="str">
        <x:f>IF(AND(I255&gt;M255,J255&gt;N255),"Sí","No")</x:f>
        <x:v>Sí</x:v>
      </x:c>
      <x:c r="W255" s="41" t="str">
        <x:f>IF(AND(E255&gt;M255,F255&gt;N255),"Sí","No")</x:f>
        <x:v>Sí</x:v>
      </x:c>
      <x:c r="X255" s="41" t="str">
        <x:f>IF(L255&gt;=H255,"Weekly","No weekly")</x:f>
        <x:v>Weekly</x:v>
      </x:c>
      <x:c r="Y255" s="41" t="n">
        <x:f>IFERROR(I255-E255,"")</x:f>
        <x:v>0.17950000000000088</x:v>
      </x:c>
      <x:c r="Z255" s="41" t="n">
        <x:f>IFERROR(J255-F255,"")</x:f>
        <x:v>6.239428000000004</x:v>
      </x:c>
      <x:c r="AA255" s="41" t="n">
        <x:v>11873</x:v>
      </x:c>
      <x:c r="AB255" s="41" t="n">
        <x:v>5543</x:v>
      </x:c>
    </x:row>
    <x:row r="256">
      <x:c r="A256" s="41" t="str">
        <x:v>HYP_REFINE_AUTO002_TOPN_6_V1_DDGRID_EXT_R12_C24_E75_CR50_REDD_RECOVERED_DD6_SL25</x:v>
      </x:c>
      <x:c r="B256" s="41" t="str">
        <x:v>dd_guard_grid</x:v>
      </x:c>
      <x:c r="C256" s="41" t="str">
        <x:v>1999-01-04</x:v>
      </x:c>
      <x:c r="D256" s="41" t="str">
        <x:v>2026-05-22</x:v>
      </x:c>
      <x:c r="E256" s="41" t="n">
        <x:v>14.272366</x:v>
      </x:c>
      <x:c r="F256" s="41" t="n">
        <x:v>-37.240179</x:v>
      </x:c>
      <x:c r="G256" s="41" t="n">
        <x:v>3757.839446</x:v>
      </x:c>
      <x:c r="H256" s="41" t="n">
        <x:f>IFERROR(E256/ABS(F256),"")</x:f>
        <x:v>0.3832518098261558</x:v>
      </x:c>
      <x:c r="I256" s="41" t="n">
        <x:v>14.360347</x:v>
      </x:c>
      <x:c r="J256" s="41" t="n">
        <x:v>-29.873001</x:v>
      </x:c>
      <x:c r="K256" s="41" t="n">
        <x:v>3839.991225</x:v>
      </x:c>
      <x:c r="L256" s="41" t="n">
        <x:f>IFERROR(I256/ABS(J256),"")</x:f>
        <x:v>0.48071323667816307</x:v>
      </x:c>
      <x:c r="M256" s="41" t="n">
        <x:v>6.802475</x:v>
      </x:c>
      <x:c r="N256" s="41" t="n">
        <x:v>-56.473669</x:v>
      </x:c>
      <x:c r="O256" s="41" t="n">
        <x:v>506.057416</x:v>
      </x:c>
      <x:c r="P256" s="41" t="n">
        <x:f>IFERROR(M256/ABS(N256),"")</x:f>
        <x:v>0.12045392340278087</x:v>
      </x:c>
      <x:c r="Q256" s="41" t="str">
        <x:f>IF(L256&gt;=MAX(H256,P256),"Weekly",IF(H256&gt;=MAX(L256,P256),"No weekly","SPY"))</x:f>
        <x:v>Weekly</x:v>
      </x:c>
      <x:c r="R256" s="41" t="n">
        <x:f>IFERROR(L256-P256,"")</x:f>
        <x:v>0.3602593132753822</x:v>
      </x:c>
      <x:c r="S256" s="41" t="n">
        <x:f>IFERROR(H256-P256,"")</x:f>
        <x:v>0.2627978864233749</x:v>
      </x:c>
      <x:c r="T256" s="41" t="n">
        <x:f>IFERROR(I256-M256,"")</x:f>
        <x:v>7.557872000000001</x:v>
      </x:c>
      <x:c r="U256" s="41" t="n">
        <x:f>IFERROR(E256-M256,"")</x:f>
        <x:v>7.469891</x:v>
      </x:c>
      <x:c r="V256" s="41" t="str">
        <x:f>IF(AND(I256&gt;M256,J256&gt;N256),"Sí","No")</x:f>
        <x:v>Sí</x:v>
      </x:c>
      <x:c r="W256" s="41" t="str">
        <x:f>IF(AND(E256&gt;M256,F256&gt;N256),"Sí","No")</x:f>
        <x:v>Sí</x:v>
      </x:c>
      <x:c r="X256" s="41" t="str">
        <x:f>IF(L256&gt;=H256,"Weekly","No weekly")</x:f>
        <x:v>Weekly</x:v>
      </x:c>
      <x:c r="Y256" s="41" t="n">
        <x:f>IFERROR(I256-E256,"")</x:f>
        <x:v>0.08798100000000098</x:v>
      </x:c>
      <x:c r="Z256" s="41" t="n">
        <x:f>IFERROR(J256-F256,"")</x:f>
        <x:v>7.367177999999999</x:v>
      </x:c>
      <x:c r="AA256" s="41" t="n">
        <x:v>11952</x:v>
      </x:c>
      <x:c r="AB256" s="41" t="n">
        <x:v>5709</x:v>
      </x:c>
    </x:row>
    <x:row r="257">
      <x:c r="A257" s="41" t="str">
        <x:v>HYP_REFINE_AUTO002_TOPN_6_V1_DDGRID_EXT_R12_C24_E75_CR50_REDD_RECOVERED_DD6_SLNONE</x:v>
      </x:c>
      <x:c r="B257" s="41" t="str">
        <x:v>dd_guard_grid</x:v>
      </x:c>
      <x:c r="C257" s="41" t="str">
        <x:v>1999-01-04</x:v>
      </x:c>
      <x:c r="D257" s="41" t="str">
        <x:v>2026-05-22</x:v>
      </x:c>
      <x:c r="E257" s="41" t="n">
        <x:v>14.629566</x:v>
      </x:c>
      <x:c r="F257" s="41" t="n">
        <x:v>-36.866255</x:v>
      </x:c>
      <x:c r="G257" s="41" t="n">
        <x:v>4101.977876</x:v>
      </x:c>
      <x:c r="H257" s="41" t="n">
        <x:f>IFERROR(E257/ABS(F257),"")</x:f>
        <x:v>0.3968281020136165</x:v>
      </x:c>
      <x:c r="I257" s="41" t="n">
        <x:v>14.639436</x:v>
      </x:c>
      <x:c r="J257" s="41" t="n">
        <x:v>-30.287977</x:v>
      </x:c>
      <x:c r="K257" s="41" t="n">
        <x:v>4111.894644</x:v>
      </x:c>
      <x:c r="L257" s="41" t="n">
        <x:f>IFERROR(I257/ABS(J257),"")</x:f>
        <x:v>0.4833414922363418</x:v>
      </x:c>
      <x:c r="M257" s="41" t="n">
        <x:v>6.802475</x:v>
      </x:c>
      <x:c r="N257" s="41" t="n">
        <x:v>-56.473669</x:v>
      </x:c>
      <x:c r="O257" s="41" t="n">
        <x:v>506.057416</x:v>
      </x:c>
      <x:c r="P257" s="41" t="n">
        <x:f>IFERROR(M257/ABS(N257),"")</x:f>
        <x:v>0.12045392340278087</x:v>
      </x:c>
      <x:c r="Q257" s="41" t="str">
        <x:f>IF(L257&gt;=MAX(H257,P257),"Weekly",IF(H257&gt;=MAX(L257,P257),"No weekly","SPY"))</x:f>
        <x:v>Weekly</x:v>
      </x:c>
      <x:c r="R257" s="41" t="n">
        <x:f>IFERROR(L257-P257,"")</x:f>
        <x:v>0.36288756883356094</x:v>
      </x:c>
      <x:c r="S257" s="41" t="n">
        <x:f>IFERROR(H257-P257,"")</x:f>
        <x:v>0.27637417861083563</x:v>
      </x:c>
      <x:c r="T257" s="41" t="n">
        <x:f>IFERROR(I257-M257,"")</x:f>
        <x:v>7.836961</x:v>
      </x:c>
      <x:c r="U257" s="41" t="n">
        <x:f>IFERROR(E257-M257,"")</x:f>
        <x:v>7.827091</x:v>
      </x:c>
      <x:c r="V257" s="41" t="str">
        <x:f>IF(AND(I257&gt;M257,J257&gt;N257),"Sí","No")</x:f>
        <x:v>Sí</x:v>
      </x:c>
      <x:c r="W257" s="41" t="str">
        <x:f>IF(AND(E257&gt;M257,F257&gt;N257),"Sí","No")</x:f>
        <x:v>Sí</x:v>
      </x:c>
      <x:c r="X257" s="41" t="str">
        <x:f>IF(L257&gt;=H257,"Weekly","No weekly")</x:f>
        <x:v>Weekly</x:v>
      </x:c>
      <x:c r="Y257" s="41" t="n">
        <x:f>IFERROR(I257-E257,"")</x:f>
        <x:v>0.00986999999999938</x:v>
      </x:c>
      <x:c r="Z257" s="41" t="n">
        <x:f>IFERROR(J257-F257,"")</x:f>
        <x:v>6.578278000000001</x:v>
      </x:c>
      <x:c r="AA257" s="41" t="n">
        <x:v>11915</x:v>
      </x:c>
      <x:c r="AB257" s="41" t="n">
        <x:v>6081</x:v>
      </x:c>
    </x:row>
    <x:row r="258">
      <x:c r="A258" s="41" t="str">
        <x:v>HYP_REFINE_AUTO002_TOPN_6_V1_DDGRID_EXT_R12_C24_E75_CR50_REDD_RECOVERED_DD8_SL18</x:v>
      </x:c>
      <x:c r="B258" s="41" t="str">
        <x:v>dd_guard_grid</x:v>
      </x:c>
      <x:c r="C258" s="41" t="str">
        <x:v>1999-01-04</x:v>
      </x:c>
      <x:c r="D258" s="41" t="str">
        <x:v>2026-05-22</x:v>
      </x:c>
      <x:c r="E258" s="41" t="n">
        <x:v>13.991687</x:v>
      </x:c>
      <x:c r="F258" s="41" t="n">
        <x:v>-35.028353</x:v>
      </x:c>
      <x:c r="G258" s="41" t="n">
        <x:v>3506.6406</x:v>
      </x:c>
      <x:c r="H258" s="41" t="n">
        <x:f>IFERROR(E258/ABS(F258),"")</x:f>
        <x:v>0.39943890596283527</x:v>
      </x:c>
      <x:c r="I258" s="41" t="n">
        <x:v>14.363136</x:v>
      </x:c>
      <x:c r="J258" s="41" t="n">
        <x:v>-30.526509</x:v>
      </x:c>
      <x:c r="K258" s="41" t="n">
        <x:v>3842.623053</x:v>
      </x:c>
      <x:c r="L258" s="41" t="n">
        <x:f>IFERROR(I258/ABS(J258),"")</x:f>
        <x:v>0.4705135461116763</x:v>
      </x:c>
      <x:c r="M258" s="41" t="n">
        <x:v>6.802475</x:v>
      </x:c>
      <x:c r="N258" s="41" t="n">
        <x:v>-56.473669</x:v>
      </x:c>
      <x:c r="O258" s="41" t="n">
        <x:v>506.057416</x:v>
      </x:c>
      <x:c r="P258" s="41" t="n">
        <x:f>IFERROR(M258/ABS(N258),"")</x:f>
        <x:v>0.12045392340278087</x:v>
      </x:c>
      <x:c r="Q258" s="41" t="str">
        <x:f>IF(L258&gt;=MAX(H258,P258),"Weekly",IF(H258&gt;=MAX(L258,P258),"No weekly","SPY"))</x:f>
        <x:v>Weekly</x:v>
      </x:c>
      <x:c r="R258" s="41" t="n">
        <x:f>IFERROR(L258-P258,"")</x:f>
        <x:v>0.3500596227088954</x:v>
      </x:c>
      <x:c r="S258" s="41" t="n">
        <x:f>IFERROR(H258-P258,"")</x:f>
        <x:v>0.2789849825600544</x:v>
      </x:c>
      <x:c r="T258" s="41" t="n">
        <x:f>IFERROR(I258-M258,"")</x:f>
        <x:v>7.5606610000000005</x:v>
      </x:c>
      <x:c r="U258" s="41" t="n">
        <x:f>IFERROR(E258-M258,"")</x:f>
        <x:v>7.189212</x:v>
      </x:c>
      <x:c r="V258" s="41" t="str">
        <x:f>IF(AND(I258&gt;M258,J258&gt;N258),"Sí","No")</x:f>
        <x:v>Sí</x:v>
      </x:c>
      <x:c r="W258" s="41" t="str">
        <x:f>IF(AND(E258&gt;M258,F258&gt;N258),"Sí","No")</x:f>
        <x:v>Sí</x:v>
      </x:c>
      <x:c r="X258" s="41" t="str">
        <x:f>IF(L258&gt;=H258,"Weekly","No weekly")</x:f>
        <x:v>Weekly</x:v>
      </x:c>
      <x:c r="Y258" s="41" t="n">
        <x:f>IFERROR(I258-E258,"")</x:f>
        <x:v>0.37144900000000014</x:v>
      </x:c>
      <x:c r="Z258" s="41" t="n">
        <x:f>IFERROR(J258-F258,"")</x:f>
        <x:v>4.501844000000002</x:v>
      </x:c>
      <x:c r="AA258" s="41" t="n">
        <x:v>11195</x:v>
      </x:c>
      <x:c r="AB258" s="41" t="n">
        <x:v>5207</x:v>
      </x:c>
    </x:row>
    <x:row r="259">
      <x:c r="A259" s="41" t="str">
        <x:v>HYP_REFINE_AUTO002_TOPN_6_V1_DDGRID_EXT_R12_C24_E75_CR50_REDD_RECOVERED_DD8_SL22</x:v>
      </x:c>
      <x:c r="B259" s="41" t="str">
        <x:v>dd_guard_grid</x:v>
      </x:c>
      <x:c r="C259" s="41" t="str">
        <x:v>1999-01-04</x:v>
      </x:c>
      <x:c r="D259" s="41" t="str">
        <x:v>2026-05-22</x:v>
      </x:c>
      <x:c r="E259" s="41" t="n">
        <x:v>14.458906</x:v>
      </x:c>
      <x:c r="F259" s="41" t="n">
        <x:v>-36.606959</x:v>
      </x:c>
      <x:c r="G259" s="41" t="n">
        <x:v>3934.021954</x:v>
      </x:c>
      <x:c r="H259" s="41" t="n">
        <x:f>IFERROR(E259/ABS(F259),"")</x:f>
        <x:v>0.3949769769185143</x:v>
      </x:c>
      <x:c r="I259" s="41" t="n">
        <x:v>15.07271</x:v>
      </x:c>
      <x:c r="J259" s="41" t="n">
        <x:v>-29.903332</x:v>
      </x:c>
      <x:c r="K259" s="41" t="n">
        <x:v>4570.160073</x:v>
      </x:c>
      <x:c r="L259" s="41" t="n">
        <x:f>IFERROR(I259/ABS(J259),"")</x:f>
        <x:v>0.5040478432303129</x:v>
      </x:c>
      <x:c r="M259" s="41" t="n">
        <x:v>6.802475</x:v>
      </x:c>
      <x:c r="N259" s="41" t="n">
        <x:v>-56.473669</x:v>
      </x:c>
      <x:c r="O259" s="41" t="n">
        <x:v>506.057416</x:v>
      </x:c>
      <x:c r="P259" s="41" t="n">
        <x:f>IFERROR(M259/ABS(N259),"")</x:f>
        <x:v>0.12045392340278087</x:v>
      </x:c>
      <x:c r="Q259" s="41" t="str">
        <x:f>IF(L259&gt;=MAX(H259,P259),"Weekly",IF(H259&gt;=MAX(L259,P259),"No weekly","SPY"))</x:f>
        <x:v>Weekly</x:v>
      </x:c>
      <x:c r="R259" s="41" t="n">
        <x:f>IFERROR(L259-P259,"")</x:f>
        <x:v>0.38359391982753205</x:v>
      </x:c>
      <x:c r="S259" s="41" t="n">
        <x:f>IFERROR(H259-P259,"")</x:f>
        <x:v>0.2745230535157334</x:v>
      </x:c>
      <x:c r="T259" s="41" t="n">
        <x:f>IFERROR(I259-M259,"")</x:f>
        <x:v>8.270235</x:v>
      </x:c>
      <x:c r="U259" s="41" t="n">
        <x:f>IFERROR(E259-M259,"")</x:f>
        <x:v>7.656431</x:v>
      </x:c>
      <x:c r="V259" s="41" t="str">
        <x:f>IF(AND(I259&gt;M259,J259&gt;N259),"Sí","No")</x:f>
        <x:v>Sí</x:v>
      </x:c>
      <x:c r="W259" s="41" t="str">
        <x:f>IF(AND(E259&gt;M259,F259&gt;N259),"Sí","No")</x:f>
        <x:v>Sí</x:v>
      </x:c>
      <x:c r="X259" s="41" t="str">
        <x:f>IF(L259&gt;=H259,"Weekly","No weekly")</x:f>
        <x:v>Weekly</x:v>
      </x:c>
      <x:c r="Y259" s="41" t="n">
        <x:f>IFERROR(I259-E259,"")</x:f>
        <x:v>0.613804</x:v>
      </x:c>
      <x:c r="Z259" s="41" t="n">
        <x:f>IFERROR(J259-F259,"")</x:f>
        <x:v>6.703627000000004</x:v>
      </x:c>
      <x:c r="AA259" s="41" t="n">
        <x:v>11280</x:v>
      </x:c>
      <x:c r="AB259" s="41" t="n">
        <x:v>5229</x:v>
      </x:c>
    </x:row>
    <x:row r="260">
      <x:c r="A260" s="41" t="str">
        <x:v>HYP_REFINE_AUTO002_TOPN_6_V1_DDGRID_EXT_R12_C24_E75_CR50_REDD_RECOVERED_DD8_SL25</x:v>
      </x:c>
      <x:c r="B260" s="41" t="str">
        <x:v>dd_guard_grid</x:v>
      </x:c>
      <x:c r="C260" s="41" t="str">
        <x:v>1999-01-04</x:v>
      </x:c>
      <x:c r="D260" s="41" t="str">
        <x:v>2026-05-22</x:v>
      </x:c>
      <x:c r="E260" s="41" t="n">
        <x:v>13.96458</x:v>
      </x:c>
      <x:c r="F260" s="41" t="n">
        <x:v>-37.240179</x:v>
      </x:c>
      <x:c r="G260" s="41" t="n">
        <x:v>3483.232602</x:v>
      </x:c>
      <x:c r="H260" s="41" t="n">
        <x:f>IFERROR(E260/ABS(F260),"")</x:f>
        <x:v>0.3749869193700707</x:v>
      </x:c>
      <x:c r="I260" s="41" t="n">
        <x:v>14.834481</x:v>
      </x:c>
      <x:c r="J260" s="41" t="n">
        <x:v>-29.873001</x:v>
      </x:c>
      <x:c r="K260" s="41" t="n">
        <x:v>4312.556578</x:v>
      </x:c>
      <x:c r="L260" s="41" t="n">
        <x:f>IFERROR(I260/ABS(J260),"")</x:f>
        <x:v>0.49658489282680374</x:v>
      </x:c>
      <x:c r="M260" s="41" t="n">
        <x:v>6.802475</x:v>
      </x:c>
      <x:c r="N260" s="41" t="n">
        <x:v>-56.473669</x:v>
      </x:c>
      <x:c r="O260" s="41" t="n">
        <x:v>506.057416</x:v>
      </x:c>
      <x:c r="P260" s="41" t="n">
        <x:f>IFERROR(M260/ABS(N260),"")</x:f>
        <x:v>0.12045392340278087</x:v>
      </x:c>
      <x:c r="Q260" s="41" t="str">
        <x:f>IF(L260&gt;=MAX(H260,P260),"Weekly",IF(H260&gt;=MAX(L260,P260),"No weekly","SPY"))</x:f>
        <x:v>Weekly</x:v>
      </x:c>
      <x:c r="R260" s="41" t="n">
        <x:f>IFERROR(L260-P260,"")</x:f>
        <x:v>0.37613096942402285</x:v>
      </x:c>
      <x:c r="S260" s="41" t="n">
        <x:f>IFERROR(H260-P260,"")</x:f>
        <x:v>0.25453299596728984</x:v>
      </x:c>
      <x:c r="T260" s="41" t="n">
        <x:f>IFERROR(I260-M260,"")</x:f>
        <x:v>8.032005999999999</x:v>
      </x:c>
      <x:c r="U260" s="41" t="n">
        <x:f>IFERROR(E260-M260,"")</x:f>
        <x:v>7.1621049999999995</x:v>
      </x:c>
      <x:c r="V260" s="41" t="str">
        <x:f>IF(AND(I260&gt;M260,J260&gt;N260),"Sí","No")</x:f>
        <x:v>Sí</x:v>
      </x:c>
      <x:c r="W260" s="41" t="str">
        <x:f>IF(AND(E260&gt;M260,F260&gt;N260),"Sí","No")</x:f>
        <x:v>Sí</x:v>
      </x:c>
      <x:c r="X260" s="41" t="str">
        <x:f>IF(L260&gt;=H260,"Weekly","No weekly")</x:f>
        <x:v>Weekly</x:v>
      </x:c>
      <x:c r="Y260" s="41" t="n">
        <x:f>IFERROR(I260-E260,"")</x:f>
        <x:v>0.8699010000000005</x:v>
      </x:c>
      <x:c r="Z260" s="41" t="n">
        <x:f>IFERROR(J260-F260,"")</x:f>
        <x:v>7.367177999999999</x:v>
      </x:c>
      <x:c r="AA260" s="41" t="n">
        <x:v>11384</x:v>
      </x:c>
      <x:c r="AB260" s="41" t="n">
        <x:v>5537</x:v>
      </x:c>
    </x:row>
    <x:row r="261">
      <x:c r="A261" s="41" t="str">
        <x:v>HYP_REFINE_AUTO002_TOPN_6_V1_DDGRID_EXT_R12_C24_E75_CR50_REDD_RECOVERED_DD8_SLNONE</x:v>
      </x:c>
      <x:c r="B261" s="41" t="str">
        <x:v>dd_guard_grid</x:v>
      </x:c>
      <x:c r="C261" s="41" t="str">
        <x:v>1999-01-04</x:v>
      </x:c>
      <x:c r="D261" s="41" t="str">
        <x:v>2026-05-22</x:v>
      </x:c>
      <x:c r="E261" s="41" t="n">
        <x:v>14.301743</x:v>
      </x:c>
      <x:c r="F261" s="41" t="n">
        <x:v>-36.866255</x:v>
      </x:c>
      <x:c r="G261" s="41" t="n">
        <x:v>3785.084518</x:v>
      </x:c>
      <x:c r="H261" s="41" t="n">
        <x:f>IFERROR(E261/ABS(F261),"")</x:f>
        <x:v>0.3879358779458342</x:v>
      </x:c>
      <x:c r="I261" s="41" t="n">
        <x:v>15.062003</x:v>
      </x:c>
      <x:c r="J261" s="41" t="n">
        <x:v>-30.287977</x:v>
      </x:c>
      <x:c r="K261" s="41" t="n">
        <x:v>4558.277045</x:v>
      </x:c>
      <x:c r="L261" s="41" t="n">
        <x:f>IFERROR(I261/ABS(J261),"")</x:f>
        <x:v>0.49729313383987317</x:v>
      </x:c>
      <x:c r="M261" s="41" t="n">
        <x:v>6.802475</x:v>
      </x:c>
      <x:c r="N261" s="41" t="n">
        <x:v>-56.473669</x:v>
      </x:c>
      <x:c r="O261" s="41" t="n">
        <x:v>506.057416</x:v>
      </x:c>
      <x:c r="P261" s="41" t="n">
        <x:f>IFERROR(M261/ABS(N261),"")</x:f>
        <x:v>0.12045392340278087</x:v>
      </x:c>
      <x:c r="Q261" s="41" t="str">
        <x:f>IF(L261&gt;=MAX(H261,P261),"Weekly",IF(H261&gt;=MAX(L261,P261),"No weekly","SPY"))</x:f>
        <x:v>Weekly</x:v>
      </x:c>
      <x:c r="R261" s="41" t="n">
        <x:f>IFERROR(L261-P261,"")</x:f>
        <x:v>0.3768392104370923</x:v>
      </x:c>
      <x:c r="S261" s="41" t="n">
        <x:f>IFERROR(H261-P261,"")</x:f>
        <x:v>0.2674819545430533</x:v>
      </x:c>
      <x:c r="T261" s="41" t="n">
        <x:f>IFERROR(I261-M261,"")</x:f>
        <x:v>8.259528</x:v>
      </x:c>
      <x:c r="U261" s="41" t="n">
        <x:f>IFERROR(E261-M261,"")</x:f>
        <x:v>7.499268</x:v>
      </x:c>
      <x:c r="V261" s="41" t="str">
        <x:f>IF(AND(I261&gt;M261,J261&gt;N261),"Sí","No")</x:f>
        <x:v>Sí</x:v>
      </x:c>
      <x:c r="W261" s="41" t="str">
        <x:f>IF(AND(E261&gt;M261,F261&gt;N261),"Sí","No")</x:f>
        <x:v>Sí</x:v>
      </x:c>
      <x:c r="X261" s="41" t="str">
        <x:f>IF(L261&gt;=H261,"Weekly","No weekly")</x:f>
        <x:v>Weekly</x:v>
      </x:c>
      <x:c r="Y261" s="41" t="n">
        <x:f>IFERROR(I261-E261,"")</x:f>
        <x:v>0.7602600000000006</x:v>
      </x:c>
      <x:c r="Z261" s="41" t="n">
        <x:f>IFERROR(J261-F261,"")</x:f>
        <x:v>6.578278000000001</x:v>
      </x:c>
      <x:c r="AA261" s="41" t="n">
        <x:v>11401</x:v>
      </x:c>
      <x:c r="AB261" s="41" t="n">
        <x:v>5726</x:v>
      </x:c>
    </x:row>
    <x:row r="262">
      <x:c r="A262" s="41" t="str">
        <x:v>HYP_REFINE_AUTO002_TOPN_6_V1_DDGRID_EXT_R12_C25_E50_CR50_REDD_RECOVERED_DD8_SL18</x:v>
      </x:c>
      <x:c r="B262" s="41" t="str">
        <x:v>dd_guard_grid</x:v>
      </x:c>
      <x:c r="C262" s="41" t="str">
        <x:v>1999-01-04</x:v>
      </x:c>
      <x:c r="D262" s="41" t="str">
        <x:v>2026-05-22</x:v>
      </x:c>
      <x:c r="E262" s="41" t="n">
        <x:v>9.531446</x:v>
      </x:c>
      <x:c r="F262" s="41" t="n">
        <x:v>-32.618211</x:v>
      </x:c>
      <x:c r="G262" s="41" t="n">
        <x:v>1109.244019</x:v>
      </x:c>
      <x:c r="H262" s="41" t="n">
        <x:f>IFERROR(E262/ABS(F262),"")</x:f>
        <x:v>0.292212408583659</x:v>
      </x:c>
      <x:c r="I262" s="41" t="n">
        <x:v>11.006071</x:v>
      </x:c>
      <x:c r="J262" s="41" t="n">
        <x:v>-26.975046</x:v>
      </x:c>
      <x:c r="K262" s="41" t="n">
        <x:v>1643.91727</x:v>
      </x:c>
      <x:c r="L262" s="41" t="n">
        <x:f>IFERROR(I262/ABS(J262),"")</x:f>
        <x:v>0.40800935056792864</x:v>
      </x:c>
      <x:c r="M262" s="41" t="n">
        <x:v>6.802475</x:v>
      </x:c>
      <x:c r="N262" s="41" t="n">
        <x:v>-56.473669</x:v>
      </x:c>
      <x:c r="O262" s="41" t="n">
        <x:v>506.057416</x:v>
      </x:c>
      <x:c r="P262" s="41" t="n">
        <x:f>IFERROR(M262/ABS(N262),"")</x:f>
        <x:v>0.12045392340278087</x:v>
      </x:c>
      <x:c r="Q262" s="41" t="str">
        <x:f>IF(L262&gt;=MAX(H262,P262),"Weekly",IF(H262&gt;=MAX(L262,P262),"No weekly","SPY"))</x:f>
        <x:v>Weekly</x:v>
      </x:c>
      <x:c r="R262" s="41" t="n">
        <x:f>IFERROR(L262-P262,"")</x:f>
        <x:v>0.28755542716514776</x:v>
      </x:c>
      <x:c r="S262" s="41" t="n">
        <x:f>IFERROR(H262-P262,"")</x:f>
        <x:v>0.1717584851808781</x:v>
      </x:c>
      <x:c r="T262" s="41" t="n">
        <x:f>IFERROR(I262-M262,"")</x:f>
        <x:v>4.203596</x:v>
      </x:c>
      <x:c r="U262" s="41" t="n">
        <x:f>IFERROR(E262-M262,"")</x:f>
        <x:v>2.7289710000000005</x:v>
      </x:c>
      <x:c r="V262" s="41" t="str">
        <x:f>IF(AND(I262&gt;M262,J262&gt;N262),"Sí","No")</x:f>
        <x:v>Sí</x:v>
      </x:c>
      <x:c r="W262" s="41" t="str">
        <x:f>IF(AND(E262&gt;M262,F262&gt;N262),"Sí","No")</x:f>
        <x:v>Sí</x:v>
      </x:c>
      <x:c r="X262" s="41" t="str">
        <x:f>IF(L262&gt;=H262,"Weekly","No weekly")</x:f>
        <x:v>Weekly</x:v>
      </x:c>
      <x:c r="Y262" s="41" t="n">
        <x:f>IFERROR(I262-E262,"")</x:f>
        <x:v>1.4746249999999996</x:v>
      </x:c>
      <x:c r="Z262" s="41" t="n">
        <x:f>IFERROR(J262-F262,"")</x:f>
        <x:v>5.643165000000003</x:v>
      </x:c>
      <x:c r="AA262" s="41" t="n">
        <x:v>11799</x:v>
      </x:c>
      <x:c r="AB262" s="41" t="n">
        <x:v>6382</x:v>
      </x:c>
    </x:row>
    <x:row r="263">
      <x:c r="A263" s="41" t="str">
        <x:v>HYP_REFINE_AUTO002_TOPN_6_V1_DDGRID_EXT_R12_C25_E50_CR50_REDD_RECOVERED_DD8_SL20</x:v>
      </x:c>
      <x:c r="B263" s="41" t="str">
        <x:v>dd_guard_grid</x:v>
      </x:c>
      <x:c r="C263" s="41" t="str">
        <x:v>1999-01-04</x:v>
      </x:c>
      <x:c r="D263" s="41" t="str">
        <x:v>2026-05-22</x:v>
      </x:c>
      <x:c r="E263" s="41" t="n">
        <x:v>9.918879</x:v>
      </x:c>
      <x:c r="F263" s="41" t="n">
        <x:v>-33.559621</x:v>
      </x:c>
      <x:c r="G263" s="41" t="n">
        <x:v>1231.981134</x:v>
      </x:c>
      <x:c r="H263" s="41" t="n">
        <x:f>IFERROR(E263/ABS(F263),"")</x:f>
        <x:v>0.29555992303965534</x:v>
      </x:c>
      <x:c r="I263" s="41" t="n">
        <x:v>11.913438</x:v>
      </x:c>
      <x:c r="J263" s="41" t="n">
        <x:v>-26.488191</x:v>
      </x:c>
      <x:c r="K263" s="41" t="n">
        <x:v>2079.328442</x:v>
      </x:c>
      <x:c r="L263" s="41" t="n">
        <x:f>IFERROR(I263/ABS(J263),"")</x:f>
        <x:v>0.44976412318983955</x:v>
      </x:c>
      <x:c r="M263" s="41" t="n">
        <x:v>6.802475</x:v>
      </x:c>
      <x:c r="N263" s="41" t="n">
        <x:v>-56.473669</x:v>
      </x:c>
      <x:c r="O263" s="41" t="n">
        <x:v>506.057416</x:v>
      </x:c>
      <x:c r="P263" s="41" t="n">
        <x:f>IFERROR(M263/ABS(N263),"")</x:f>
        <x:v>0.12045392340278087</x:v>
      </x:c>
      <x:c r="Q263" s="41" t="str">
        <x:f>IF(L263&gt;=MAX(H263,P263),"Weekly",IF(H263&gt;=MAX(L263,P263),"No weekly","SPY"))</x:f>
        <x:v>Weekly</x:v>
      </x:c>
      <x:c r="R263" s="41" t="n">
        <x:f>IFERROR(L263-P263,"")</x:f>
        <x:v>0.32931019978705867</x:v>
      </x:c>
      <x:c r="S263" s="41" t="n">
        <x:f>IFERROR(H263-P263,"")</x:f>
        <x:v>0.17510599963687445</x:v>
      </x:c>
      <x:c r="T263" s="41" t="n">
        <x:f>IFERROR(I263-M263,"")</x:f>
        <x:v>5.110962999999999</x:v>
      </x:c>
      <x:c r="U263" s="41" t="n">
        <x:f>IFERROR(E263-M263,"")</x:f>
        <x:v>3.116404</x:v>
      </x:c>
      <x:c r="V263" s="41" t="str">
        <x:f>IF(AND(I263&gt;M263,J263&gt;N263),"Sí","No")</x:f>
        <x:v>Sí</x:v>
      </x:c>
      <x:c r="W263" s="41" t="str">
        <x:f>IF(AND(E263&gt;M263,F263&gt;N263),"Sí","No")</x:f>
        <x:v>Sí</x:v>
      </x:c>
      <x:c r="X263" s="41" t="str">
        <x:f>IF(L263&gt;=H263,"Weekly","No weekly")</x:f>
        <x:v>Weekly</x:v>
      </x:c>
      <x:c r="Y263" s="41" t="n">
        <x:f>IFERROR(I263-E263,"")</x:f>
        <x:v>1.9945589999999989</x:v>
      </x:c>
      <x:c r="Z263" s="41" t="n">
        <x:f>IFERROR(J263-F263,"")</x:f>
        <x:v>7.071429999999999</x:v>
      </x:c>
      <x:c r="AA263" s="41" t="n">
        <x:v>12010</x:v>
      </x:c>
      <x:c r="AB263" s="41" t="n">
        <x:v>6529</x:v>
      </x:c>
    </x:row>
    <x:row r="264">
      <x:c r="A264" s="41" t="str">
        <x:v>HYP_REFINE_AUTO002_TOPN_6_V1_DDGRID_EXT_R12_C25_E50_CR50_REDD_RECOVERED_DD8_SL22</x:v>
      </x:c>
      <x:c r="B264" s="41" t="str">
        <x:v>dd_guard_grid</x:v>
      </x:c>
      <x:c r="C264" s="41" t="str">
        <x:v>1999-01-04</x:v>
      </x:c>
      <x:c r="D264" s="41" t="str">
        <x:v>2026-05-22</x:v>
      </x:c>
      <x:c r="E264" s="41" t="n">
        <x:v>9.792096</x:v>
      </x:c>
      <x:c r="F264" s="41" t="n">
        <x:v>-34.183987</x:v>
      </x:c>
      <x:c r="G264" s="41" t="n">
        <x:v>1190.5519</x:v>
      </x:c>
      <x:c r="H264" s="41" t="n">
        <x:f>IFERROR(E264/ABS(F264),"")</x:f>
        <x:v>0.2864527183444108</x:v>
      </x:c>
      <x:c r="I264" s="41" t="n">
        <x:v>11.812412</x:v>
      </x:c>
      <x:c r="J264" s="41" t="n">
        <x:v>-26.339871</x:v>
      </x:c>
      <x:c r="K264" s="41" t="n">
        <x:v>2026.10299</x:v>
      </x:c>
      <x:c r="L264" s="41" t="n">
        <x:f>IFERROR(I264/ABS(J264),"")</x:f>
        <x:v>0.44846126998875585</x:v>
      </x:c>
      <x:c r="M264" s="41" t="n">
        <x:v>6.802475</x:v>
      </x:c>
      <x:c r="N264" s="41" t="n">
        <x:v>-56.473669</x:v>
      </x:c>
      <x:c r="O264" s="41" t="n">
        <x:v>506.057416</x:v>
      </x:c>
      <x:c r="P264" s="41" t="n">
        <x:f>IFERROR(M264/ABS(N264),"")</x:f>
        <x:v>0.12045392340278087</x:v>
      </x:c>
      <x:c r="Q264" s="41" t="str">
        <x:f>IF(L264&gt;=MAX(H264,P264),"Weekly",IF(H264&gt;=MAX(L264,P264),"No weekly","SPY"))</x:f>
        <x:v>Weekly</x:v>
      </x:c>
      <x:c r="R264" s="41" t="n">
        <x:f>IFERROR(L264-P264,"")</x:f>
        <x:v>0.32800734658597497</x:v>
      </x:c>
      <x:c r="S264" s="41" t="n">
        <x:f>IFERROR(H264-P264,"")</x:f>
        <x:v>0.1659987949416299</x:v>
      </x:c>
      <x:c r="T264" s="41" t="n">
        <x:f>IFERROR(I264-M264,"")</x:f>
        <x:v>5.009937</x:v>
      </x:c>
      <x:c r="U264" s="41" t="n">
        <x:f>IFERROR(E264-M264,"")</x:f>
        <x:v>2.9896210000000005</x:v>
      </x:c>
      <x:c r="V264" s="41" t="str">
        <x:f>IF(AND(I264&gt;M264,J264&gt;N264),"Sí","No")</x:f>
        <x:v>Sí</x:v>
      </x:c>
      <x:c r="W264" s="41" t="str">
        <x:f>IF(AND(E264&gt;M264,F264&gt;N264),"Sí","No")</x:f>
        <x:v>Sí</x:v>
      </x:c>
      <x:c r="X264" s="41" t="str">
        <x:f>IF(L264&gt;=H264,"Weekly","No weekly")</x:f>
        <x:v>Weekly</x:v>
      </x:c>
      <x:c r="Y264" s="41" t="n">
        <x:f>IFERROR(I264-E264,"")</x:f>
        <x:v>2.0203159999999993</x:v>
      </x:c>
      <x:c r="Z264" s="41" t="n">
        <x:f>IFERROR(J264-F264,"")</x:f>
        <x:v>7.844116000000003</x:v>
      </x:c>
      <x:c r="AA264" s="41" t="n">
        <x:v>12244</x:v>
      </x:c>
      <x:c r="AB264" s="41" t="n">
        <x:v>6593</x:v>
      </x:c>
    </x:row>
    <x:row r="265">
      <x:c r="A265" s="41" t="str">
        <x:v>HYP_REFINE_AUTO002_TOPN_6_V1_DDGRID_EXT_R12_C25_E60_CR33_REDD_RECOVERED_DD8_SL20</x:v>
      </x:c>
      <x:c r="B265" s="41" t="str">
        <x:v>dd_guard_grid</x:v>
      </x:c>
      <x:c r="C265" s="41" t="str">
        <x:v>1999-01-04</x:v>
      </x:c>
      <x:c r="D265" s="41" t="str">
        <x:v>2026-05-22</x:v>
      </x:c>
      <x:c r="E265" s="41" t="n">
        <x:v>12.09341</x:v>
      </x:c>
      <x:c r="F265" s="41" t="n">
        <x:v>-33.123381</x:v>
      </x:c>
      <x:c r="G265" s="41" t="n">
        <x:v>2177.343807</x:v>
      </x:c>
      <x:c r="H265" s="41" t="n">
        <x:f>IFERROR(E265/ABS(F265),"")</x:f>
        <x:v>0.365101920000256</x:v>
      </x:c>
      <x:c r="I265" s="41" t="n">
        <x:v>12.450726</x:v>
      </x:c>
      <x:c r="J265" s="41" t="n">
        <x:v>-30.843924</x:v>
      </x:c>
      <x:c r="K265" s="41" t="n">
        <x:v>2384.681476</x:v>
      </x:c>
      <x:c r="L265" s="41" t="n">
        <x:f>IFERROR(I265/ABS(J265),"")</x:f>
        <x:v>0.40366867717609467</x:v>
      </x:c>
      <x:c r="M265" s="41" t="n">
        <x:v>6.802475</x:v>
      </x:c>
      <x:c r="N265" s="41" t="n">
        <x:v>-56.473669</x:v>
      </x:c>
      <x:c r="O265" s="41" t="n">
        <x:v>506.057416</x:v>
      </x:c>
      <x:c r="P265" s="41" t="n">
        <x:f>IFERROR(M265/ABS(N265),"")</x:f>
        <x:v>0.12045392340278087</x:v>
      </x:c>
      <x:c r="Q265" s="41" t="str">
        <x:f>IF(L265&gt;=MAX(H265,P265),"Weekly",IF(H265&gt;=MAX(L265,P265),"No weekly","SPY"))</x:f>
        <x:v>Weekly</x:v>
      </x:c>
      <x:c r="R265" s="41" t="n">
        <x:f>IFERROR(L265-P265,"")</x:f>
        <x:v>0.2832147537733138</x:v>
      </x:c>
      <x:c r="S265" s="41" t="n">
        <x:f>IFERROR(H265-P265,"")</x:f>
        <x:v>0.2446479965974751</x:v>
      </x:c>
      <x:c r="T265" s="41" t="n">
        <x:f>IFERROR(I265-M265,"")</x:f>
        <x:v>5.648250999999999</x:v>
      </x:c>
      <x:c r="U265" s="41" t="n">
        <x:f>IFERROR(E265-M265,"")</x:f>
        <x:v>5.290935</x:v>
      </x:c>
      <x:c r="V265" s="41" t="str">
        <x:f>IF(AND(I265&gt;M265,J265&gt;N265),"Sí","No")</x:f>
        <x:v>Sí</x:v>
      </x:c>
      <x:c r="W265" s="41" t="str">
        <x:f>IF(AND(E265&gt;M265,F265&gt;N265),"Sí","No")</x:f>
        <x:v>Sí</x:v>
      </x:c>
      <x:c r="X265" s="41" t="str">
        <x:f>IF(L265&gt;=H265,"Weekly","No weekly")</x:f>
        <x:v>Weekly</x:v>
      </x:c>
      <x:c r="Y265" s="41" t="n">
        <x:f>IFERROR(I265-E265,"")</x:f>
        <x:v>0.3573159999999991</x:v>
      </x:c>
      <x:c r="Z265" s="41" t="n">
        <x:f>IFERROR(J265-F265,"")</x:f>
        <x:v>2.2794570000000007</x:v>
      </x:c>
      <x:c r="AA265" s="41" t="n">
        <x:v>12210</x:v>
      </x:c>
      <x:c r="AB265" s="41" t="n">
        <x:v>5743</x:v>
      </x:c>
    </x:row>
    <x:row r="266">
      <x:c r="A266" s="41" t="str">
        <x:v>HYP_REFINE_AUTO002_TOPN_6_V1_DDGRID_EXT_R12_C25_E60_CR40_REDD_RECOVERED_DD8_SL18</x:v>
      </x:c>
      <x:c r="B266" s="41" t="str">
        <x:v>dd_guard_grid</x:v>
      </x:c>
      <x:c r="C266" s="41" t="str">
        <x:v>1999-01-04</x:v>
      </x:c>
      <x:c r="D266" s="41" t="str">
        <x:v>2026-05-22</x:v>
      </x:c>
      <x:c r="E266" s="41" t="n">
        <x:v>11.19053</x:v>
      </x:c>
      <x:c r="F266" s="41" t="n">
        <x:v>-31.637616</x:v>
      </x:c>
      <x:c r="G266" s="41" t="n">
        <x:v>1725.019886</x:v>
      </x:c>
      <x:c r="H266" s="41" t="n">
        <x:f>IFERROR(E266/ABS(F266),"")</x:f>
        <x:v>0.353709647402004</x:v>
      </x:c>
      <x:c r="I266" s="41" t="n">
        <x:v>12.509534</x:v>
      </x:c>
      <x:c r="J266" s="41" t="n">
        <x:v>-29.000538</x:v>
      </x:c>
      <x:c r="K266" s="41" t="n">
        <x:v>2420.503723</x:v>
      </x:c>
      <x:c r="L266" s="41" t="n">
        <x:f>IFERROR(I266/ABS(J266),"")</x:f>
        <x:v>0.43135523899591105</x:v>
      </x:c>
      <x:c r="M266" s="41" t="n">
        <x:v>6.802475</x:v>
      </x:c>
      <x:c r="N266" s="41" t="n">
        <x:v>-56.473669</x:v>
      </x:c>
      <x:c r="O266" s="41" t="n">
        <x:v>506.057416</x:v>
      </x:c>
      <x:c r="P266" s="41" t="n">
        <x:f>IFERROR(M266/ABS(N266),"")</x:f>
        <x:v>0.12045392340278087</x:v>
      </x:c>
      <x:c r="Q266" s="41" t="str">
        <x:f>IF(L266&gt;=MAX(H266,P266),"Weekly",IF(H266&gt;=MAX(L266,P266),"No weekly","SPY"))</x:f>
        <x:v>Weekly</x:v>
      </x:c>
      <x:c r="R266" s="41" t="n">
        <x:f>IFERROR(L266-P266,"")</x:f>
        <x:v>0.31090131559313017</x:v>
      </x:c>
      <x:c r="S266" s="41" t="n">
        <x:f>IFERROR(H266-P266,"")</x:f>
        <x:v>0.23325572399922312</x:v>
      </x:c>
      <x:c r="T266" s="41" t="n">
        <x:f>IFERROR(I266-M266,"")</x:f>
        <x:v>5.707059</x:v>
      </x:c>
      <x:c r="U266" s="41" t="n">
        <x:f>IFERROR(E266-M266,"")</x:f>
        <x:v>4.3880550000000005</x:v>
      </x:c>
      <x:c r="V266" s="41" t="str">
        <x:f>IF(AND(I266&gt;M266,J266&gt;N266),"Sí","No")</x:f>
        <x:v>Sí</x:v>
      </x:c>
      <x:c r="W266" s="41" t="str">
        <x:f>IF(AND(E266&gt;M266,F266&gt;N266),"Sí","No")</x:f>
        <x:v>Sí</x:v>
      </x:c>
      <x:c r="X266" s="41" t="str">
        <x:f>IF(L266&gt;=H266,"Weekly","No weekly")</x:f>
        <x:v>Weekly</x:v>
      </x:c>
      <x:c r="Y266" s="41" t="n">
        <x:f>IFERROR(I266-E266,"")</x:f>
        <x:v>1.3190039999999996</x:v>
      </x:c>
      <x:c r="Z266" s="41" t="n">
        <x:f>IFERROR(J266-F266,"")</x:f>
        <x:v>2.6370780000000025</x:v>
      </x:c>
      <x:c r="AA266" s="41" t="n">
        <x:v>11556</x:v>
      </x:c>
      <x:c r="AB266" s="41" t="n">
        <x:v>6024</x:v>
      </x:c>
    </x:row>
    <x:row r="267">
      <x:c r="A267" s="41" t="str">
        <x:v>HYP_REFINE_AUTO002_TOPN_6_V1_DDGRID_EXT_R12_C25_E60_CR40_REDD_RECOVERED_DD8_SL20</x:v>
      </x:c>
      <x:c r="B267" s="41" t="str">
        <x:v>dd_guard_grid</x:v>
      </x:c>
      <x:c r="C267" s="41" t="str">
        <x:v>1999-01-04</x:v>
      </x:c>
      <x:c r="D267" s="41" t="str">
        <x:v>2026-05-22</x:v>
      </x:c>
      <x:c r="E267" s="41" t="n">
        <x:v>11.494059</x:v>
      </x:c>
      <x:c r="F267" s="41" t="n">
        <x:v>-34.09396</x:v>
      </x:c>
      <x:c r="G267" s="41" t="n">
        <x:v>1866.444642</x:v>
      </x:c>
      <x:c r="H267" s="41" t="n">
        <x:f>IFERROR(E267/ABS(F267),"")</x:f>
        <x:v>0.3371288932115835</x:v>
      </x:c>
      <x:c r="I267" s="41" t="n">
        <x:v>13.630636</x:v>
      </x:c>
      <x:c r="J267" s="41" t="n">
        <x:v>-29.100059</x:v>
      </x:c>
      <x:c r="K267" s="41" t="n">
        <x:v>3206.604856</x:v>
      </x:c>
      <x:c r="L267" s="41" t="n">
        <x:f>IFERROR(I267/ABS(J267),"")</x:f>
        <x:v>0.4684057857064826</x:v>
      </x:c>
      <x:c r="M267" s="41" t="n">
        <x:v>6.802475</x:v>
      </x:c>
      <x:c r="N267" s="41" t="n">
        <x:v>-56.473669</x:v>
      </x:c>
      <x:c r="O267" s="41" t="n">
        <x:v>506.057416</x:v>
      </x:c>
      <x:c r="P267" s="41" t="n">
        <x:f>IFERROR(M267/ABS(N267),"")</x:f>
        <x:v>0.12045392340278087</x:v>
      </x:c>
      <x:c r="Q267" s="41" t="str">
        <x:f>IF(L267&gt;=MAX(H267,P267),"Weekly",IF(H267&gt;=MAX(L267,P267),"No weekly","SPY"))</x:f>
        <x:v>Weekly</x:v>
      </x:c>
      <x:c r="R267" s="41" t="n">
        <x:f>IFERROR(L267-P267,"")</x:f>
        <x:v>0.34795186230370173</x:v>
      </x:c>
      <x:c r="S267" s="41" t="n">
        <x:f>IFERROR(H267-P267,"")</x:f>
        <x:v>0.21667496980880263</x:v>
      </x:c>
      <x:c r="T267" s="41" t="n">
        <x:f>IFERROR(I267-M267,"")</x:f>
        <x:v>6.828161000000001</x:v>
      </x:c>
      <x:c r="U267" s="41" t="n">
        <x:f>IFERROR(E267-M267,"")</x:f>
        <x:v>4.691584</x:v>
      </x:c>
      <x:c r="V267" s="41" t="str">
        <x:f>IF(AND(I267&gt;M267,J267&gt;N267),"Sí","No")</x:f>
        <x:v>Sí</x:v>
      </x:c>
      <x:c r="W267" s="41" t="str">
        <x:f>IF(AND(E267&gt;M267,F267&gt;N267),"Sí","No")</x:f>
        <x:v>Sí</x:v>
      </x:c>
      <x:c r="X267" s="41" t="str">
        <x:f>IF(L267&gt;=H267,"Weekly","No weekly")</x:f>
        <x:v>Weekly</x:v>
      </x:c>
      <x:c r="Y267" s="41" t="n">
        <x:f>IFERROR(I267-E267,"")</x:f>
        <x:v>2.136577000000001</x:v>
      </x:c>
      <x:c r="Z267" s="41" t="n">
        <x:f>IFERROR(J267-F267,"")</x:f>
        <x:v>4.993901000000001</x:v>
      </x:c>
      <x:c r="AA267" s="41" t="n">
        <x:v>11459</x:v>
      </x:c>
      <x:c r="AB267" s="41" t="n">
        <x:v>5837</x:v>
      </x:c>
    </x:row>
    <x:row r="268">
      <x:c r="A268" s="41" t="str">
        <x:v>HYP_REFINE_AUTO002_TOPN_6_V1_DDGRID_EXT_R12_C25_E60_CR40_REDD_RECOVERED_DD8_SL22</x:v>
      </x:c>
      <x:c r="B268" s="41" t="str">
        <x:v>dd_guard_grid</x:v>
      </x:c>
      <x:c r="C268" s="41" t="str">
        <x:v>1999-01-04</x:v>
      </x:c>
      <x:c r="D268" s="41" t="str">
        <x:v>2026-05-22</x:v>
      </x:c>
      <x:c r="E268" s="41" t="n">
        <x:v>11.618198</x:v>
      </x:c>
      <x:c r="F268" s="41" t="n">
        <x:v>-34.54308</x:v>
      </x:c>
      <x:c r="G268" s="41" t="n">
        <x:v>1927.277841</x:v>
      </x:c>
      <x:c r="H268" s="41" t="n">
        <x:f>IFERROR(E268/ABS(F268),"")</x:f>
        <x:v>0.33633937680137377</x:v>
      </x:c>
      <x:c r="I268" s="41" t="n">
        <x:v>13.579084</x:v>
      </x:c>
      <x:c r="J268" s="41" t="n">
        <x:v>-29.06365</x:v>
      </x:c>
      <x:c r="K268" s="41" t="n">
        <x:v>3165.778191</x:v>
      </x:c>
      <x:c r="L268" s="41" t="n">
        <x:f>IFERROR(I268/ABS(J268),"")</x:f>
        <x:v>0.4672188111266135</x:v>
      </x:c>
      <x:c r="M268" s="41" t="n">
        <x:v>6.802475</x:v>
      </x:c>
      <x:c r="N268" s="41" t="n">
        <x:v>-56.473669</x:v>
      </x:c>
      <x:c r="O268" s="41" t="n">
        <x:v>506.057416</x:v>
      </x:c>
      <x:c r="P268" s="41" t="n">
        <x:f>IFERROR(M268/ABS(N268),"")</x:f>
        <x:v>0.12045392340278087</x:v>
      </x:c>
      <x:c r="Q268" s="41" t="str">
        <x:f>IF(L268&gt;=MAX(H268,P268),"Weekly",IF(H268&gt;=MAX(L268,P268),"No weekly","SPY"))</x:f>
        <x:v>Weekly</x:v>
      </x:c>
      <x:c r="R268" s="41" t="n">
        <x:f>IFERROR(L268-P268,"")</x:f>
        <x:v>0.3467648877238326</x:v>
      </x:c>
      <x:c r="S268" s="41" t="n">
        <x:f>IFERROR(H268-P268,"")</x:f>
        <x:v>0.21588545339859289</x:v>
      </x:c>
      <x:c r="T268" s="41" t="n">
        <x:f>IFERROR(I268-M268,"")</x:f>
        <x:v>6.776609</x:v>
      </x:c>
      <x:c r="U268" s="41" t="n">
        <x:f>IFERROR(E268-M268,"")</x:f>
        <x:v>4.815722999999999</x:v>
      </x:c>
      <x:c r="V268" s="41" t="str">
        <x:f>IF(AND(I268&gt;M268,J268&gt;N268),"Sí","No")</x:f>
        <x:v>Sí</x:v>
      </x:c>
      <x:c r="W268" s="41" t="str">
        <x:f>IF(AND(E268&gt;M268,F268&gt;N268),"Sí","No")</x:f>
        <x:v>Sí</x:v>
      </x:c>
      <x:c r="X268" s="41" t="str">
        <x:f>IF(L268&gt;=H268,"Weekly","No weekly")</x:f>
        <x:v>Weekly</x:v>
      </x:c>
      <x:c r="Y268" s="41" t="n">
        <x:f>IFERROR(I268-E268,"")</x:f>
        <x:v>1.9608860000000004</x:v>
      </x:c>
      <x:c r="Z268" s="41" t="n">
        <x:f>IFERROR(J268-F268,"")</x:f>
        <x:v>5.479430000000004</x:v>
      </x:c>
      <x:c r="AA268" s="41" t="n">
        <x:v>11543</x:v>
      </x:c>
      <x:c r="AB268" s="41" t="n">
        <x:v>5908</x:v>
      </x:c>
    </x:row>
    <x:row r="269">
      <x:c r="A269" s="41" t="str">
        <x:v>HYP_REFINE_AUTO002_TOPN_6_V1_DDGRID_EXT_R12_C25_E60_CR50_REDD_RECOVERED_DD10_SL18</x:v>
      </x:c>
      <x:c r="B269" s="41" t="str">
        <x:v>dd_guard_grid</x:v>
      </x:c>
      <x:c r="C269" s="41" t="str">
        <x:v>1999-01-04</x:v>
      </x:c>
      <x:c r="D269" s="41" t="str">
        <x:v>2026-05-22</x:v>
      </x:c>
      <x:c r="E269" s="41" t="n">
        <x:v>11.633543</x:v>
      </x:c>
      <x:c r="F269" s="41" t="n">
        <x:v>-33.668574</x:v>
      </x:c>
      <x:c r="G269" s="41" t="n">
        <x:v>1934.922184</x:v>
      </x:c>
      <x:c r="H269" s="41" t="n">
        <x:f>IFERROR(E269/ABS(F269),"")</x:f>
        <x:v>0.3455312066379764</x:v>
      </x:c>
      <x:c r="I269" s="41" t="n">
        <x:v>13.101111</x:v>
      </x:c>
      <x:c r="J269" s="41" t="n">
        <x:v>-29.084612</x:v>
      </x:c>
      <x:c r="K269" s="41" t="n">
        <x:v>2809.666092</x:v>
      </x:c>
      <x:c r="L269" s="41" t="n">
        <x:f>IFERROR(I269/ABS(J269),"")</x:f>
        <x:v>0.45044819576757633</x:v>
      </x:c>
      <x:c r="M269" s="41" t="n">
        <x:v>6.802475</x:v>
      </x:c>
      <x:c r="N269" s="41" t="n">
        <x:v>-56.473669</x:v>
      </x:c>
      <x:c r="O269" s="41" t="n">
        <x:v>506.057416</x:v>
      </x:c>
      <x:c r="P269" s="41" t="n">
        <x:f>IFERROR(M269/ABS(N269),"")</x:f>
        <x:v>0.12045392340278087</x:v>
      </x:c>
      <x:c r="Q269" s="41" t="str">
        <x:f>IF(L269&gt;=MAX(H269,P269),"Weekly",IF(H269&gt;=MAX(L269,P269),"No weekly","SPY"))</x:f>
        <x:v>Weekly</x:v>
      </x:c>
      <x:c r="R269" s="41" t="n">
        <x:f>IFERROR(L269-P269,"")</x:f>
        <x:v>0.32999427236479545</x:v>
      </x:c>
      <x:c r="S269" s="41" t="n">
        <x:f>IFERROR(H269-P269,"")</x:f>
        <x:v>0.2250772832351955</x:v>
      </x:c>
      <x:c r="T269" s="41" t="n">
        <x:f>IFERROR(I269-M269,"")</x:f>
        <x:v>6.298635999999999</x:v>
      </x:c>
      <x:c r="U269" s="41" t="n">
        <x:f>IFERROR(E269-M269,"")</x:f>
        <x:v>4.831067999999999</x:v>
      </x:c>
      <x:c r="V269" s="41" t="str">
        <x:f>IF(AND(I269&gt;M269,J269&gt;N269),"Sí","No")</x:f>
        <x:v>Sí</x:v>
      </x:c>
      <x:c r="W269" s="41" t="str">
        <x:f>IF(AND(E269&gt;M269,F269&gt;N269),"Sí","No")</x:f>
        <x:v>Sí</x:v>
      </x:c>
      <x:c r="X269" s="41" t="str">
        <x:f>IF(L269&gt;=H269,"Weekly","No weekly")</x:f>
        <x:v>Weekly</x:v>
      </x:c>
      <x:c r="Y269" s="41" t="n">
        <x:f>IFERROR(I269-E269,"")</x:f>
        <x:v>1.467568</x:v>
      </x:c>
      <x:c r="Z269" s="41" t="n">
        <x:f>IFERROR(J269-F269,"")</x:f>
        <x:v>4.583962</x:v>
      </x:c>
      <x:c r="AA269" s="41" t="n">
        <x:v>11189</x:v>
      </x:c>
      <x:c r="AB269" s="41" t="n">
        <x:v>5399</x:v>
      </x:c>
    </x:row>
    <x:row r="270">
      <x:c r="A270" s="41" t="str">
        <x:v>HYP_REFINE_AUTO002_TOPN_6_V1_DDGRID_EXT_R12_C25_E60_CR50_REDD_RECOVERED_DD10_SL20</x:v>
      </x:c>
      <x:c r="B270" s="41" t="str">
        <x:v>dd_guard_grid</x:v>
      </x:c>
      <x:c r="C270" s="41" t="str">
        <x:v>1999-01-04</x:v>
      </x:c>
      <x:c r="D270" s="41" t="str">
        <x:v>2026-05-22</x:v>
      </x:c>
      <x:c r="E270" s="41" t="n">
        <x:v>12.297907</x:v>
      </x:c>
      <x:c r="F270" s="41" t="n">
        <x:v>-34.292519</x:v>
      </x:c>
      <x:c r="G270" s="41" t="n">
        <x:v>2293.8721</x:v>
      </x:c>
      <x:c r="H270" s="41" t="n">
        <x:f>IFERROR(E270/ABS(F270),"")</x:f>
        <x:v>0.35861777899722097</x:v>
      </x:c>
      <x:c r="I270" s="41" t="n">
        <x:v>14.02748</x:v>
      </x:c>
      <x:c r="J270" s="41" t="n">
        <x:v>-28.235487</x:v>
      </x:c>
      <x:c r="K270" s="41" t="n">
        <x:v>3537.774153</x:v>
      </x:c>
      <x:c r="L270" s="41" t="n">
        <x:f>IFERROR(I270/ABS(J270),"")</x:f>
        <x:v>0.4968031895465448</x:v>
      </x:c>
      <x:c r="M270" s="41" t="n">
        <x:v>6.802475</x:v>
      </x:c>
      <x:c r="N270" s="41" t="n">
        <x:v>-56.473669</x:v>
      </x:c>
      <x:c r="O270" s="41" t="n">
        <x:v>506.057416</x:v>
      </x:c>
      <x:c r="P270" s="41" t="n">
        <x:f>IFERROR(M270/ABS(N270),"")</x:f>
        <x:v>0.12045392340278087</x:v>
      </x:c>
      <x:c r="Q270" s="41" t="str">
        <x:f>IF(L270&gt;=MAX(H270,P270),"Weekly",IF(H270&gt;=MAX(L270,P270),"No weekly","SPY"))</x:f>
        <x:v>Weekly</x:v>
      </x:c>
      <x:c r="R270" s="41" t="n">
        <x:f>IFERROR(L270-P270,"")</x:f>
        <x:v>0.3763492661437639</x:v>
      </x:c>
      <x:c r="S270" s="41" t="n">
        <x:f>IFERROR(H270-P270,"")</x:f>
        <x:v>0.2381638555944401</x:v>
      </x:c>
      <x:c r="T270" s="41" t="n">
        <x:f>IFERROR(I270-M270,"")</x:f>
        <x:v>7.225005</x:v>
      </x:c>
      <x:c r="U270" s="41" t="n">
        <x:f>IFERROR(E270-M270,"")</x:f>
        <x:v>5.495432</x:v>
      </x:c>
      <x:c r="V270" s="41" t="str">
        <x:f>IF(AND(I270&gt;M270,J270&gt;N270),"Sí","No")</x:f>
        <x:v>Sí</x:v>
      </x:c>
      <x:c r="W270" s="41" t="str">
        <x:f>IF(AND(E270&gt;M270,F270&gt;N270),"Sí","No")</x:f>
        <x:v>Sí</x:v>
      </x:c>
      <x:c r="X270" s="41" t="str">
        <x:f>IF(L270&gt;=H270,"Weekly","No weekly")</x:f>
        <x:v>Weekly</x:v>
      </x:c>
      <x:c r="Y270" s="41" t="n">
        <x:f>IFERROR(I270-E270,"")</x:f>
        <x:v>1.7295730000000002</x:v>
      </x:c>
      <x:c r="Z270" s="41" t="n">
        <x:f>IFERROR(J270-F270,"")</x:f>
        <x:v>6.0570319999999995</x:v>
      </x:c>
      <x:c r="AA270" s="41" t="n">
        <x:v>11125</x:v>
      </x:c>
      <x:c r="AB270" s="41" t="n">
        <x:v>5288</x:v>
      </x:c>
    </x:row>
    <x:row r="271">
      <x:c r="A271" s="41" t="str">
        <x:v>HYP_REFINE_AUTO002_TOPN_6_V1_DDGRID_EXT_R12_C25_E60_CR50_REDD_RECOVERED_DD10_SL22</x:v>
      </x:c>
      <x:c r="B271" s="41" t="str">
        <x:v>dd_guard_grid</x:v>
      </x:c>
      <x:c r="C271" s="41" t="str">
        <x:v>1999-01-04</x:v>
      </x:c>
      <x:c r="D271" s="41" t="str">
        <x:v>2026-05-22</x:v>
      </x:c>
      <x:c r="E271" s="41" t="n">
        <x:v>12.424406</x:v>
      </x:c>
      <x:c r="F271" s="41" t="n">
        <x:v>-33.779624</x:v>
      </x:c>
      <x:c r="G271" s="41" t="n">
        <x:v>2368.808355</x:v>
      </x:c>
      <x:c r="H271" s="41" t="n">
        <x:f>IFERROR(E271/ABS(F271),"")</x:f>
        <x:v>0.3678077056156694</x:v>
      </x:c>
      <x:c r="I271" s="41" t="n">
        <x:v>13.848416</x:v>
      </x:c>
      <x:c r="J271" s="41" t="n">
        <x:v>-28.099053</x:v>
      </x:c>
      <x:c r="K271" s="41" t="n">
        <x:v>3384.568619</x:v>
      </x:c>
      <x:c r="L271" s="41" t="n">
        <x:f>IFERROR(I271/ABS(J271),"")</x:f>
        <x:v>0.4928428014993957</x:v>
      </x:c>
      <x:c r="M271" s="41" t="n">
        <x:v>6.802475</x:v>
      </x:c>
      <x:c r="N271" s="41" t="n">
        <x:v>-56.473669</x:v>
      </x:c>
      <x:c r="O271" s="41" t="n">
        <x:v>506.057416</x:v>
      </x:c>
      <x:c r="P271" s="41" t="n">
        <x:f>IFERROR(M271/ABS(N271),"")</x:f>
        <x:v>0.12045392340278087</x:v>
      </x:c>
      <x:c r="Q271" s="41" t="str">
        <x:f>IF(L271&gt;=MAX(H271,P271),"Weekly",IF(H271&gt;=MAX(L271,P271),"No weekly","SPY"))</x:f>
        <x:v>Weekly</x:v>
      </x:c>
      <x:c r="R271" s="41" t="n">
        <x:f>IFERROR(L271-P271,"")</x:f>
        <x:v>0.3723888780966148</x:v>
      </x:c>
      <x:c r="S271" s="41" t="n">
        <x:f>IFERROR(H271-P271,"")</x:f>
        <x:v>0.2473537822128885</x:v>
      </x:c>
      <x:c r="T271" s="41" t="n">
        <x:f>IFERROR(I271-M271,"")</x:f>
        <x:v>7.045941</x:v>
      </x:c>
      <x:c r="U271" s="41" t="n">
        <x:f>IFERROR(E271-M271,"")</x:f>
        <x:v>5.621930999999999</x:v>
      </x:c>
      <x:c r="V271" s="41" t="str">
        <x:f>IF(AND(I271&gt;M271,J271&gt;N271),"Sí","No")</x:f>
        <x:v>Sí</x:v>
      </x:c>
      <x:c r="W271" s="41" t="str">
        <x:f>IF(AND(E271&gt;M271,F271&gt;N271),"Sí","No")</x:f>
        <x:v>Sí</x:v>
      </x:c>
      <x:c r="X271" s="41" t="str">
        <x:f>IF(L271&gt;=H271,"Weekly","No weekly")</x:f>
        <x:v>Weekly</x:v>
      </x:c>
      <x:c r="Y271" s="41" t="n">
        <x:f>IFERROR(I271-E271,"")</x:f>
        <x:v>1.4240100000000009</x:v>
      </x:c>
      <x:c r="Z271" s="41" t="n">
        <x:f>IFERROR(J271-F271,"")</x:f>
        <x:v>5.680570999999997</x:v>
      </x:c>
      <x:c r="AA271" s="41" t="n">
        <x:v>11133</x:v>
      </x:c>
      <x:c r="AB271" s="41" t="n">
        <x:v>5213</x:v>
      </x:c>
    </x:row>
    <x:row r="272">
      <x:c r="A272" s="41" t="str">
        <x:v>HYP_REFINE_AUTO002_TOPN_6_V1_DDGRID_EXT_R12_C25_E60_CR50_REDD_RECOVERED_DD6_SL18</x:v>
      </x:c>
      <x:c r="B272" s="41" t="str">
        <x:v>dd_guard_grid</x:v>
      </x:c>
      <x:c r="C272" s="41" t="str">
        <x:v>1999-01-04</x:v>
      </x:c>
      <x:c r="D272" s="41" t="str">
        <x:v>2026-05-22</x:v>
      </x:c>
      <x:c r="E272" s="41" t="n">
        <x:v>12.043275</x:v>
      </x:c>
      <x:c r="F272" s="41" t="n">
        <x:v>-33.101867</x:v>
      </x:c>
      <x:c r="G272" s="41" t="n">
        <x:v>2149.621082</x:v>
      </x:c>
      <x:c r="H272" s="41" t="n">
        <x:f>IFERROR(E272/ABS(F272),"")</x:f>
        <x:v>0.36382464469451226</x:v>
      </x:c>
      <x:c r="I272" s="41" t="n">
        <x:v>12.442883</x:v>
      </x:c>
      <x:c r="J272" s="41" t="n">
        <x:v>-29.084612</x:v>
      </x:c>
      <x:c r="K272" s="41" t="n">
        <x:v>2379.941271</x:v>
      </x:c>
      <x:c r="L272" s="41" t="n">
        <x:f>IFERROR(I272/ABS(J272),"")</x:f>
        <x:v>0.4278167093994584</x:v>
      </x:c>
      <x:c r="M272" s="41" t="n">
        <x:v>6.802475</x:v>
      </x:c>
      <x:c r="N272" s="41" t="n">
        <x:v>-56.473669</x:v>
      </x:c>
      <x:c r="O272" s="41" t="n">
        <x:v>506.057416</x:v>
      </x:c>
      <x:c r="P272" s="41" t="n">
        <x:f>IFERROR(M272/ABS(N272),"")</x:f>
        <x:v>0.12045392340278087</x:v>
      </x:c>
      <x:c r="Q272" s="41" t="str">
        <x:f>IF(L272&gt;=MAX(H272,P272),"Weekly",IF(H272&gt;=MAX(L272,P272),"No weekly","SPY"))</x:f>
        <x:v>Weekly</x:v>
      </x:c>
      <x:c r="R272" s="41" t="n">
        <x:f>IFERROR(L272-P272,"")</x:f>
        <x:v>0.3073627859966775</x:v>
      </x:c>
      <x:c r="S272" s="41" t="n">
        <x:f>IFERROR(H272-P272,"")</x:f>
        <x:v>0.24337072129173137</x:v>
      </x:c>
      <x:c r="T272" s="41" t="n">
        <x:f>IFERROR(I272-M272,"")</x:f>
        <x:v>5.640408</x:v>
      </x:c>
      <x:c r="U272" s="41" t="n">
        <x:f>IFERROR(E272-M272,"")</x:f>
        <x:v>5.240799999999999</x:v>
      </x:c>
      <x:c r="V272" s="41" t="str">
        <x:f>IF(AND(I272&gt;M272,J272&gt;N272),"Sí","No")</x:f>
        <x:v>Sí</x:v>
      </x:c>
      <x:c r="W272" s="41" t="str">
        <x:f>IF(AND(E272&gt;M272,F272&gt;N272),"Sí","No")</x:f>
        <x:v>Sí</x:v>
      </x:c>
      <x:c r="X272" s="41" t="str">
        <x:f>IF(L272&gt;=H272,"Weekly","No weekly")</x:f>
        <x:v>Weekly</x:v>
      </x:c>
      <x:c r="Y272" s="41" t="n">
        <x:f>IFERROR(I272-E272,"")</x:f>
        <x:v>0.39960800000000063</x:v>
      </x:c>
      <x:c r="Z272" s="41" t="n">
        <x:f>IFERROR(J272-F272,"")</x:f>
        <x:v>4.017254999999999</x:v>
      </x:c>
      <x:c r="AA272" s="41" t="n">
        <x:v>11915</x:v>
      </x:c>
      <x:c r="AB272" s="41" t="n">
        <x:v>6021</x:v>
      </x:c>
    </x:row>
    <x:row r="273">
      <x:c r="A273" s="41" t="str">
        <x:v>HYP_REFINE_AUTO002_TOPN_6_V1_DDGRID_EXT_R12_C25_E60_CR50_REDD_RECOVERED_DD6_SL20</x:v>
      </x:c>
      <x:c r="B273" s="41" t="str">
        <x:v>dd_guard_grid</x:v>
      </x:c>
      <x:c r="C273" s="41" t="str">
        <x:v>1999-01-04</x:v>
      </x:c>
      <x:c r="D273" s="41" t="str">
        <x:v>2026-05-22</x:v>
      </x:c>
      <x:c r="E273" s="41" t="n">
        <x:v>12.5419</x:v>
      </x:c>
      <x:c r="F273" s="41" t="n">
        <x:v>-34.373104</x:v>
      </x:c>
      <x:c r="G273" s="41" t="n">
        <x:v>2440.430849</x:v>
      </x:c>
      <x:c r="H273" s="41" t="n">
        <x:f>IFERROR(E273/ABS(F273),"")</x:f>
        <x:v>0.3648753979274028</x:v>
      </x:c>
      <x:c r="I273" s="41" t="n">
        <x:v>13.278706</x:v>
      </x:c>
      <x:c r="J273" s="41" t="n">
        <x:v>-28.235487</x:v>
      </x:c>
      <x:c r="K273" s="41" t="n">
        <x:v>2937.379823</x:v>
      </x:c>
      <x:c r="L273" s="41" t="n">
        <x:f>IFERROR(I273/ABS(J273),"")</x:f>
        <x:v>0.4702842915371001</x:v>
      </x:c>
      <x:c r="M273" s="41" t="n">
        <x:v>6.802475</x:v>
      </x:c>
      <x:c r="N273" s="41" t="n">
        <x:v>-56.473669</x:v>
      </x:c>
      <x:c r="O273" s="41" t="n">
        <x:v>506.057416</x:v>
      </x:c>
      <x:c r="P273" s="41" t="n">
        <x:f>IFERROR(M273/ABS(N273),"")</x:f>
        <x:v>0.12045392340278087</x:v>
      </x:c>
      <x:c r="Q273" s="41" t="str">
        <x:f>IF(L273&gt;=MAX(H273,P273),"Weekly",IF(H273&gt;=MAX(L273,P273),"No weekly","SPY"))</x:f>
        <x:v>Weekly</x:v>
      </x:c>
      <x:c r="R273" s="41" t="n">
        <x:f>IFERROR(L273-P273,"")</x:f>
        <x:v>0.3498303681343192</x:v>
      </x:c>
      <x:c r="S273" s="41" t="n">
        <x:f>IFERROR(H273-P273,"")</x:f>
        <x:v>0.24442147452462193</x:v>
      </x:c>
      <x:c r="T273" s="41" t="n">
        <x:f>IFERROR(I273-M273,"")</x:f>
        <x:v>6.476230999999999</x:v>
      </x:c>
      <x:c r="U273" s="41" t="n">
        <x:f>IFERROR(E273-M273,"")</x:f>
        <x:v>5.739425</x:v>
      </x:c>
      <x:c r="V273" s="41" t="str">
        <x:f>IF(AND(I273&gt;M273,J273&gt;N273),"Sí","No")</x:f>
        <x:v>Sí</x:v>
      </x:c>
      <x:c r="W273" s="41" t="str">
        <x:f>IF(AND(E273&gt;M273,F273&gt;N273),"Sí","No")</x:f>
        <x:v>Sí</x:v>
      </x:c>
      <x:c r="X273" s="41" t="str">
        <x:f>IF(L273&gt;=H273,"Weekly","No weekly")</x:f>
        <x:v>Weekly</x:v>
      </x:c>
      <x:c r="Y273" s="41" t="n">
        <x:f>IFERROR(I273-E273,"")</x:f>
        <x:v>0.7368059999999996</x:v>
      </x:c>
      <x:c r="Z273" s="41" t="n">
        <x:f>IFERROR(J273-F273,"")</x:f>
        <x:v>6.137616999999999</x:v>
      </x:c>
      <x:c r="AA273" s="41" t="n">
        <x:v>12109</x:v>
      </x:c>
      <x:c r="AB273" s="41" t="n">
        <x:v>6102</x:v>
      </x:c>
    </x:row>
    <x:row r="274">
      <x:c r="A274" s="41" t="str">
        <x:v>HYP_REFINE_AUTO002_TOPN_6_V1_DDGRID_EXT_R12_C25_E60_CR50_REDD_RECOVERED_DD6_SL22</x:v>
      </x:c>
      <x:c r="B274" s="41" t="str">
        <x:v>dd_guard_grid</x:v>
      </x:c>
      <x:c r="C274" s="41" t="str">
        <x:v>1999-01-04</x:v>
      </x:c>
      <x:c r="D274" s="41" t="str">
        <x:v>2026-05-22</x:v>
      </x:c>
      <x:c r="E274" s="41" t="n">
        <x:v>12.406596</x:v>
      </x:c>
      <x:c r="F274" s="41" t="n">
        <x:v>-34.925868</x:v>
      </x:c>
      <x:c r="G274" s="41" t="n">
        <x:v>2358.122852</x:v>
      </x:c>
      <x:c r="H274" s="41" t="n">
        <x:f>IFERROR(E274/ABS(F274),"")</x:f>
        <x:v>0.3552265615846684</x:v>
      </x:c>
      <x:c r="I274" s="41" t="n">
        <x:v>12.856064</x:v>
      </x:c>
      <x:c r="J274" s="41" t="n">
        <x:v>-28.099053</x:v>
      </x:c>
      <x:c r="K274" s="41" t="n">
        <x:v>2641.911047</x:v>
      </x:c>
      <x:c r="L274" s="41" t="n">
        <x:f>IFERROR(I274/ABS(J274),"")</x:f>
        <x:v>0.45752659351188807</x:v>
      </x:c>
      <x:c r="M274" s="41" t="n">
        <x:v>6.802475</x:v>
      </x:c>
      <x:c r="N274" s="41" t="n">
        <x:v>-56.473669</x:v>
      </x:c>
      <x:c r="O274" s="41" t="n">
        <x:v>506.057416</x:v>
      </x:c>
      <x:c r="P274" s="41" t="n">
        <x:f>IFERROR(M274/ABS(N274),"")</x:f>
        <x:v>0.12045392340278087</x:v>
      </x:c>
      <x:c r="Q274" s="41" t="str">
        <x:f>IF(L274&gt;=MAX(H274,P274),"Weekly",IF(H274&gt;=MAX(L274,P274),"No weekly","SPY"))</x:f>
        <x:v>Weekly</x:v>
      </x:c>
      <x:c r="R274" s="41" t="n">
        <x:f>IFERROR(L274-P274,"")</x:f>
        <x:v>0.3370726701091072</x:v>
      </x:c>
      <x:c r="S274" s="41" t="n">
        <x:f>IFERROR(H274-P274,"")</x:f>
        <x:v>0.23477263818188754</x:v>
      </x:c>
      <x:c r="T274" s="41" t="n">
        <x:f>IFERROR(I274-M274,"")</x:f>
        <x:v>6.053589</x:v>
      </x:c>
      <x:c r="U274" s="41" t="n">
        <x:f>IFERROR(E274-M274,"")</x:f>
        <x:v>5.604121</x:v>
      </x:c>
      <x:c r="V274" s="41" t="str">
        <x:f>IF(AND(I274&gt;M274,J274&gt;N274),"Sí","No")</x:f>
        <x:v>Sí</x:v>
      </x:c>
      <x:c r="W274" s="41" t="str">
        <x:f>IF(AND(E274&gt;M274,F274&gt;N274),"Sí","No")</x:f>
        <x:v>Sí</x:v>
      </x:c>
      <x:c r="X274" s="41" t="str">
        <x:f>IF(L274&gt;=H274,"Weekly","No weekly")</x:f>
        <x:v>Weekly</x:v>
      </x:c>
      <x:c r="Y274" s="41" t="n">
        <x:f>IFERROR(I274-E274,"")</x:f>
        <x:v>0.44946799999999953</x:v>
      </x:c>
      <x:c r="Z274" s="41" t="n">
        <x:f>IFERROR(J274-F274,"")</x:f>
        <x:v>6.826815</x:v>
      </x:c>
      <x:c r="AA274" s="41" t="n">
        <x:v>12292</x:v>
      </x:c>
      <x:c r="AB274" s="41" t="n">
        <x:v>6128</x:v>
      </x:c>
    </x:row>
    <x:row r="275">
      <x:c r="A275" s="41" t="str">
        <x:v>HYP_REFINE_AUTO002_TOPN_6_V1_DDGRID_EXT_R12_C25_E60_CR50_REDD_RECOVERED_DD8_SL18</x:v>
      </x:c>
      <x:c r="B275" s="41" t="str">
        <x:v>dd_guard_grid</x:v>
      </x:c>
      <x:c r="C275" s="41" t="str">
        <x:v>1999-01-04</x:v>
      </x:c>
      <x:c r="D275" s="41" t="str">
        <x:v>2026-05-22</x:v>
      </x:c>
      <x:c r="E275" s="41" t="n">
        <x:v>11.414495</x:v>
      </x:c>
      <x:c r="F275" s="41" t="n">
        <x:v>-33.050145</x:v>
      </x:c>
      <x:c r="G275" s="41" t="n">
        <x:v>1828.384468</x:v>
      </x:c>
      <x:c r="H275" s="41" t="n">
        <x:f>IFERROR(E275/ABS(F275),"")</x:f>
        <x:v>0.345368984008996</x:v>
      </x:c>
      <x:c r="I275" s="41" t="n">
        <x:v>12.56499</x:v>
      </x:c>
      <x:c r="J275" s="41" t="n">
        <x:v>-29.084612</x:v>
      </x:c>
      <x:c r="K275" s="41" t="n">
        <x:v>2454.739783</x:v>
      </x:c>
      <x:c r="L275" s="41" t="n">
        <x:f>IFERROR(I275/ABS(J275),"")</x:f>
        <x:v>0.4320150463069612</x:v>
      </x:c>
      <x:c r="M275" s="41" t="n">
        <x:v>6.802475</x:v>
      </x:c>
      <x:c r="N275" s="41" t="n">
        <x:v>-56.473669</x:v>
      </x:c>
      <x:c r="O275" s="41" t="n">
        <x:v>506.057416</x:v>
      </x:c>
      <x:c r="P275" s="41" t="n">
        <x:f>IFERROR(M275/ABS(N275),"")</x:f>
        <x:v>0.12045392340278087</x:v>
      </x:c>
      <x:c r="Q275" s="41" t="str">
        <x:f>IF(L275&gt;=MAX(H275,P275),"Weekly",IF(H275&gt;=MAX(L275,P275),"No weekly","SPY"))</x:f>
        <x:v>Weekly</x:v>
      </x:c>
      <x:c r="R275" s="41" t="n">
        <x:f>IFERROR(L275-P275,"")</x:f>
        <x:v>0.3115611229041803</x:v>
      </x:c>
      <x:c r="S275" s="41" t="n">
        <x:f>IFERROR(H275-P275,"")</x:f>
        <x:v>0.22491506060621513</x:v>
      </x:c>
      <x:c r="T275" s="41" t="n">
        <x:f>IFERROR(I275-M275,"")</x:f>
        <x:v>5.762515</x:v>
      </x:c>
      <x:c r="U275" s="41" t="n">
        <x:f>IFERROR(E275-M275,"")</x:f>
        <x:v>4.61202</x:v>
      </x:c>
      <x:c r="V275" s="41" t="str">
        <x:f>IF(AND(I275&gt;M275,J275&gt;N275),"Sí","No")</x:f>
        <x:v>Sí</x:v>
      </x:c>
      <x:c r="W275" s="41" t="str">
        <x:f>IF(AND(E275&gt;M275,F275&gt;N275),"Sí","No")</x:f>
        <x:v>Sí</x:v>
      </x:c>
      <x:c r="X275" s="41" t="str">
        <x:f>IF(L275&gt;=H275,"Weekly","No weekly")</x:f>
        <x:v>Weekly</x:v>
      </x:c>
      <x:c r="Y275" s="41" t="n">
        <x:f>IFERROR(I275-E275,"")</x:f>
        <x:v>1.1504949999999994</x:v>
      </x:c>
      <x:c r="Z275" s="41" t="n">
        <x:f>IFERROR(J275-F275,"")</x:f>
        <x:v>3.9655330000000006</x:v>
      </x:c>
      <x:c r="AA275" s="41" t="n">
        <x:v>11458</x:v>
      </x:c>
      <x:c r="AB275" s="41" t="n">
        <x:v>5867</x:v>
      </x:c>
    </x:row>
    <x:row r="276">
      <x:c r="A276" s="41" t="str">
        <x:v>HYP_REFINE_AUTO002_TOPN_6_V1_DDGRID_EXT_R12_C25_E60_CR50_REDD_RECOVERED_DD8_SL20</x:v>
      </x:c>
      <x:c r="B276" s="41" t="str">
        <x:v>dd_guard_grid</x:v>
      </x:c>
      <x:c r="C276" s="41" t="str">
        <x:v>1999-01-04</x:v>
      </x:c>
      <x:c r="D276" s="41" t="str">
        <x:v>2026-05-22</x:v>
      </x:c>
      <x:c r="E276" s="41" t="n">
        <x:v>11.526067</x:v>
      </x:c>
      <x:c r="F276" s="41" t="n">
        <x:v>-34.052946</x:v>
      </x:c>
      <x:c r="G276" s="41" t="n">
        <x:v>1881.959541</x:v>
      </x:c>
      <x:c r="H276" s="41" t="n">
        <x:f>IFERROR(E276/ABS(F276),"")</x:f>
        <x:v>0.33847488555028393</x:v>
      </x:c>
      <x:c r="I276" s="41" t="n">
        <x:v>13.750184</x:v>
      </x:c>
      <x:c r="J276" s="41" t="n">
        <x:v>-28.235487</x:v>
      </x:c>
      <x:c r="K276" s="41" t="n">
        <x:v>3303.182639</x:v>
      </x:c>
      <x:c r="L276" s="41" t="n">
        <x:f>IFERROR(I276/ABS(J276),"")</x:f>
        <x:v>0.48698235663510964</x:v>
      </x:c>
      <x:c r="M276" s="41" t="n">
        <x:v>6.802475</x:v>
      </x:c>
      <x:c r="N276" s="41" t="n">
        <x:v>-56.473669</x:v>
      </x:c>
      <x:c r="O276" s="41" t="n">
        <x:v>506.057416</x:v>
      </x:c>
      <x:c r="P276" s="41" t="n">
        <x:f>IFERROR(M276/ABS(N276),"")</x:f>
        <x:v>0.12045392340278087</x:v>
      </x:c>
      <x:c r="Q276" s="41" t="str">
        <x:f>IF(L276&gt;=MAX(H276,P276),"Weekly",IF(H276&gt;=MAX(L276,P276),"No weekly","SPY"))</x:f>
        <x:v>Weekly</x:v>
      </x:c>
      <x:c r="R276" s="41" t="n">
        <x:f>IFERROR(L276-P276,"")</x:f>
        <x:v>0.36652843323232875</x:v>
      </x:c>
      <x:c r="S276" s="41" t="n">
        <x:f>IFERROR(H276-P276,"")</x:f>
        <x:v>0.21802096214750305</x:v>
      </x:c>
      <x:c r="T276" s="41" t="n">
        <x:f>IFERROR(I276-M276,"")</x:f>
        <x:v>6.947709000000001</x:v>
      </x:c>
      <x:c r="U276" s="41" t="n">
        <x:f>IFERROR(E276-M276,"")</x:f>
        <x:v>4.723591999999999</x:v>
      </x:c>
      <x:c r="V276" s="41" t="str">
        <x:f>IF(AND(I276&gt;M276,J276&gt;N276),"Sí","No")</x:f>
        <x:v>Sí</x:v>
      </x:c>
      <x:c r="W276" s="41" t="str">
        <x:f>IF(AND(E276&gt;M276,F276&gt;N276),"Sí","No")</x:f>
        <x:v>Sí</x:v>
      </x:c>
      <x:c r="X276" s="41" t="str">
        <x:f>IF(L276&gt;=H276,"Weekly","No weekly")</x:f>
        <x:v>Weekly</x:v>
      </x:c>
      <x:c r="Y276" s="41" t="n">
        <x:f>IFERROR(I276-E276,"")</x:f>
        <x:v>2.2241170000000015</x:v>
      </x:c>
      <x:c r="Z276" s="41" t="n">
        <x:f>IFERROR(J276-F276,"")</x:f>
        <x:v>5.8174589999999995</x:v>
      </x:c>
      <x:c r="AA276" s="41" t="n">
        <x:v>11438</x:v>
      </x:c>
      <x:c r="AB276" s="41" t="n">
        <x:v>6002</x:v>
      </x:c>
    </x:row>
    <x:row r="277">
      <x:c r="A277" s="41" t="str">
        <x:v>HYP_REFINE_AUTO002_TOPN_6_V1_DDGRID_EXT_R12_C25_E60_CR50_REDD_RECOVERED_DD8_SL22</x:v>
      </x:c>
      <x:c r="B277" s="41" t="str">
        <x:v>dd_guard_grid</x:v>
      </x:c>
      <x:c r="C277" s="41" t="str">
        <x:v>1999-01-04</x:v>
      </x:c>
      <x:c r="D277" s="41" t="str">
        <x:v>2026-05-22</x:v>
      </x:c>
      <x:c r="E277" s="41" t="n">
        <x:v>11.936366</x:v>
      </x:c>
      <x:c r="F277" s="41" t="n">
        <x:v>-34.767505</x:v>
      </x:c>
      <x:c r="G277" s="41" t="n">
        <x:v>2091.586048</x:v>
      </x:c>
      <x:c r="H277" s="41" t="n">
        <x:f>IFERROR(E277/ABS(F277),"")</x:f>
        <x:v>0.34331960260018657</x:v>
      </x:c>
      <x:c r="I277" s="41" t="n">
        <x:v>13.616665</x:v>
      </x:c>
      <x:c r="J277" s="41" t="n">
        <x:v>-28.099053</x:v>
      </x:c>
      <x:c r="K277" s="41" t="n">
        <x:v>3195.492166</x:v>
      </x:c>
      <x:c r="L277" s="41" t="n">
        <x:f>IFERROR(I277/ABS(J277),"")</x:f>
        <x:v>0.4845951569969279</x:v>
      </x:c>
      <x:c r="M277" s="41" t="n">
        <x:v>6.802475</x:v>
      </x:c>
      <x:c r="N277" s="41" t="n">
        <x:v>-56.473669</x:v>
      </x:c>
      <x:c r="O277" s="41" t="n">
        <x:v>506.057416</x:v>
      </x:c>
      <x:c r="P277" s="41" t="n">
        <x:f>IFERROR(M277/ABS(N277),"")</x:f>
        <x:v>0.12045392340278087</x:v>
      </x:c>
      <x:c r="Q277" s="41" t="str">
        <x:f>IF(L277&gt;=MAX(H277,P277),"Weekly",IF(H277&gt;=MAX(L277,P277),"No weekly","SPY"))</x:f>
        <x:v>Weekly</x:v>
      </x:c>
      <x:c r="R277" s="41" t="n">
        <x:f>IFERROR(L277-P277,"")</x:f>
        <x:v>0.364141233594147</x:v>
      </x:c>
      <x:c r="S277" s="41" t="n">
        <x:f>IFERROR(H277-P277,"")</x:f>
        <x:v>0.22286567919740569</x:v>
      </x:c>
      <x:c r="T277" s="41" t="n">
        <x:f>IFERROR(I277-M277,"")</x:f>
        <x:v>6.814189999999999</x:v>
      </x:c>
      <x:c r="U277" s="41" t="n">
        <x:f>IFERROR(E277-M277,"")</x:f>
        <x:v>5.133890999999999</x:v>
      </x:c>
      <x:c r="V277" s="41" t="str">
        <x:f>IF(AND(I277&gt;M277,J277&gt;N277),"Sí","No")</x:f>
        <x:v>Sí</x:v>
      </x:c>
      <x:c r="W277" s="41" t="str">
        <x:f>IF(AND(E277&gt;M277,F277&gt;N277),"Sí","No")</x:f>
        <x:v>Sí</x:v>
      </x:c>
      <x:c r="X277" s="41" t="str">
        <x:f>IF(L277&gt;=H277,"Weekly","No weekly")</x:f>
        <x:v>Weekly</x:v>
      </x:c>
      <x:c r="Y277" s="41" t="n">
        <x:f>IFERROR(I277-E277,"")</x:f>
        <x:v>1.6802989999999998</x:v>
      </x:c>
      <x:c r="Z277" s="41" t="n">
        <x:f>IFERROR(J277-F277,"")</x:f>
        <x:v>6.6684519999999985</x:v>
      </x:c>
      <x:c r="AA277" s="41" t="n">
        <x:v>11610</x:v>
      </x:c>
      <x:c r="AB277" s="41" t="n">
        <x:v>5955</x:v>
      </x:c>
    </x:row>
    <x:row r="278">
      <x:c r="A278" s="41" t="str">
        <x:v>HYP_REFINE_AUTO002_TOPN_6_V1_DDGRID_EXT_R12_C25_E60_CR50_REDD_RECOVERED_DD8_SL25</x:v>
      </x:c>
      <x:c r="B278" s="41" t="str">
        <x:v>dd_guard_grid</x:v>
      </x:c>
      <x:c r="C278" s="41" t="str">
        <x:v>1999-01-04</x:v>
      </x:c>
      <x:c r="D278" s="41" t="str">
        <x:v>2026-05-22</x:v>
      </x:c>
      <x:c r="E278" s="41" t="n">
        <x:v>11.519418</x:v>
      </x:c>
      <x:c r="F278" s="41" t="n">
        <x:v>-34.595235</x:v>
      </x:c>
      <x:c r="G278" s="41" t="n">
        <x:v>1878.727236</x:v>
      </x:c>
      <x:c r="H278" s="41" t="n">
        <x:f>IFERROR(E278/ABS(F278),"")</x:f>
        <x:v>0.3329770125856928</x:v>
      </x:c>
      <x:c r="I278" s="41" t="n">
        <x:v>13.684315</x:v>
      </x:c>
      <x:c r="J278" s="41" t="n">
        <x:v>-28.116191</x:v>
      </x:c>
      <x:c r="K278" s="41" t="n">
        <x:v>3249.638627</x:v>
      </x:c>
      <x:c r="L278" s="41" t="n">
        <x:f>IFERROR(I278/ABS(J278),"")</x:f>
        <x:v>0.48670586282473327</x:v>
      </x:c>
      <x:c r="M278" s="41" t="n">
        <x:v>6.802475</x:v>
      </x:c>
      <x:c r="N278" s="41" t="n">
        <x:v>-56.473669</x:v>
      </x:c>
      <x:c r="O278" s="41" t="n">
        <x:v>506.057416</x:v>
      </x:c>
      <x:c r="P278" s="41" t="n">
        <x:f>IFERROR(M278/ABS(N278),"")</x:f>
        <x:v>0.12045392340278087</x:v>
      </x:c>
      <x:c r="Q278" s="41" t="str">
        <x:f>IF(L278&gt;=MAX(H278,P278),"Weekly",IF(H278&gt;=MAX(L278,P278),"No weekly","SPY"))</x:f>
        <x:v>Weekly</x:v>
      </x:c>
      <x:c r="R278" s="41" t="n">
        <x:f>IFERROR(L278-P278,"")</x:f>
        <x:v>0.3662519394219524</x:v>
      </x:c>
      <x:c r="S278" s="41" t="n">
        <x:f>IFERROR(H278-P278,"")</x:f>
        <x:v>0.2125230891829119</x:v>
      </x:c>
      <x:c r="T278" s="41" t="n">
        <x:f>IFERROR(I278-M278,"")</x:f>
        <x:v>6.8818399999999995</x:v>
      </x:c>
      <x:c r="U278" s="41" t="n">
        <x:f>IFERROR(E278-M278,"")</x:f>
        <x:v>4.716943</x:v>
      </x:c>
      <x:c r="V278" s="41" t="str">
        <x:f>IF(AND(I278&gt;M278,J278&gt;N278),"Sí","No")</x:f>
        <x:v>Sí</x:v>
      </x:c>
      <x:c r="W278" s="41" t="str">
        <x:f>IF(AND(E278&gt;M278,F278&gt;N278),"Sí","No")</x:f>
        <x:v>Sí</x:v>
      </x:c>
      <x:c r="X278" s="41" t="str">
        <x:f>IF(L278&gt;=H278,"Weekly","No weekly")</x:f>
        <x:v>Weekly</x:v>
      </x:c>
      <x:c r="Y278" s="41" t="n">
        <x:f>IFERROR(I278-E278,"")</x:f>
        <x:v>2.164897</x:v>
      </x:c>
      <x:c r="Z278" s="41" t="n">
        <x:f>IFERROR(J278-F278,"")</x:f>
        <x:v>6.479044000000002</x:v>
      </x:c>
      <x:c r="AA278" s="41" t="n">
        <x:v>11597</x:v>
      </x:c>
      <x:c r="AB278" s="41" t="n">
        <x:v>6225</x:v>
      </x:c>
    </x:row>
    <x:row r="279">
      <x:c r="A279" s="41" t="str">
        <x:v>HYP_REFINE_AUTO002_TOPN_6_V1_DDGRID_EXT_R12_C25_E60_CR50_REDD_RECOVERED_DD8_SLNONE</x:v>
      </x:c>
      <x:c r="B279" s="41" t="str">
        <x:v>dd_guard_grid</x:v>
      </x:c>
      <x:c r="C279" s="41" t="str">
        <x:v>1999-01-04</x:v>
      </x:c>
      <x:c r="D279" s="41" t="str">
        <x:v>2026-05-22</x:v>
      </x:c>
      <x:c r="E279" s="41" t="n">
        <x:v>11.737166</x:v>
      </x:c>
      <x:c r="F279" s="41" t="n">
        <x:v>-34.918135</x:v>
      </x:c>
      <x:c r="G279" s="41" t="n">
        <x:v>1987.275531</x:v>
      </x:c>
      <x:c r="H279" s="41" t="n">
        <x:f>IFERROR(E279/ABS(F279),"")</x:f>
        <x:v>0.33613381699795825</x:v>
      </x:c>
      <x:c r="I279" s="41" t="n">
        <x:v>13.254706</x:v>
      </x:c>
      <x:c r="J279" s="41" t="n">
        <x:v>-28.040697</x:v>
      </x:c>
      <x:c r="K279" s="41" t="n">
        <x:v>2919.810021</x:v>
      </x:c>
      <x:c r="L279" s="41" t="n">
        <x:f>IFERROR(I279/ABS(J279),"")</x:f>
        <x:v>0.4726953113897276</x:v>
      </x:c>
      <x:c r="M279" s="41" t="n">
        <x:v>6.802475</x:v>
      </x:c>
      <x:c r="N279" s="41" t="n">
        <x:v>-56.473669</x:v>
      </x:c>
      <x:c r="O279" s="41" t="n">
        <x:v>506.057416</x:v>
      </x:c>
      <x:c r="P279" s="41" t="n">
        <x:f>IFERROR(M279/ABS(N279),"")</x:f>
        <x:v>0.12045392340278087</x:v>
      </x:c>
      <x:c r="Q279" s="41" t="str">
        <x:f>IF(L279&gt;=MAX(H279,P279),"Weekly",IF(H279&gt;=MAX(L279,P279),"No weekly","SPY"))</x:f>
        <x:v>Weekly</x:v>
      </x:c>
      <x:c r="R279" s="41" t="n">
        <x:f>IFERROR(L279-P279,"")</x:f>
        <x:v>0.3522413879869467</x:v>
      </x:c>
      <x:c r="S279" s="41" t="n">
        <x:f>IFERROR(H279-P279,"")</x:f>
        <x:v>0.21567989359517736</x:v>
      </x:c>
      <x:c r="T279" s="41" t="n">
        <x:f>IFERROR(I279-M279,"")</x:f>
        <x:v>6.452231</x:v>
      </x:c>
      <x:c r="U279" s="41" t="n">
        <x:f>IFERROR(E279-M279,"")</x:f>
        <x:v>4.934691</x:v>
      </x:c>
      <x:c r="V279" s="41" t="str">
        <x:f>IF(AND(I279&gt;M279,J279&gt;N279),"Sí","No")</x:f>
        <x:v>Sí</x:v>
      </x:c>
      <x:c r="W279" s="41" t="str">
        <x:f>IF(AND(E279&gt;M279,F279&gt;N279),"Sí","No")</x:f>
        <x:v>Sí</x:v>
      </x:c>
      <x:c r="X279" s="41" t="str">
        <x:f>IF(L279&gt;=H279,"Weekly","No weekly")</x:f>
        <x:v>Weekly</x:v>
      </x:c>
      <x:c r="Y279" s="41" t="n">
        <x:f>IFERROR(I279-E279,"")</x:f>
        <x:v>1.5175400000000003</x:v>
      </x:c>
      <x:c r="Z279" s="41" t="n">
        <x:f>IFERROR(J279-F279,"")</x:f>
        <x:v>6.877437999999998</x:v>
      </x:c>
      <x:c r="AA279" s="41" t="n">
        <x:v>11659</x:v>
      </x:c>
      <x:c r="AB279" s="41" t="n">
        <x:v>6300</x:v>
      </x:c>
    </x:row>
    <x:row r="280">
      <x:c r="A280" s="41" t="str">
        <x:v>HYP_REFINE_AUTO002_TOPN_6_V1_DDGRID_EXT_R12_C25_E66_CR25_REDD_RECOVERED_DD8_SL20</x:v>
      </x:c>
      <x:c r="B280" s="41" t="str">
        <x:v>dd_guard_grid</x:v>
      </x:c>
      <x:c r="C280" s="41" t="str">
        <x:v>1999-01-04</x:v>
      </x:c>
      <x:c r="D280" s="41" t="str">
        <x:v>2026-05-22</x:v>
      </x:c>
      <x:c r="E280" s="41" t="n">
        <x:v>12.11526</x:v>
      </x:c>
      <x:c r="F280" s="41" t="n">
        <x:v>-31.501913</x:v>
      </x:c>
      <x:c r="G280" s="41" t="n">
        <x:v>2189.529049</x:v>
      </x:c>
      <x:c r="H280" s="41" t="n">
        <x:f>IFERROR(E280/ABS(F280),"")</x:f>
        <x:v>0.3845880724767413</x:v>
      </x:c>
      <x:c r="I280" s="41" t="n">
        <x:v>13.360859</x:v>
      </x:c>
      <x:c r="J280" s="41" t="n">
        <x:v>-29.800058</x:v>
      </x:c>
      <x:c r="K280" s="41" t="n">
        <x:v>2998.269718</x:v>
      </x:c>
      <x:c r="L280" s="41" t="n">
        <x:f>IFERROR(I280/ABS(J280),"")</x:f>
        <x:v>0.44835010052665</x:v>
      </x:c>
      <x:c r="M280" s="41" t="n">
        <x:v>6.802475</x:v>
      </x:c>
      <x:c r="N280" s="41" t="n">
        <x:v>-56.473669</x:v>
      </x:c>
      <x:c r="O280" s="41" t="n">
        <x:v>506.057416</x:v>
      </x:c>
      <x:c r="P280" s="41" t="n">
        <x:f>IFERROR(M280/ABS(N280),"")</x:f>
        <x:v>0.12045392340278087</x:v>
      </x:c>
      <x:c r="Q280" s="41" t="str">
        <x:f>IF(L280&gt;=MAX(H280,P280),"Weekly",IF(H280&gt;=MAX(L280,P280),"No weekly","SPY"))</x:f>
        <x:v>Weekly</x:v>
      </x:c>
      <x:c r="R280" s="41" t="n">
        <x:f>IFERROR(L280-P280,"")</x:f>
        <x:v>0.3278961771238691</x:v>
      </x:c>
      <x:c r="S280" s="41" t="n">
        <x:f>IFERROR(H280-P280,"")</x:f>
        <x:v>0.26413414907396043</x:v>
      </x:c>
      <x:c r="T280" s="41" t="n">
        <x:f>IFERROR(I280-M280,"")</x:f>
        <x:v>6.558383999999999</x:v>
      </x:c>
      <x:c r="U280" s="41" t="n">
        <x:f>IFERROR(E280-M280,"")</x:f>
        <x:v>5.312784999999999</x:v>
      </x:c>
      <x:c r="V280" s="41" t="str">
        <x:f>IF(AND(I280&gt;M280,J280&gt;N280),"Sí","No")</x:f>
        <x:v>Sí</x:v>
      </x:c>
      <x:c r="W280" s="41" t="str">
        <x:f>IF(AND(E280&gt;M280,F280&gt;N280),"Sí","No")</x:f>
        <x:v>Sí</x:v>
      </x:c>
      <x:c r="X280" s="41" t="str">
        <x:f>IF(L280&gt;=H280,"Weekly","No weekly")</x:f>
        <x:v>Weekly</x:v>
      </x:c>
      <x:c r="Y280" s="41" t="n">
        <x:f>IFERROR(I280-E280,"")</x:f>
        <x:v>1.2455990000000003</x:v>
      </x:c>
      <x:c r="Z280" s="41" t="n">
        <x:f>IFERROR(J280-F280,"")</x:f>
        <x:v>1.7018549999999983</x:v>
      </x:c>
      <x:c r="AA280" s="41" t="n">
        <x:v>12319</x:v>
      </x:c>
      <x:c r="AB280" s="41" t="n">
        <x:v>5967</x:v>
      </x:c>
    </x:row>
    <x:row r="281">
      <x:c r="A281" s="41" t="str">
        <x:v>HYP_REFINE_AUTO002_TOPN_6_V1_DDGRID_EXT_R12_C25_E66_CR33_REDD_RECOVERED_DD8_SL18</x:v>
      </x:c>
      <x:c r="B281" s="41" t="str">
        <x:v>dd_guard_grid</x:v>
      </x:c>
      <x:c r="C281" s="41" t="str">
        <x:v>1999-01-04</x:v>
      </x:c>
      <x:c r="D281" s="41" t="str">
        <x:v>2026-05-22</x:v>
      </x:c>
      <x:c r="E281" s="41" t="n">
        <x:v>12.000316</x:v>
      </x:c>
      <x:c r="F281" s="41" t="n">
        <x:v>-33.03262</x:v>
      </x:c>
      <x:c r="G281" s="41" t="n">
        <x:v>2126.125274</x:v>
      </x:c>
      <x:c r="H281" s="41" t="n">
        <x:f>IFERROR(E281/ABS(F281),"")</x:f>
        <x:v>0.3632868358610367</x:v>
      </x:c>
      <x:c r="I281" s="41" t="n">
        <x:v>12.269201</x:v>
      </x:c>
      <x:c r="J281" s="41" t="n">
        <x:v>-29.285307</x:v>
      </x:c>
      <x:c r="K281" s="41" t="n">
        <x:v>2277.174539</x:v>
      </x:c>
      <x:c r="L281" s="41" t="n">
        <x:f>IFERROR(I281/ABS(J281),"")</x:f>
        <x:v>0.4189541533575182</x:v>
      </x:c>
      <x:c r="M281" s="41" t="n">
        <x:v>6.802475</x:v>
      </x:c>
      <x:c r="N281" s="41" t="n">
        <x:v>-56.473669</x:v>
      </x:c>
      <x:c r="O281" s="41" t="n">
        <x:v>506.057416</x:v>
      </x:c>
      <x:c r="P281" s="41" t="n">
        <x:f>IFERROR(M281/ABS(N281),"")</x:f>
        <x:v>0.12045392340278087</x:v>
      </x:c>
      <x:c r="Q281" s="41" t="str">
        <x:f>IF(L281&gt;=MAX(H281,P281),"Weekly",IF(H281&gt;=MAX(L281,P281),"No weekly","SPY"))</x:f>
        <x:v>Weekly</x:v>
      </x:c>
      <x:c r="R281" s="41" t="n">
        <x:f>IFERROR(L281-P281,"")</x:f>
        <x:v>0.2985002299547373</x:v>
      </x:c>
      <x:c r="S281" s="41" t="n">
        <x:f>IFERROR(H281-P281,"")</x:f>
        <x:v>0.24283291245825583</x:v>
      </x:c>
      <x:c r="T281" s="41" t="n">
        <x:f>IFERROR(I281-M281,"")</x:f>
        <x:v>5.466726</x:v>
      </x:c>
      <x:c r="U281" s="41" t="n">
        <x:f>IFERROR(E281-M281,"")</x:f>
        <x:v>5.1978409999999995</x:v>
      </x:c>
      <x:c r="V281" s="41" t="str">
        <x:f>IF(AND(I281&gt;M281,J281&gt;N281),"Sí","No")</x:f>
        <x:v>Sí</x:v>
      </x:c>
      <x:c r="W281" s="41" t="str">
        <x:f>IF(AND(E281&gt;M281,F281&gt;N281),"Sí","No")</x:f>
        <x:v>Sí</x:v>
      </x:c>
      <x:c r="X281" s="41" t="str">
        <x:f>IF(L281&gt;=H281,"Weekly","No weekly")</x:f>
        <x:v>Weekly</x:v>
      </x:c>
      <x:c r="Y281" s="41" t="n">
        <x:f>IFERROR(I281-E281,"")</x:f>
        <x:v>0.26888500000000093</x:v>
      </x:c>
      <x:c r="Z281" s="41" t="n">
        <x:f>IFERROR(J281-F281,"")</x:f>
        <x:v>3.747313000000002</x:v>
      </x:c>
      <x:c r="AA281" s="41" t="n">
        <x:v>11736</x:v>
      </x:c>
      <x:c r="AB281" s="41" t="n">
        <x:v>5710</x:v>
      </x:c>
    </x:row>
    <x:row r="282">
      <x:c r="A282" s="41" t="str">
        <x:v>HYP_REFINE_AUTO002_TOPN_6_V1_DDGRID_EXT_R12_C25_E66_CR33_REDD_RECOVERED_DD8_SL20</x:v>
      </x:c>
      <x:c r="B282" s="41" t="str">
        <x:v>dd_guard_grid</x:v>
      </x:c>
      <x:c r="C282" s="41" t="str">
        <x:v>1999-01-04</x:v>
      </x:c>
      <x:c r="D282" s="41" t="str">
        <x:v>2026-05-22</x:v>
      </x:c>
      <x:c r="E282" s="41" t="n">
        <x:v>13.453741</x:v>
      </x:c>
      <x:c r="F282" s="41" t="n">
        <x:v>-32.954669</x:v>
      </x:c>
      <x:c r="G282" s="41" t="n">
        <x:v>3068.527718</x:v>
      </x:c>
      <x:c r="H282" s="41" t="n">
        <x:f>IFERROR(E282/ABS(F282),"")</x:f>
        <x:v>0.4082499205196083</x:v>
      </x:c>
      <x:c r="I282" s="41" t="n">
        <x:v>14.601058</x:v>
      </x:c>
      <x:c r="J282" s="41" t="n">
        <x:v>-29.296101</x:v>
      </x:c>
      <x:c r="K282" s="41" t="n">
        <x:v>4073.46022</x:v>
      </x:c>
      <x:c r="L282" s="41" t="n">
        <x:f>IFERROR(I282/ABS(J282),"")</x:f>
        <x:v>0.49839594695553513</x:v>
      </x:c>
      <x:c r="M282" s="41" t="n">
        <x:v>6.802475</x:v>
      </x:c>
      <x:c r="N282" s="41" t="n">
        <x:v>-56.473669</x:v>
      </x:c>
      <x:c r="O282" s="41" t="n">
        <x:v>506.057416</x:v>
      </x:c>
      <x:c r="P282" s="41" t="n">
        <x:f>IFERROR(M282/ABS(N282),"")</x:f>
        <x:v>0.12045392340278087</x:v>
      </x:c>
      <x:c r="Q282" s="41" t="str">
        <x:f>IF(L282&gt;=MAX(H282,P282),"Weekly",IF(H282&gt;=MAX(L282,P282),"No weekly","SPY"))</x:f>
        <x:v>Weekly</x:v>
      </x:c>
      <x:c r="R282" s="41" t="n">
        <x:f>IFERROR(L282-P282,"")</x:f>
        <x:v>0.37794202355275425</x:v>
      </x:c>
      <x:c r="S282" s="41" t="n">
        <x:f>IFERROR(H282-P282,"")</x:f>
        <x:v>0.2877959971168274</x:v>
      </x:c>
      <x:c r="T282" s="41" t="n">
        <x:f>IFERROR(I282-M282,"")</x:f>
        <x:v>7.798583</x:v>
      </x:c>
      <x:c r="U282" s="41" t="n">
        <x:f>IFERROR(E282-M282,"")</x:f>
        <x:v>6.651266000000001</x:v>
      </x:c>
      <x:c r="V282" s="41" t="str">
        <x:f>IF(AND(I282&gt;M282,J282&gt;N282),"Sí","No")</x:f>
        <x:v>Sí</x:v>
      </x:c>
      <x:c r="W282" s="41" t="str">
        <x:f>IF(AND(E282&gt;M282,F282&gt;N282),"Sí","No")</x:f>
        <x:v>Sí</x:v>
      </x:c>
      <x:c r="X282" s="41" t="str">
        <x:f>IF(L282&gt;=H282,"Weekly","No weekly")</x:f>
        <x:v>Weekly</x:v>
      </x:c>
      <x:c r="Y282" s="41" t="n">
        <x:f>IFERROR(I282-E282,"")</x:f>
        <x:v>1.1473169999999993</x:v>
      </x:c>
      <x:c r="Z282" s="41" t="n">
        <x:f>IFERROR(J282-F282,"")</x:f>
        <x:v>3.6585680000000025</x:v>
      </x:c>
      <x:c r="AA282" s="41" t="n">
        <x:v>11551</x:v>
      </x:c>
      <x:c r="AB282" s="41" t="n">
        <x:v>5433</x:v>
      </x:c>
    </x:row>
    <x:row r="283">
      <x:c r="A283" s="41" t="str">
        <x:v>HYP_REFINE_AUTO002_TOPN_6_V1_DDGRID_EXT_R12_C25_E66_CR33_REDD_RECOVERED_DD8_SL22</x:v>
      </x:c>
      <x:c r="B283" s="41" t="str">
        <x:v>dd_guard_grid</x:v>
      </x:c>
      <x:c r="C283" s="41" t="str">
        <x:v>1999-01-04</x:v>
      </x:c>
      <x:c r="D283" s="41" t="str">
        <x:v>2026-05-22</x:v>
      </x:c>
      <x:c r="E283" s="41" t="n">
        <x:v>12.593731</x:v>
      </x:c>
      <x:c r="F283" s="41" t="n">
        <x:v>-33.476278</x:v>
      </x:c>
      <x:c r="G283" s="41" t="n">
        <x:v>2472.658879</x:v>
      </x:c>
      <x:c r="H283" s="41" t="n">
        <x:f>IFERROR(E283/ABS(F283),"")</x:f>
        <x:v>0.37619866222881765</x:v>
      </x:c>
      <x:c r="I283" s="41" t="n">
        <x:v>13.467229</x:v>
      </x:c>
      <x:c r="J283" s="41" t="n">
        <x:v>-29.741843</x:v>
      </x:c>
      <x:c r="K283" s="41" t="n">
        <x:v>3078.857227</x:v>
      </x:c>
      <x:c r="L283" s="41" t="n">
        <x:f>IFERROR(I283/ABS(J283),"")</x:f>
        <x:v>0.4528041184266893</x:v>
      </x:c>
      <x:c r="M283" s="41" t="n">
        <x:v>6.802475</x:v>
      </x:c>
      <x:c r="N283" s="41" t="n">
        <x:v>-56.473669</x:v>
      </x:c>
      <x:c r="O283" s="41" t="n">
        <x:v>506.057416</x:v>
      </x:c>
      <x:c r="P283" s="41" t="n">
        <x:f>IFERROR(M283/ABS(N283),"")</x:f>
        <x:v>0.12045392340278087</x:v>
      </x:c>
      <x:c r="Q283" s="41" t="str">
        <x:f>IF(L283&gt;=MAX(H283,P283),"Weekly",IF(H283&gt;=MAX(L283,P283),"No weekly","SPY"))</x:f>
        <x:v>Weekly</x:v>
      </x:c>
      <x:c r="R283" s="41" t="n">
        <x:f>IFERROR(L283-P283,"")</x:f>
        <x:v>0.3323501950239084</x:v>
      </x:c>
      <x:c r="S283" s="41" t="n">
        <x:f>IFERROR(H283-P283,"")</x:f>
        <x:v>0.25574473882603677</x:v>
      </x:c>
      <x:c r="T283" s="41" t="n">
        <x:f>IFERROR(I283-M283,"")</x:f>
        <x:v>6.664753999999999</x:v>
      </x:c>
      <x:c r="U283" s="41" t="n">
        <x:f>IFERROR(E283-M283,"")</x:f>
        <x:v>5.791256</x:v>
      </x:c>
      <x:c r="V283" s="41" t="str">
        <x:f>IF(AND(I283&gt;M283,J283&gt;N283),"Sí","No")</x:f>
        <x:v>Sí</x:v>
      </x:c>
      <x:c r="W283" s="41" t="str">
        <x:f>IF(AND(E283&gt;M283,F283&gt;N283),"Sí","No")</x:f>
        <x:v>Sí</x:v>
      </x:c>
      <x:c r="X283" s="41" t="str">
        <x:f>IF(L283&gt;=H283,"Weekly","No weekly")</x:f>
        <x:v>Weekly</x:v>
      </x:c>
      <x:c r="Y283" s="41" t="n">
        <x:f>IFERROR(I283-E283,"")</x:f>
        <x:v>0.8734979999999997</x:v>
      </x:c>
      <x:c r="Z283" s="41" t="n">
        <x:f>IFERROR(J283-F283,"")</x:f>
        <x:v>3.7344350000000013</x:v>
      </x:c>
      <x:c r="AA283" s="41" t="n">
        <x:v>11840</x:v>
      </x:c>
      <x:c r="AB283" s="41" t="n">
        <x:v>5655</x:v>
      </x:c>
    </x:row>
    <x:row r="284">
      <x:c r="A284" s="41" t="str">
        <x:v>HYP_REFINE_AUTO002_TOPN_6_V1_DDGRID_EXT_R12_C25_E66_CR40_REDD_RECOVERED_DD10_SL18</x:v>
      </x:c>
      <x:c r="B284" s="41" t="str">
        <x:v>dd_guard_grid</x:v>
      </x:c>
      <x:c r="C284" s="41" t="str">
        <x:v>1999-01-04</x:v>
      </x:c>
      <x:c r="D284" s="41" t="str">
        <x:v>2026-05-22</x:v>
      </x:c>
      <x:c r="E284" s="41" t="n">
        <x:v>12.022437</x:v>
      </x:c>
      <x:c r="F284" s="41" t="n">
        <x:v>-34.078754</x:v>
      </x:c>
      <x:c r="G284" s="41" t="n">
        <x:v>2138.194332</x:v>
      </x:c>
      <x:c r="H284" s="41" t="n">
        <x:f>IFERROR(E284/ABS(F284),"")</x:f>
        <x:v>0.35278393687750437</x:v>
      </x:c>
      <x:c r="I284" s="41" t="n">
        <x:v>13.525149</x:v>
      </x:c>
      <x:c r="J284" s="41" t="n">
        <x:v>-29.41887</x:v>
      </x:c>
      <x:c r="K284" s="41" t="n">
        <x:v>3123.583986</x:v>
      </x:c>
      <x:c r="L284" s="41" t="n">
        <x:f>IFERROR(I284/ABS(J284),"")</x:f>
        <x:v>0.4597440010442278</x:v>
      </x:c>
      <x:c r="M284" s="41" t="n">
        <x:v>6.802475</x:v>
      </x:c>
      <x:c r="N284" s="41" t="n">
        <x:v>-56.473669</x:v>
      </x:c>
      <x:c r="O284" s="41" t="n">
        <x:v>506.057416</x:v>
      </x:c>
      <x:c r="P284" s="41" t="n">
        <x:f>IFERROR(M284/ABS(N284),"")</x:f>
        <x:v>0.12045392340278087</x:v>
      </x:c>
      <x:c r="Q284" s="41" t="str">
        <x:f>IF(L284&gt;=MAX(H284,P284),"Weekly",IF(H284&gt;=MAX(L284,P284),"No weekly","SPY"))</x:f>
        <x:v>Weekly</x:v>
      </x:c>
      <x:c r="R284" s="41" t="n">
        <x:f>IFERROR(L284-P284,"")</x:f>
        <x:v>0.3392900776414469</x:v>
      </x:c>
      <x:c r="S284" s="41" t="n">
        <x:f>IFERROR(H284-P284,"")</x:f>
        <x:v>0.23233001347472348</x:v>
      </x:c>
      <x:c r="T284" s="41" t="n">
        <x:f>IFERROR(I284-M284,"")</x:f>
        <x:v>6.7226740000000005</x:v>
      </x:c>
      <x:c r="U284" s="41" t="n">
        <x:f>IFERROR(E284-M284,"")</x:f>
        <x:v>5.219962</x:v>
      </x:c>
      <x:c r="V284" s="41" t="str">
        <x:f>IF(AND(I284&gt;M284,J284&gt;N284),"Sí","No")</x:f>
        <x:v>Sí</x:v>
      </x:c>
      <x:c r="W284" s="41" t="str">
        <x:f>IF(AND(E284&gt;M284,F284&gt;N284),"Sí","No")</x:f>
        <x:v>Sí</x:v>
      </x:c>
      <x:c r="X284" s="41" t="str">
        <x:f>IF(L284&gt;=H284,"Weekly","No weekly")</x:f>
        <x:v>Weekly</x:v>
      </x:c>
      <x:c r="Y284" s="41" t="n">
        <x:f>IFERROR(I284-E284,"")</x:f>
        <x:v>1.5027120000000007</x:v>
      </x:c>
      <x:c r="Z284" s="41" t="n">
        <x:f>IFERROR(J284-F284,"")</x:f>
        <x:v>4.659884000000005</x:v>
      </x:c>
      <x:c r="AA284" s="41" t="n">
        <x:v>11390</x:v>
      </x:c>
      <x:c r="AB284" s="41" t="n">
        <x:v>5283</x:v>
      </x:c>
    </x:row>
    <x:row r="285">
      <x:c r="A285" s="41" t="str">
        <x:v>HYP_REFINE_AUTO002_TOPN_6_V1_DDGRID_EXT_R12_C25_E66_CR40_REDD_RECOVERED_DD10_SL20</x:v>
      </x:c>
      <x:c r="B285" s="41" t="str">
        <x:v>dd_guard_grid</x:v>
      </x:c>
      <x:c r="C285" s="41" t="str">
        <x:v>1999-01-04</x:v>
      </x:c>
      <x:c r="D285" s="41" t="str">
        <x:v>2026-05-22</x:v>
      </x:c>
      <x:c r="E285" s="41" t="n">
        <x:v>13.33875</x:v>
      </x:c>
      <x:c r="F285" s="41" t="n">
        <x:v>-34.383645</x:v>
      </x:c>
      <x:c r="G285" s="41" t="n">
        <x:v>2981.767819</x:v>
      </x:c>
      <x:c r="H285" s="41" t="n">
        <x:f>IFERROR(E285/ABS(F285),"")</x:f>
        <x:v>0.38793880055474045</x:v>
      </x:c>
      <x:c r="I285" s="41" t="n">
        <x:v>13.639507</x:v>
      </x:c>
      <x:c r="J285" s="41" t="n">
        <x:v>-29.430989</x:v>
      </x:c>
      <x:c r="K285" s="41" t="n">
        <x:v>3213.679446</x:v>
      </x:c>
      <x:c r="L285" s="41" t="n">
        <x:f>IFERROR(I285/ABS(J285),"")</x:f>
        <x:v>0.46344032135651303</x:v>
      </x:c>
      <x:c r="M285" s="41" t="n">
        <x:v>6.802475</x:v>
      </x:c>
      <x:c r="N285" s="41" t="n">
        <x:v>-56.473669</x:v>
      </x:c>
      <x:c r="O285" s="41" t="n">
        <x:v>506.057416</x:v>
      </x:c>
      <x:c r="P285" s="41" t="n">
        <x:f>IFERROR(M285/ABS(N285),"")</x:f>
        <x:v>0.12045392340278087</x:v>
      </x:c>
      <x:c r="Q285" s="41" t="str">
        <x:f>IF(L285&gt;=MAX(H285,P285),"Weekly",IF(H285&gt;=MAX(L285,P285),"No weekly","SPY"))</x:f>
        <x:v>Weekly</x:v>
      </x:c>
      <x:c r="R285" s="41" t="n">
        <x:f>IFERROR(L285-P285,"")</x:f>
        <x:v>0.34298639795373215</x:v>
      </x:c>
      <x:c r="S285" s="41" t="n">
        <x:f>IFERROR(H285-P285,"")</x:f>
        <x:v>0.26748487715195957</x:v>
      </x:c>
      <x:c r="T285" s="41" t="n">
        <x:f>IFERROR(I285-M285,"")</x:f>
        <x:v>6.837032</x:v>
      </x:c>
      <x:c r="U285" s="41" t="n">
        <x:f>IFERROR(E285-M285,"")</x:f>
        <x:v>6.536274999999999</x:v>
      </x:c>
      <x:c r="V285" s="41" t="str">
        <x:f>IF(AND(I285&gt;M285,J285&gt;N285),"Sí","No")</x:f>
        <x:v>Sí</x:v>
      </x:c>
      <x:c r="W285" s="41" t="str">
        <x:f>IF(AND(E285&gt;M285,F285&gt;N285),"Sí","No")</x:f>
        <x:v>Sí</x:v>
      </x:c>
      <x:c r="X285" s="41" t="str">
        <x:f>IF(L285&gt;=H285,"Weekly","No weekly")</x:f>
        <x:v>Weekly</x:v>
      </x:c>
      <x:c r="Y285" s="41" t="n">
        <x:f>IFERROR(I285-E285,"")</x:f>
        <x:v>0.30075700000000083</x:v>
      </x:c>
      <x:c r="Z285" s="41" t="n">
        <x:f>IFERROR(J285-F285,"")</x:f>
        <x:v>4.952656000000001</x:v>
      </x:c>
      <x:c r="AA285" s="41" t="n">
        <x:v>11349</x:v>
      </x:c>
      <x:c r="AB285" s="41" t="n">
        <x:v>4995</x:v>
      </x:c>
    </x:row>
    <x:row r="286">
      <x:c r="A286" s="41" t="str">
        <x:v>HYP_REFINE_AUTO002_TOPN_6_V1_DDGRID_EXT_R12_C25_E66_CR40_REDD_RECOVERED_DD10_SL22</x:v>
      </x:c>
      <x:c r="B286" s="41" t="str">
        <x:v>dd_guard_grid</x:v>
      </x:c>
      <x:c r="C286" s="41" t="str">
        <x:v>1999-01-04</x:v>
      </x:c>
      <x:c r="D286" s="41" t="str">
        <x:v>2026-05-22</x:v>
      </x:c>
      <x:c r="E286" s="41" t="n">
        <x:v>12.741073</x:v>
      </x:c>
      <x:c r="F286" s="41" t="n">
        <x:v>-34.583773</x:v>
      </x:c>
      <x:c r="G286" s="41" t="n">
        <x:v>2566.440876</x:v>
      </x:c>
      <x:c r="H286" s="41" t="n">
        <x:f>IFERROR(E286/ABS(F286),"")</x:f>
        <x:v>0.36841188496119265</x:v>
      </x:c>
      <x:c r="I286" s="41" t="n">
        <x:v>14.911499</x:v>
      </x:c>
      <x:c r="J286" s="41" t="n">
        <x:v>-29.396893</x:v>
      </x:c>
      <x:c r="K286" s="41" t="n">
        <x:v>4394.302144</x:v>
      </x:c>
      <x:c r="L286" s="41" t="n">
        <x:f>IFERROR(I286/ABS(J286),"")</x:f>
        <x:v>0.5072474495859137</x:v>
      </x:c>
      <x:c r="M286" s="41" t="n">
        <x:v>6.802475</x:v>
      </x:c>
      <x:c r="N286" s="41" t="n">
        <x:v>-56.473669</x:v>
      </x:c>
      <x:c r="O286" s="41" t="n">
        <x:v>506.057416</x:v>
      </x:c>
      <x:c r="P286" s="41" t="n">
        <x:f>IFERROR(M286/ABS(N286),"")</x:f>
        <x:v>0.12045392340278087</x:v>
      </x:c>
      <x:c r="Q286" s="41" t="str">
        <x:f>IF(L286&gt;=MAX(H286,P286),"Weekly",IF(H286&gt;=MAX(L286,P286),"No weekly","SPY"))</x:f>
        <x:v>Weekly</x:v>
      </x:c>
      <x:c r="R286" s="41" t="n">
        <x:f>IFERROR(L286-P286,"")</x:f>
        <x:v>0.38679352618313284</x:v>
      </x:c>
      <x:c r="S286" s="41" t="n">
        <x:f>IFERROR(H286-P286,"")</x:f>
        <x:v>0.24795796155841177</x:v>
      </x:c>
      <x:c r="T286" s="41" t="n">
        <x:f>IFERROR(I286-M286,"")</x:f>
        <x:v>8.109023999999998</x:v>
      </x:c>
      <x:c r="U286" s="41" t="n">
        <x:f>IFERROR(E286-M286,"")</x:f>
        <x:v>5.938598</x:v>
      </x:c>
      <x:c r="V286" s="41" t="str">
        <x:f>IF(AND(I286&gt;M286,J286&gt;N286),"Sí","No")</x:f>
        <x:v>Sí</x:v>
      </x:c>
      <x:c r="W286" s="41" t="str">
        <x:f>IF(AND(E286&gt;M286,F286&gt;N286),"Sí","No")</x:f>
        <x:v>Sí</x:v>
      </x:c>
      <x:c r="X286" s="41" t="str">
        <x:f>IF(L286&gt;=H286,"Weekly","No weekly")</x:f>
        <x:v>Weekly</x:v>
      </x:c>
      <x:c r="Y286" s="41" t="n">
        <x:f>IFERROR(I286-E286,"")</x:f>
        <x:v>2.170425999999999</x:v>
      </x:c>
      <x:c r="Z286" s="41" t="n">
        <x:f>IFERROR(J286-F286,"")</x:f>
        <x:v>5.186880000000002</x:v>
      </x:c>
      <x:c r="AA286" s="41" t="n">
        <x:v>11262</x:v>
      </x:c>
      <x:c r="AB286" s="41" t="n">
        <x:v>5250</x:v>
      </x:c>
    </x:row>
    <x:row r="287">
      <x:c r="A287" s="41" t="str">
        <x:v>HYP_REFINE_AUTO002_TOPN_6_V1_DDGRID_EXT_R12_C25_E66_CR40_REDD_RECOVERED_DD6_SL18</x:v>
      </x:c>
      <x:c r="B287" s="41" t="str">
        <x:v>dd_guard_grid</x:v>
      </x:c>
      <x:c r="C287" s="41" t="str">
        <x:v>1999-01-04</x:v>
      </x:c>
      <x:c r="D287" s="41" t="str">
        <x:v>2026-05-22</x:v>
      </x:c>
      <x:c r="E287" s="41" t="n">
        <x:v>12.732978</x:v>
      </x:c>
      <x:c r="F287" s="41" t="n">
        <x:v>-34.078754</x:v>
      </x:c>
      <x:c r="G287" s="41" t="n">
        <x:v>2561.204196</x:v>
      </x:c>
      <x:c r="H287" s="41" t="n">
        <x:f>IFERROR(E287/ABS(F287),"")</x:f>
        <x:v>0.37363390692042314</x:v>
      </x:c>
      <x:c r="I287" s="41" t="n">
        <x:v>12.847927</x:v>
      </x:c>
      <x:c r="J287" s="41" t="n">
        <x:v>-29.41887</x:v>
      </x:c>
      <x:c r="K287" s="41" t="n">
        <x:v>2636.503524</x:v>
      </x:c>
      <x:c r="L287" s="41" t="n">
        <x:f>IFERROR(I287/ABS(J287),"")</x:f>
        <x:v>0.43672401421264656</x:v>
      </x:c>
      <x:c r="M287" s="41" t="n">
        <x:v>6.802475</x:v>
      </x:c>
      <x:c r="N287" s="41" t="n">
        <x:v>-56.473669</x:v>
      </x:c>
      <x:c r="O287" s="41" t="n">
        <x:v>506.057416</x:v>
      </x:c>
      <x:c r="P287" s="41" t="n">
        <x:f>IFERROR(M287/ABS(N287),"")</x:f>
        <x:v>0.12045392340278087</x:v>
      </x:c>
      <x:c r="Q287" s="41" t="str">
        <x:f>IF(L287&gt;=MAX(H287,P287),"Weekly",IF(H287&gt;=MAX(L287,P287),"No weekly","SPY"))</x:f>
        <x:v>Weekly</x:v>
      </x:c>
      <x:c r="R287" s="41" t="n">
        <x:f>IFERROR(L287-P287,"")</x:f>
        <x:v>0.3162700908098657</x:v>
      </x:c>
      <x:c r="S287" s="41" t="n">
        <x:f>IFERROR(H287-P287,"")</x:f>
        <x:v>0.25317998351764226</x:v>
      </x:c>
      <x:c r="T287" s="41" t="n">
        <x:f>IFERROR(I287-M287,"")</x:f>
        <x:v>6.045452</x:v>
      </x:c>
      <x:c r="U287" s="41" t="n">
        <x:f>IFERROR(E287-M287,"")</x:f>
        <x:v>5.930502999999999</x:v>
      </x:c>
      <x:c r="V287" s="41" t="str">
        <x:f>IF(AND(I287&gt;M287,J287&gt;N287),"Sí","No")</x:f>
        <x:v>Sí</x:v>
      </x:c>
      <x:c r="W287" s="41" t="str">
        <x:f>IF(AND(E287&gt;M287,F287&gt;N287),"Sí","No")</x:f>
        <x:v>Sí</x:v>
      </x:c>
      <x:c r="X287" s="41" t="str">
        <x:f>IF(L287&gt;=H287,"Weekly","No weekly")</x:f>
        <x:v>Weekly</x:v>
      </x:c>
      <x:c r="Y287" s="41" t="n">
        <x:f>IFERROR(I287-E287,"")</x:f>
        <x:v>0.11494900000000108</x:v>
      </x:c>
      <x:c r="Z287" s="41" t="n">
        <x:f>IFERROR(J287-F287,"")</x:f>
        <x:v>4.659884000000005</x:v>
      </x:c>
      <x:c r="AA287" s="41" t="n">
        <x:v>11908</x:v>
      </x:c>
      <x:c r="AB287" s="41" t="n">
        <x:v>5908</x:v>
      </x:c>
    </x:row>
    <x:row r="288">
      <x:c r="A288" s="41" t="str">
        <x:v>HYP_REFINE_AUTO002_TOPN_6_V1_DDGRID_EXT_R12_C25_E66_CR40_REDD_RECOVERED_DD6_SL20</x:v>
      </x:c>
      <x:c r="B288" s="41" t="str">
        <x:v>dd_guard_grid</x:v>
      </x:c>
      <x:c r="C288" s="41" t="str">
        <x:v>1999-01-04</x:v>
      </x:c>
      <x:c r="D288" s="41" t="str">
        <x:v>2026-05-22</x:v>
      </x:c>
      <x:c r="E288" s="41" t="n">
        <x:v>13.70959</x:v>
      </x:c>
      <x:c r="F288" s="41" t="n">
        <x:v>-34.383645</x:v>
      </x:c>
      <x:c r="G288" s="41" t="n">
        <x:v>3270.087114</x:v>
      </x:c>
      <x:c r="H288" s="41" t="n">
        <x:f>IFERROR(E288/ABS(F288),"")</x:f>
        <x:v>0.3987241608619447</x:v>
      </x:c>
      <x:c r="I288" s="41" t="n">
        <x:v>13.964</x:v>
      </x:c>
      <x:c r="J288" s="41" t="n">
        <x:v>-29.221842</x:v>
      </x:c>
      <x:c r="K288" s="41" t="n">
        <x:v>3482.733446</x:v>
      </x:c>
      <x:c r="L288" s="41" t="n">
        <x:f>IFERROR(I288/ABS(J288),"")</x:f>
        <x:v>0.47786173096138157</x:v>
      </x:c>
      <x:c r="M288" s="41" t="n">
        <x:v>6.802475</x:v>
      </x:c>
      <x:c r="N288" s="41" t="n">
        <x:v>-56.473669</x:v>
      </x:c>
      <x:c r="O288" s="41" t="n">
        <x:v>506.057416</x:v>
      </x:c>
      <x:c r="P288" s="41" t="n">
        <x:f>IFERROR(M288/ABS(N288),"")</x:f>
        <x:v>0.12045392340278087</x:v>
      </x:c>
      <x:c r="Q288" s="41" t="str">
        <x:f>IF(L288&gt;=MAX(H288,P288),"Weekly",IF(H288&gt;=MAX(L288,P288),"No weekly","SPY"))</x:f>
        <x:v>Weekly</x:v>
      </x:c>
      <x:c r="R288" s="41" t="n">
        <x:f>IFERROR(L288-P288,"")</x:f>
        <x:v>0.3574078075586007</x:v>
      </x:c>
      <x:c r="S288" s="41" t="n">
        <x:f>IFERROR(H288-P288,"")</x:f>
        <x:v>0.2782702374591638</x:v>
      </x:c>
      <x:c r="T288" s="41" t="n">
        <x:f>IFERROR(I288-M288,"")</x:f>
        <x:v>7.161525</x:v>
      </x:c>
      <x:c r="U288" s="41" t="n">
        <x:f>IFERROR(E288-M288,"")</x:f>
        <x:v>6.907115</x:v>
      </x:c>
      <x:c r="V288" s="41" t="str">
        <x:f>IF(AND(I288&gt;M288,J288&gt;N288),"Sí","No")</x:f>
        <x:v>Sí</x:v>
      </x:c>
      <x:c r="W288" s="41" t="str">
        <x:f>IF(AND(E288&gt;M288,F288&gt;N288),"Sí","No")</x:f>
        <x:v>Sí</x:v>
      </x:c>
      <x:c r="X288" s="41" t="str">
        <x:f>IF(L288&gt;=H288,"Weekly","No weekly")</x:f>
        <x:v>Weekly</x:v>
      </x:c>
      <x:c r="Y288" s="41" t="n">
        <x:f>IFERROR(I288-E288,"")</x:f>
        <x:v>0.25441</x:v>
      </x:c>
      <x:c r="Z288" s="41" t="n">
        <x:f>IFERROR(J288-F288,"")</x:f>
        <x:v>5.161803000000003</x:v>
      </x:c>
      <x:c r="AA288" s="41" t="n">
        <x:v>11849</x:v>
      </x:c>
      <x:c r="AB288" s="41" t="n">
        <x:v>5683</x:v>
      </x:c>
    </x:row>
    <x:row r="289">
      <x:c r="A289" s="41" t="str">
        <x:v>HYP_REFINE_AUTO002_TOPN_6_V1_DDGRID_EXT_R12_C25_E66_CR40_REDD_RECOVERED_DD6_SL22</x:v>
      </x:c>
      <x:c r="B289" s="41" t="str">
        <x:v>dd_guard_grid</x:v>
      </x:c>
      <x:c r="C289" s="41" t="str">
        <x:v>1999-01-04</x:v>
      </x:c>
      <x:c r="D289" s="41" t="str">
        <x:v>2026-05-22</x:v>
      </x:c>
      <x:c r="E289" s="41" t="n">
        <x:v>12.519739</x:v>
      </x:c>
      <x:c r="F289" s="41" t="n">
        <x:v>-34.583773</x:v>
      </x:c>
      <x:c r="G289" s="41" t="n">
        <x:v>2426.770424</x:v>
      </x:c>
      <x:c r="H289" s="41" t="n">
        <x:f>IFERROR(E289/ABS(F289),"")</x:f>
        <x:v>0.3620119470481141</x:v>
      </x:c>
      <x:c r="I289" s="41" t="n">
        <x:v>13.831783</x:v>
      </x:c>
      <x:c r="J289" s="41" t="n">
        <x:v>-29.396893</x:v>
      </x:c>
      <x:c r="K289" s="41" t="n">
        <x:v>3370.657097</x:v>
      </x:c>
      <x:c r="L289" s="41" t="n">
        <x:f>IFERROR(I289/ABS(J289),"")</x:f>
        <x:v>0.47051853405052024</x:v>
      </x:c>
      <x:c r="M289" s="41" t="n">
        <x:v>6.802475</x:v>
      </x:c>
      <x:c r="N289" s="41" t="n">
        <x:v>-56.473669</x:v>
      </x:c>
      <x:c r="O289" s="41" t="n">
        <x:v>506.057416</x:v>
      </x:c>
      <x:c r="P289" s="41" t="n">
        <x:f>IFERROR(M289/ABS(N289),"")</x:f>
        <x:v>0.12045392340278087</x:v>
      </x:c>
      <x:c r="Q289" s="41" t="str">
        <x:f>IF(L289&gt;=MAX(H289,P289),"Weekly",IF(H289&gt;=MAX(L289,P289),"No weekly","SPY"))</x:f>
        <x:v>Weekly</x:v>
      </x:c>
      <x:c r="R289" s="41" t="n">
        <x:f>IFERROR(L289-P289,"")</x:f>
        <x:v>0.35006461064773936</x:v>
      </x:c>
      <x:c r="S289" s="41" t="n">
        <x:f>IFERROR(H289-P289,"")</x:f>
        <x:v>0.24155802364533324</x:v>
      </x:c>
      <x:c r="T289" s="41" t="n">
        <x:f>IFERROR(I289-M289,"")</x:f>
        <x:v>7.0293079999999994</x:v>
      </x:c>
      <x:c r="U289" s="41" t="n">
        <x:f>IFERROR(E289-M289,"")</x:f>
        <x:v>5.717263999999999</x:v>
      </x:c>
      <x:c r="V289" s="41" t="str">
        <x:f>IF(AND(I289&gt;M289,J289&gt;N289),"Sí","No")</x:f>
        <x:v>Sí</x:v>
      </x:c>
      <x:c r="W289" s="41" t="str">
        <x:f>IF(AND(E289&gt;M289,F289&gt;N289),"Sí","No")</x:f>
        <x:v>Sí</x:v>
      </x:c>
      <x:c r="X289" s="41" t="str">
        <x:f>IF(L289&gt;=H289,"Weekly","No weekly")</x:f>
        <x:v>Weekly</x:v>
      </x:c>
      <x:c r="Y289" s="41" t="n">
        <x:f>IFERROR(I289-E289,"")</x:f>
        <x:v>1.3120440000000002</x:v>
      </x:c>
      <x:c r="Z289" s="41" t="n">
        <x:f>IFERROR(J289-F289,"")</x:f>
        <x:v>5.186880000000002</x:v>
      </x:c>
      <x:c r="AA289" s="41" t="n">
        <x:v>12022</x:v>
      </x:c>
      <x:c r="AB289" s="41" t="n">
        <x:v>6121</x:v>
      </x:c>
    </x:row>
    <x:row r="290">
      <x:c r="A290" s="41" t="str">
        <x:v>HYP_REFINE_AUTO002_TOPN_6_V1_DDGRID_EXT_R12_C25_E66_CR40_REDD_RECOVERED_DD8_SL18</x:v>
      </x:c>
      <x:c r="B290" s="41" t="str">
        <x:v>dd_guard_grid</x:v>
      </x:c>
      <x:c r="C290" s="41" t="str">
        <x:v>1999-01-04</x:v>
      </x:c>
      <x:c r="D290" s="41" t="str">
        <x:v>2026-05-22</x:v>
      </x:c>
      <x:c r="E290" s="41" t="n">
        <x:v>12.806313</x:v>
      </x:c>
      <x:c r="F290" s="41" t="n">
        <x:v>-34.078754</x:v>
      </x:c>
      <x:c r="G290" s="41" t="n">
        <x:v>2609.009779</x:v>
      </x:c>
      <x:c r="H290" s="41" t="n">
        <x:f>IFERROR(E290/ABS(F290),"")</x:f>
        <x:v>0.375785834188656</x:v>
      </x:c>
      <x:c r="I290" s="41" t="n">
        <x:v>13.402394</x:v>
      </x:c>
      <x:c r="J290" s="41" t="n">
        <x:v>-29.41887</x:v>
      </x:c>
      <x:c r="K290" s="41" t="n">
        <x:v>3029.499807</x:v>
      </x:c>
      <x:c r="L290" s="41" t="n">
        <x:f>IFERROR(I290/ABS(J290),"")</x:f>
        <x:v>0.455571339075906</x:v>
      </x:c>
      <x:c r="M290" s="41" t="n">
        <x:v>6.802475</x:v>
      </x:c>
      <x:c r="N290" s="41" t="n">
        <x:v>-56.473669</x:v>
      </x:c>
      <x:c r="O290" s="41" t="n">
        <x:v>506.057416</x:v>
      </x:c>
      <x:c r="P290" s="41" t="n">
        <x:f>IFERROR(M290/ABS(N290),"")</x:f>
        <x:v>0.12045392340278087</x:v>
      </x:c>
      <x:c r="Q290" s="41" t="str">
        <x:f>IF(L290&gt;=MAX(H290,P290),"Weekly",IF(H290&gt;=MAX(L290,P290),"No weekly","SPY"))</x:f>
        <x:v>Weekly</x:v>
      </x:c>
      <x:c r="R290" s="41" t="n">
        <x:f>IFERROR(L290-P290,"")</x:f>
        <x:v>0.33511741567312514</x:v>
      </x:c>
      <x:c r="S290" s="41" t="n">
        <x:f>IFERROR(H290-P290,"")</x:f>
        <x:v>0.25533191078587514</x:v>
      </x:c>
      <x:c r="T290" s="41" t="n">
        <x:f>IFERROR(I290-M290,"")</x:f>
        <x:v>6.599918999999999</x:v>
      </x:c>
      <x:c r="U290" s="41" t="n">
        <x:f>IFERROR(E290-M290,"")</x:f>
        <x:v>6.003837999999999</x:v>
      </x:c>
      <x:c r="V290" s="41" t="str">
        <x:f>IF(AND(I290&gt;M290,J290&gt;N290),"Sí","No")</x:f>
        <x:v>Sí</x:v>
      </x:c>
      <x:c r="W290" s="41" t="str">
        <x:f>IF(AND(E290&gt;M290,F290&gt;N290),"Sí","No")</x:f>
        <x:v>Sí</x:v>
      </x:c>
      <x:c r="X290" s="41" t="str">
        <x:f>IF(L290&gt;=H290,"Weekly","No weekly")</x:f>
        <x:v>Weekly</x:v>
      </x:c>
      <x:c r="Y290" s="41" t="n">
        <x:f>IFERROR(I290-E290,"")</x:f>
        <x:v>0.5960809999999999</x:v>
      </x:c>
      <x:c r="Z290" s="41" t="n">
        <x:f>IFERROR(J290-F290,"")</x:f>
        <x:v>4.659884000000005</x:v>
      </x:c>
      <x:c r="AA290" s="41" t="n">
        <x:v>11705</x:v>
      </x:c>
      <x:c r="AB290" s="41" t="n">
        <x:v>5523</x:v>
      </x:c>
    </x:row>
    <x:row r="291">
      <x:c r="A291" s="41" t="str">
        <x:v>HYP_REFINE_AUTO002_TOPN_6_V1_DDGRID_EXT_R12_C25_E66_CR40_REDD_RECOVERED_DD8_SL22</x:v>
      </x:c>
      <x:c r="B291" s="41" t="str">
        <x:v>dd_guard_grid</x:v>
      </x:c>
      <x:c r="C291" s="41" t="str">
        <x:v>1999-01-04</x:v>
      </x:c>
      <x:c r="D291" s="41" t="str">
        <x:v>2026-05-22</x:v>
      </x:c>
      <x:c r="E291" s="41" t="n">
        <x:v>13.29272</x:v>
      </x:c>
      <x:c r="F291" s="41" t="n">
        <x:v>-34.583773</x:v>
      </x:c>
      <x:c r="G291" s="41" t="n">
        <x:v>2947.684161</x:v>
      </x:c>
      <x:c r="H291" s="41" t="n">
        <x:f>IFERROR(E291/ABS(F291),"")</x:f>
        <x:v>0.384362920725856</x:v>
      </x:c>
      <x:c r="I291" s="41" t="n">
        <x:v>13.491922</x:v>
      </x:c>
      <x:c r="J291" s="41" t="n">
        <x:v>-29.396893</x:v>
      </x:c>
      <x:c r="K291" s="41" t="n">
        <x:v>3097.851897</x:v>
      </x:c>
      <x:c r="L291" s="41" t="n">
        <x:f>IFERROR(I291/ABS(J291),"")</x:f>
        <x:v>0.45895741430905646</x:v>
      </x:c>
      <x:c r="M291" s="41" t="n">
        <x:v>6.802475</x:v>
      </x:c>
      <x:c r="N291" s="41" t="n">
        <x:v>-56.473669</x:v>
      </x:c>
      <x:c r="O291" s="41" t="n">
        <x:v>506.057416</x:v>
      </x:c>
      <x:c r="P291" s="41" t="n">
        <x:f>IFERROR(M291/ABS(N291),"")</x:f>
        <x:v>0.12045392340278087</x:v>
      </x:c>
      <x:c r="Q291" s="41" t="str">
        <x:f>IF(L291&gt;=MAX(H291,P291),"Weekly",IF(H291&gt;=MAX(L291,P291),"No weekly","SPY"))</x:f>
        <x:v>Weekly</x:v>
      </x:c>
      <x:c r="R291" s="41" t="n">
        <x:f>IFERROR(L291-P291,"")</x:f>
        <x:v>0.3385034909062756</x:v>
      </x:c>
      <x:c r="S291" s="41" t="n">
        <x:f>IFERROR(H291-P291,"")</x:f>
        <x:v>0.2639089973230751</x:v>
      </x:c>
      <x:c r="T291" s="41" t="n">
        <x:f>IFERROR(I291-M291,"")</x:f>
        <x:v>6.689447</x:v>
      </x:c>
      <x:c r="U291" s="41" t="n">
        <x:f>IFERROR(E291-M291,"")</x:f>
        <x:v>6.490244999999999</x:v>
      </x:c>
      <x:c r="V291" s="41" t="str">
        <x:f>IF(AND(I291&gt;M291,J291&gt;N291),"Sí","No")</x:f>
        <x:v>Sí</x:v>
      </x:c>
      <x:c r="W291" s="41" t="str">
        <x:f>IF(AND(E291&gt;M291,F291&gt;N291),"Sí","No")</x:f>
        <x:v>Sí</x:v>
      </x:c>
      <x:c r="X291" s="41" t="str">
        <x:f>IF(L291&gt;=H291,"Weekly","No weekly")</x:f>
        <x:v>Weekly</x:v>
      </x:c>
      <x:c r="Y291" s="41" t="n">
        <x:f>IFERROR(I291-E291,"")</x:f>
        <x:v>0.19920200000000143</x:v>
      </x:c>
      <x:c r="Z291" s="41" t="n">
        <x:f>IFERROR(J291-F291,"")</x:f>
        <x:v>5.186880000000002</x:v>
      </x:c>
      <x:c r="AA291" s="41" t="n">
        <x:v>11851</x:v>
      </x:c>
      <x:c r="AB291" s="41" t="n">
        <x:v>5394</x:v>
      </x:c>
    </x:row>
    <x:row r="292">
      <x:c r="A292" s="41" t="str">
        <x:v>HYP_REFINE_AUTO002_TOPN_6_V1_DDGRID_EXT_R12_C25_E66_CR40_REDD_RECOVERED_DD8_SL25</x:v>
      </x:c>
      <x:c r="B292" s="41" t="str">
        <x:v>dd_guard_grid</x:v>
      </x:c>
      <x:c r="C292" s="41" t="str">
        <x:v>1999-01-04</x:v>
      </x:c>
      <x:c r="D292" s="41" t="str">
        <x:v>2026-05-22</x:v>
      </x:c>
      <x:c r="E292" s="41" t="n">
        <x:v>11.742971</x:v>
      </x:c>
      <x:c r="F292" s="41" t="n">
        <x:v>-35.251137</x:v>
      </x:c>
      <x:c r="G292" s="41" t="n">
        <x:v>1990.246444</x:v>
      </x:c>
      <x:c r="H292" s="41" t="n">
        <x:f>IFERROR(E292/ABS(F292),"")</x:f>
        <x:v>0.3331231840833957</x:v>
      </x:c>
      <x:c r="I292" s="41" t="n">
        <x:v>14.744732</x:v>
      </x:c>
      <x:c r="J292" s="41" t="n">
        <x:v>-29.488641</x:v>
      </x:c>
      <x:c r="K292" s="41" t="n">
        <x:v>4219.104938</x:v>
      </x:c>
      <x:c r="L292" s="41" t="n">
        <x:f>IFERROR(I292/ABS(J292),"")</x:f>
        <x:v>0.5000139545257444</x:v>
      </x:c>
      <x:c r="M292" s="41" t="n">
        <x:v>6.802475</x:v>
      </x:c>
      <x:c r="N292" s="41" t="n">
        <x:v>-56.473669</x:v>
      </x:c>
      <x:c r="O292" s="41" t="n">
        <x:v>506.057416</x:v>
      </x:c>
      <x:c r="P292" s="41" t="n">
        <x:f>IFERROR(M292/ABS(N292),"")</x:f>
        <x:v>0.12045392340278087</x:v>
      </x:c>
      <x:c r="Q292" s="41" t="str">
        <x:f>IF(L292&gt;=MAX(H292,P292),"Weekly",IF(H292&gt;=MAX(L292,P292),"No weekly","SPY"))</x:f>
        <x:v>Weekly</x:v>
      </x:c>
      <x:c r="R292" s="41" t="n">
        <x:f>IFERROR(L292-P292,"")</x:f>
        <x:v>0.3795600311229635</x:v>
      </x:c>
      <x:c r="S292" s="41" t="n">
        <x:f>IFERROR(H292-P292,"")</x:f>
        <x:v>0.2126692606806148</x:v>
      </x:c>
      <x:c r="T292" s="41" t="n">
        <x:f>IFERROR(I292-M292,"")</x:f>
        <x:v>7.942257000000001</x:v>
      </x:c>
      <x:c r="U292" s="41" t="n">
        <x:f>IFERROR(E292-M292,"")</x:f>
        <x:v>4.940496</x:v>
      </x:c>
      <x:c r="V292" s="41" t="str">
        <x:f>IF(AND(I292&gt;M292,J292&gt;N292),"Sí","No")</x:f>
        <x:v>Sí</x:v>
      </x:c>
      <x:c r="W292" s="41" t="str">
        <x:f>IF(AND(E292&gt;M292,F292&gt;N292),"Sí","No")</x:f>
        <x:v>Sí</x:v>
      </x:c>
      <x:c r="X292" s="41" t="str">
        <x:f>IF(L292&gt;=H292,"Weekly","No weekly")</x:f>
        <x:v>Weekly</x:v>
      </x:c>
      <x:c r="Y292" s="41" t="n">
        <x:f>IFERROR(I292-E292,"")</x:f>
        <x:v>3.001761</x:v>
      </x:c>
      <x:c r="Z292" s="41" t="n">
        <x:f>IFERROR(J292-F292,"")</x:f>
        <x:v>5.762495999999999</x:v>
      </x:c>
      <x:c r="AA292" s="41" t="n">
        <x:v>11749</x:v>
      </x:c>
      <x:c r="AB292" s="41" t="n">
        <x:v>6038</x:v>
      </x:c>
    </x:row>
    <x:row r="293">
      <x:c r="A293" s="41" t="str">
        <x:v>HYP_REFINE_AUTO002_TOPN_6_V1_DDGRID_EXT_R12_C25_E66_CR40_REDD_RECOVERED_DD8_SLNONE</x:v>
      </x:c>
      <x:c r="B293" s="41" t="str">
        <x:v>dd_guard_grid</x:v>
      </x:c>
      <x:c r="C293" s="41" t="str">
        <x:v>1999-01-04</x:v>
      </x:c>
      <x:c r="D293" s="41" t="str">
        <x:v>2026-05-22</x:v>
      </x:c>
      <x:c r="E293" s="41" t="n">
        <x:v>11.988804</x:v>
      </x:c>
      <x:c r="F293" s="41" t="n">
        <x:v>-35.213095</x:v>
      </x:c>
      <x:c r="G293" s="41" t="n">
        <x:v>2119.869237</x:v>
      </x:c>
      <x:c r="H293" s="41" t="n">
        <x:f>IFERROR(E293/ABS(F293),"")</x:f>
        <x:v>0.34046436418042775</x:v>
      </x:c>
      <x:c r="I293" s="41" t="n">
        <x:v>14.776605</x:v>
      </x:c>
      <x:c r="J293" s="41" t="n">
        <x:v>-28.919506</x:v>
      </x:c>
      <x:c r="K293" s="41" t="n">
        <x:v>4252.07242</x:v>
      </x:c>
      <x:c r="L293" s="41" t="n">
        <x:f>IFERROR(I293/ABS(J293),"")</x:f>
        <x:v>0.5109563420619979</x:v>
      </x:c>
      <x:c r="M293" s="41" t="n">
        <x:v>6.802475</x:v>
      </x:c>
      <x:c r="N293" s="41" t="n">
        <x:v>-56.473669</x:v>
      </x:c>
      <x:c r="O293" s="41" t="n">
        <x:v>506.057416</x:v>
      </x:c>
      <x:c r="P293" s="41" t="n">
        <x:f>IFERROR(M293/ABS(N293),"")</x:f>
        <x:v>0.12045392340278087</x:v>
      </x:c>
      <x:c r="Q293" s="41" t="str">
        <x:f>IF(L293&gt;=MAX(H293,P293),"Weekly",IF(H293&gt;=MAX(L293,P293),"No weekly","SPY"))</x:f>
        <x:v>Weekly</x:v>
      </x:c>
      <x:c r="R293" s="41" t="n">
        <x:f>IFERROR(L293-P293,"")</x:f>
        <x:v>0.39050241865921703</x:v>
      </x:c>
      <x:c r="S293" s="41" t="n">
        <x:f>IFERROR(H293-P293,"")</x:f>
        <x:v>0.22001044077764687</x:v>
      </x:c>
      <x:c r="T293" s="41" t="n">
        <x:f>IFERROR(I293-M293,"")</x:f>
        <x:v>7.97413</x:v>
      </x:c>
      <x:c r="U293" s="41" t="n">
        <x:f>IFERROR(E293-M293,"")</x:f>
        <x:v>5.186329</x:v>
      </x:c>
      <x:c r="V293" s="41" t="str">
        <x:f>IF(AND(I293&gt;M293,J293&gt;N293),"Sí","No")</x:f>
        <x:v>Sí</x:v>
      </x:c>
      <x:c r="W293" s="41" t="str">
        <x:f>IF(AND(E293&gt;M293,F293&gt;N293),"Sí","No")</x:f>
        <x:v>Sí</x:v>
      </x:c>
      <x:c r="X293" s="41" t="str">
        <x:f>IF(L293&gt;=H293,"Weekly","No weekly")</x:f>
        <x:v>Weekly</x:v>
      </x:c>
      <x:c r="Y293" s="41" t="n">
        <x:f>IFERROR(I293-E293,"")</x:f>
        <x:v>2.787801</x:v>
      </x:c>
      <x:c r="Z293" s="41" t="n">
        <x:f>IFERROR(J293-F293,"")</x:f>
        <x:v>6.293589000000004</x:v>
      </x:c>
      <x:c r="AA293" s="41" t="n">
        <x:v>11844</x:v>
      </x:c>
      <x:c r="AB293" s="41" t="n">
        <x:v>6212</x:v>
      </x:c>
    </x:row>
    <x:row r="294">
      <x:c r="A294" s="41" t="str">
        <x:v>HYP_REFINE_AUTO002_TOPN_6_V1_DDGRID_EXT_R12_C25_E66_CR50_REDD_RECOVERED_DD10_SL18</x:v>
      </x:c>
      <x:c r="B294" s="41" t="str">
        <x:v>dd_guard_grid</x:v>
      </x:c>
      <x:c r="C294" s="41" t="str">
        <x:v>1999-01-04</x:v>
      </x:c>
      <x:c r="D294" s="41" t="str">
        <x:v>2026-05-22</x:v>
      </x:c>
      <x:c r="E294" s="41" t="n">
        <x:v>12.261599</x:v>
      </x:c>
      <x:c r="F294" s="41" t="n">
        <x:v>-33.92933</x:v>
      </x:c>
      <x:c r="G294" s="41" t="n">
        <x:v>2272.771596</x:v>
      </x:c>
      <x:c r="H294" s="41" t="n">
        <x:f>IFERROR(E294/ABS(F294),"")</x:f>
        <x:v>0.3613864170026346</x:v>
      </x:c>
      <x:c r="I294" s="41" t="n">
        <x:v>13.974263</x:v>
      </x:c>
      <x:c r="J294" s="41" t="n">
        <x:v>-30.160754</x:v>
      </x:c>
      <x:c r="K294" s="41" t="n">
        <x:v>3491.577302</x:v>
      </x:c>
      <x:c r="L294" s="41" t="n">
        <x:f>IFERROR(I294/ABS(J294),"")</x:f>
        <x:v>0.4633260494747578</x:v>
      </x:c>
      <x:c r="M294" s="41" t="n">
        <x:v>6.802475</x:v>
      </x:c>
      <x:c r="N294" s="41" t="n">
        <x:v>-56.473669</x:v>
      </x:c>
      <x:c r="O294" s="41" t="n">
        <x:v>506.057416</x:v>
      </x:c>
      <x:c r="P294" s="41" t="n">
        <x:f>IFERROR(M294/ABS(N294),"")</x:f>
        <x:v>0.12045392340278087</x:v>
      </x:c>
      <x:c r="Q294" s="41" t="str">
        <x:f>IF(L294&gt;=MAX(H294,P294),"Weekly",IF(H294&gt;=MAX(L294,P294),"No weekly","SPY"))</x:f>
        <x:v>Weekly</x:v>
      </x:c>
      <x:c r="R294" s="41" t="n">
        <x:f>IFERROR(L294-P294,"")</x:f>
        <x:v>0.3428721260719769</x:v>
      </x:c>
      <x:c r="S294" s="41" t="n">
        <x:f>IFERROR(H294-P294,"")</x:f>
        <x:v>0.2409324935998537</x:v>
      </x:c>
      <x:c r="T294" s="41" t="n">
        <x:f>IFERROR(I294-M294,"")</x:f>
        <x:v>7.171788</x:v>
      </x:c>
      <x:c r="U294" s="41" t="n">
        <x:f>IFERROR(E294-M294,"")</x:f>
        <x:v>5.459124</x:v>
      </x:c>
      <x:c r="V294" s="41" t="str">
        <x:f>IF(AND(I294&gt;M294,J294&gt;N294),"Sí","No")</x:f>
        <x:v>Sí</x:v>
      </x:c>
      <x:c r="W294" s="41" t="str">
        <x:f>IF(AND(E294&gt;M294,F294&gt;N294),"Sí","No")</x:f>
        <x:v>Sí</x:v>
      </x:c>
      <x:c r="X294" s="41" t="str">
        <x:f>IF(L294&gt;=H294,"Weekly","No weekly")</x:f>
        <x:v>Weekly</x:v>
      </x:c>
      <x:c r="Y294" s="41" t="n">
        <x:f>IFERROR(I294-E294,"")</x:f>
        <x:v>1.7126640000000002</x:v>
      </x:c>
      <x:c r="Z294" s="41" t="n">
        <x:f>IFERROR(J294-F294,"")</x:f>
        <x:v>3.7685759999999995</x:v>
      </x:c>
      <x:c r="AA294" s="41" t="n">
        <x:v>10999</x:v>
      </x:c>
      <x:c r="AB294" s="41" t="n">
        <x:v>5175</x:v>
      </x:c>
    </x:row>
    <x:row r="295">
      <x:c r="A295" s="41" t="str">
        <x:v>HYP_REFINE_AUTO002_TOPN_6_V1_DDGRID_EXT_R12_C25_E66_CR50_REDD_RECOVERED_DD10_SL20</x:v>
      </x:c>
      <x:c r="B295" s="41" t="str">
        <x:v>dd_guard_grid</x:v>
      </x:c>
      <x:c r="C295" s="41" t="str">
        <x:v>1999-01-04</x:v>
      </x:c>
      <x:c r="D295" s="41" t="str">
        <x:v>2026-05-22</x:v>
      </x:c>
      <x:c r="E295" s="41" t="n">
        <x:v>13.602103</x:v>
      </x:c>
      <x:c r="F295" s="41" t="n">
        <x:v>-34.489867</x:v>
      </x:c>
      <x:c r="G295" s="41" t="n">
        <x:v>3183.947781</x:v>
      </x:c>
      <x:c r="H295" s="41" t="n">
        <x:f>IFERROR(E295/ABS(F295),"")</x:f>
        <x:v>0.39437968838789667</x:v>
      </x:c>
      <x:c r="I295" s="41" t="n">
        <x:v>14.389366</x:v>
      </x:c>
      <x:c r="J295" s="41" t="n">
        <x:v>-29.927234</x:v>
      </x:c>
      <x:c r="K295" s="41" t="n">
        <x:v>3867.455551</x:v>
      </x:c>
      <x:c r="L295" s="41" t="n">
        <x:f>IFERROR(I295/ABS(J295),"")</x:f>
        <x:v>0.48081175828010037</x:v>
      </x:c>
      <x:c r="M295" s="41" t="n">
        <x:v>6.802475</x:v>
      </x:c>
      <x:c r="N295" s="41" t="n">
        <x:v>-56.473669</x:v>
      </x:c>
      <x:c r="O295" s="41" t="n">
        <x:v>506.057416</x:v>
      </x:c>
      <x:c r="P295" s="41" t="n">
        <x:f>IFERROR(M295/ABS(N295),"")</x:f>
        <x:v>0.12045392340278087</x:v>
      </x:c>
      <x:c r="Q295" s="41" t="str">
        <x:f>IF(L295&gt;=MAX(H295,P295),"Weekly",IF(H295&gt;=MAX(L295,P295),"No weekly","SPY"))</x:f>
        <x:v>Weekly</x:v>
      </x:c>
      <x:c r="R295" s="41" t="n">
        <x:f>IFERROR(L295-P295,"")</x:f>
        <x:v>0.3603578348773195</x:v>
      </x:c>
      <x:c r="S295" s="41" t="n">
        <x:f>IFERROR(H295-P295,"")</x:f>
        <x:v>0.2739257649851158</x:v>
      </x:c>
      <x:c r="T295" s="41" t="n">
        <x:f>IFERROR(I295-M295,"")</x:f>
        <x:v>7.5868910000000005</x:v>
      </x:c>
      <x:c r="U295" s="41" t="n">
        <x:f>IFERROR(E295-M295,"")</x:f>
        <x:v>6.799627999999999</x:v>
      </x:c>
      <x:c r="V295" s="41" t="str">
        <x:f>IF(AND(I295&gt;M295,J295&gt;N295),"Sí","No")</x:f>
        <x:v>Sí</x:v>
      </x:c>
      <x:c r="W295" s="41" t="str">
        <x:f>IF(AND(E295&gt;M295,F295&gt;N295),"Sí","No")</x:f>
        <x:v>Sí</x:v>
      </x:c>
      <x:c r="X295" s="41" t="str">
        <x:f>IF(L295&gt;=H295,"Weekly","No weekly")</x:f>
        <x:v>Weekly</x:v>
      </x:c>
      <x:c r="Y295" s="41" t="n">
        <x:f>IFERROR(I295-E295,"")</x:f>
        <x:v>0.7872630000000012</x:v>
      </x:c>
      <x:c r="Z295" s="41" t="n">
        <x:f>IFERROR(J295-F295,"")</x:f>
        <x:v>4.562632999999998</x:v>
      </x:c>
      <x:c r="AA295" s="41" t="n">
        <x:v>10919</x:v>
      </x:c>
      <x:c r="AB295" s="41" t="n">
        <x:v>5003</x:v>
      </x:c>
    </x:row>
    <x:row r="296">
      <x:c r="A296" s="41" t="str">
        <x:v>HYP_REFINE_AUTO002_TOPN_6_V1_DDGRID_EXT_R12_C25_E66_CR50_REDD_RECOVERED_DD10_SL22</x:v>
      </x:c>
      <x:c r="B296" s="41" t="str">
        <x:v>dd_guard_grid</x:v>
      </x:c>
      <x:c r="C296" s="41" t="str">
        <x:v>1999-01-04</x:v>
      </x:c>
      <x:c r="D296" s="41" t="str">
        <x:v>2026-05-22</x:v>
      </x:c>
      <x:c r="E296" s="41" t="n">
        <x:v>12.978495</x:v>
      </x:c>
      <x:c r="F296" s="41" t="n">
        <x:v>-35.553648</x:v>
      </x:c>
      <x:c r="G296" s="41" t="n">
        <x:v>2724.525666</x:v>
      </x:c>
      <x:c r="H296" s="41" t="n">
        <x:f>IFERROR(E296/ABS(F296),"")</x:f>
        <x:v>0.36503975625792323</x:v>
      </x:c>
      <x:c r="I296" s="41" t="n">
        <x:v>15.189778</x:v>
      </x:c>
      <x:c r="J296" s="41" t="n">
        <x:v>-29.887257</x:v>
      </x:c>
      <x:c r="K296" s="41" t="n">
        <x:v>4701.999168</x:v>
      </x:c>
      <x:c r="L296" s="41" t="n">
        <x:f>IFERROR(I296/ABS(J296),"")</x:f>
        <x:v>0.5082359347999048</x:v>
      </x:c>
      <x:c r="M296" s="41" t="n">
        <x:v>6.802475</x:v>
      </x:c>
      <x:c r="N296" s="41" t="n">
        <x:v>-56.473669</x:v>
      </x:c>
      <x:c r="O296" s="41" t="n">
        <x:v>506.057416</x:v>
      </x:c>
      <x:c r="P296" s="41" t="n">
        <x:f>IFERROR(M296/ABS(N296),"")</x:f>
        <x:v>0.12045392340278087</x:v>
      </x:c>
      <x:c r="Q296" s="41" t="str">
        <x:f>IF(L296&gt;=MAX(H296,P296),"Weekly",IF(H296&gt;=MAX(L296,P296),"No weekly","SPY"))</x:f>
        <x:v>Weekly</x:v>
      </x:c>
      <x:c r="R296" s="41" t="n">
        <x:f>IFERROR(L296-P296,"")</x:f>
        <x:v>0.3877820113971239</x:v>
      </x:c>
      <x:c r="S296" s="41" t="n">
        <x:f>IFERROR(H296-P296,"")</x:f>
        <x:v>0.24458583285514235</x:v>
      </x:c>
      <x:c r="T296" s="41" t="n">
        <x:f>IFERROR(I296-M296,"")</x:f>
        <x:v>8.387303</x:v>
      </x:c>
      <x:c r="U296" s="41" t="n">
        <x:f>IFERROR(E296-M296,"")</x:f>
        <x:v>6.17602</x:v>
      </x:c>
      <x:c r="V296" s="41" t="str">
        <x:f>IF(AND(I296&gt;M296,J296&gt;N296),"Sí","No")</x:f>
        <x:v>Sí</x:v>
      </x:c>
      <x:c r="W296" s="41" t="str">
        <x:f>IF(AND(E296&gt;M296,F296&gt;N296),"Sí","No")</x:f>
        <x:v>Sí</x:v>
      </x:c>
      <x:c r="X296" s="41" t="str">
        <x:f>IF(L296&gt;=H296,"Weekly","No weekly")</x:f>
        <x:v>Weekly</x:v>
      </x:c>
      <x:c r="Y296" s="41" t="n">
        <x:f>IFERROR(I296-E296,"")</x:f>
        <x:v>2.211283</x:v>
      </x:c>
      <x:c r="Z296" s="41" t="n">
        <x:f>IFERROR(J296-F296,"")</x:f>
        <x:v>5.666391000000001</x:v>
      </x:c>
      <x:c r="AA296" s="41" t="n">
        <x:v>11017</x:v>
      </x:c>
      <x:c r="AB296" s="41" t="n">
        <x:v>5077</x:v>
      </x:c>
    </x:row>
    <x:row r="297">
      <x:c r="A297" s="41" t="str">
        <x:v>HYP_REFINE_AUTO002_TOPN_6_V1_DDGRID_EXT_R12_C25_E66_CR50_REDD_RECOVERED_DD10_SL25</x:v>
      </x:c>
      <x:c r="B297" s="41" t="str">
        <x:v>dd_guard_grid</x:v>
      </x:c>
      <x:c r="C297" s="41" t="str">
        <x:v>1999-01-04</x:v>
      </x:c>
      <x:c r="D297" s="41" t="str">
        <x:v>2026-05-22</x:v>
      </x:c>
      <x:c r="E297" s="41" t="n">
        <x:v>12.763078</x:v>
      </x:c>
      <x:c r="F297" s="41" t="n">
        <x:v>-35.560977</x:v>
      </x:c>
      <x:c r="G297" s="41" t="n">
        <x:v>2580.726665</x:v>
      </x:c>
      <x:c r="H297" s="41" t="n">
        <x:f>IFERROR(E297/ABS(F297),"")</x:f>
        <x:v>0.3589068433074828</x:v>
      </x:c>
      <x:c r="I297" s="41" t="n">
        <x:v>15.367172</x:v>
      </x:c>
      <x:c r="J297" s="41" t="n">
        <x:v>-29.398452</x:v>
      </x:c>
      <x:c r="K297" s="41" t="n">
        <x:v>4908.634436</x:v>
      </x:c>
      <x:c r="L297" s="41" t="n">
        <x:f>IFERROR(I297/ABS(J297),"")</x:f>
        <x:v>0.5227204480018199</x:v>
      </x:c>
      <x:c r="M297" s="41" t="n">
        <x:v>6.802475</x:v>
      </x:c>
      <x:c r="N297" s="41" t="n">
        <x:v>-56.473669</x:v>
      </x:c>
      <x:c r="O297" s="41" t="n">
        <x:v>506.057416</x:v>
      </x:c>
      <x:c r="P297" s="41" t="n">
        <x:f>IFERROR(M297/ABS(N297),"")</x:f>
        <x:v>0.12045392340278087</x:v>
      </x:c>
      <x:c r="Q297" s="41" t="str">
        <x:f>IF(L297&gt;=MAX(H297,P297),"Weekly",IF(H297&gt;=MAX(L297,P297),"No weekly","SPY"))</x:f>
        <x:v>Weekly</x:v>
      </x:c>
      <x:c r="R297" s="41" t="n">
        <x:f>IFERROR(L297-P297,"")</x:f>
        <x:v>0.40226652459903905</x:v>
      </x:c>
      <x:c r="S297" s="41" t="n">
        <x:f>IFERROR(H297-P297,"")</x:f>
        <x:v>0.2384529199047019</x:v>
      </x:c>
      <x:c r="T297" s="41" t="n">
        <x:f>IFERROR(I297-M297,"")</x:f>
        <x:v>8.564696999999999</x:v>
      </x:c>
      <x:c r="U297" s="41" t="n">
        <x:f>IFERROR(E297-M297,"")</x:f>
        <x:v>5.960603</x:v>
      </x:c>
      <x:c r="V297" s="41" t="str">
        <x:f>IF(AND(I297&gt;M297,J297&gt;N297),"Sí","No")</x:f>
        <x:v>Sí</x:v>
      </x:c>
      <x:c r="W297" s="41" t="str">
        <x:f>IF(AND(E297&gt;M297,F297&gt;N297),"Sí","No")</x:f>
        <x:v>Sí</x:v>
      </x:c>
      <x:c r="X297" s="41" t="str">
        <x:f>IF(L297&gt;=H297,"Weekly","No weekly")</x:f>
        <x:v>Weekly</x:v>
      </x:c>
      <x:c r="Y297" s="41" t="n">
        <x:f>IFERROR(I297-E297,"")</x:f>
        <x:v>2.604094</x:v>
      </x:c>
      <x:c r="Z297" s="41" t="n">
        <x:f>IFERROR(J297-F297,"")</x:f>
        <x:v>6.162525000000002</x:v>
      </x:c>
      <x:c r="AA297" s="41" t="n">
        <x:v>11058</x:v>
      </x:c>
      <x:c r="AB297" s="41" t="n">
        <x:v>5299</x:v>
      </x:c>
    </x:row>
    <x:row r="298">
      <x:c r="A298" s="41" t="str">
        <x:v>HYP_REFINE_AUTO002_TOPN_6_V1_DDGRID_EXT_R12_C25_E66_CR50_REDD_RECOVERED_DD10_SLNONE</x:v>
      </x:c>
      <x:c r="B298" s="41" t="str">
        <x:v>dd_guard_grid</x:v>
      </x:c>
      <x:c r="C298" s="41" t="str">
        <x:v>1999-01-04</x:v>
      </x:c>
      <x:c r="D298" s="41" t="str">
        <x:v>2026-05-22</x:v>
      </x:c>
      <x:c r="E298" s="41" t="n">
        <x:v>12.97827</x:v>
      </x:c>
      <x:c r="F298" s="41" t="n">
        <x:v>-35.327582</x:v>
      </x:c>
      <x:c r="G298" s="41" t="n">
        <x:v>2724.371367</x:v>
      </x:c>
      <x:c r="H298" s="41" t="n">
        <x:f>IFERROR(E298/ABS(F298),"")</x:f>
        <x:v>0.36736932632411695</x:v>
      </x:c>
      <x:c r="I298" s="41" t="n">
        <x:v>15.3397</x:v>
      </x:c>
      <x:c r="J298" s="41" t="n">
        <x:v>-29.31979</x:v>
      </x:c>
      <x:c r="K298" s="41" t="n">
        <x:v>4876.081627</x:v>
      </x:c>
      <x:c r="L298" s="41" t="n">
        <x:f>IFERROR(I298/ABS(J298),"")</x:f>
        <x:v>0.5231858754786443</x:v>
      </x:c>
      <x:c r="M298" s="41" t="n">
        <x:v>6.802475</x:v>
      </x:c>
      <x:c r="N298" s="41" t="n">
        <x:v>-56.473669</x:v>
      </x:c>
      <x:c r="O298" s="41" t="n">
        <x:v>506.057416</x:v>
      </x:c>
      <x:c r="P298" s="41" t="n">
        <x:f>IFERROR(M298/ABS(N298),"")</x:f>
        <x:v>0.12045392340278087</x:v>
      </x:c>
      <x:c r="Q298" s="41" t="str">
        <x:f>IF(L298&gt;=MAX(H298,P298),"Weekly",IF(H298&gt;=MAX(L298,P298),"No weekly","SPY"))</x:f>
        <x:v>Weekly</x:v>
      </x:c>
      <x:c r="R298" s="41" t="n">
        <x:f>IFERROR(L298-P298,"")</x:f>
        <x:v>0.4027319520758634</x:v>
      </x:c>
      <x:c r="S298" s="41" t="n">
        <x:f>IFERROR(H298-P298,"")</x:f>
        <x:v>0.24691540292133607</x:v>
      </x:c>
      <x:c r="T298" s="41" t="n">
        <x:f>IFERROR(I298-M298,"")</x:f>
        <x:v>8.537225</x:v>
      </x:c>
      <x:c r="U298" s="41" t="n">
        <x:f>IFERROR(E298-M298,"")</x:f>
        <x:v>6.175795</x:v>
      </x:c>
      <x:c r="V298" s="41" t="str">
        <x:f>IF(AND(I298&gt;M298,J298&gt;N298),"Sí","No")</x:f>
        <x:v>Sí</x:v>
      </x:c>
      <x:c r="W298" s="41" t="str">
        <x:f>IF(AND(E298&gt;M298,F298&gt;N298),"Sí","No")</x:f>
        <x:v>Sí</x:v>
      </x:c>
      <x:c r="X298" s="41" t="str">
        <x:f>IF(L298&gt;=H298,"Weekly","No weekly")</x:f>
        <x:v>Weekly</x:v>
      </x:c>
      <x:c r="Y298" s="41" t="n">
        <x:f>IFERROR(I298-E298,"")</x:f>
        <x:v>2.3614300000000004</x:v>
      </x:c>
      <x:c r="Z298" s="41" t="n">
        <x:f>IFERROR(J298-F298,"")</x:f>
        <x:v>6.0077919999999985</x:v>
      </x:c>
      <x:c r="AA298" s="41" t="n">
        <x:v>11198</x:v>
      </x:c>
      <x:c r="AB298" s="41" t="n">
        <x:v>5463</x:v>
      </x:c>
    </x:row>
    <x:row r="299">
      <x:c r="A299" s="41" t="str">
        <x:v>HYP_REFINE_AUTO002_TOPN_6_V1_DDGRID_EXT_R12_C25_E66_CR50_REDD_RECOVERED_DD12_SL18</x:v>
      </x:c>
      <x:c r="B299" s="41" t="str">
        <x:v>dd_guard_grid</x:v>
      </x:c>
      <x:c r="C299" s="41" t="str">
        <x:v>1999-01-04</x:v>
      </x:c>
      <x:c r="D299" s="41" t="str">
        <x:v>2026-05-22</x:v>
      </x:c>
      <x:c r="E299" s="41" t="n">
        <x:v>12.570354</x:v>
      </x:c>
      <x:c r="F299" s="41" t="n">
        <x:v>-33.930648</x:v>
      </x:c>
      <x:c r="G299" s="41" t="n">
        <x:v>2458.074837</x:v>
      </x:c>
      <x:c r="H299" s="41" t="n">
        <x:f>IFERROR(E299/ABS(F299),"")</x:f>
        <x:v>0.3704719697660947</x:v>
      </x:c>
      <x:c r="I299" s="41" t="n">
        <x:v>14.201332</x:v>
      </x:c>
      <x:c r="J299" s="41" t="n">
        <x:v>-30.160754</x:v>
      </x:c>
      <x:c r="K299" s="41" t="n">
        <x:v>3692.718315</x:v>
      </x:c>
      <x:c r="L299" s="41" t="n">
        <x:f>IFERROR(I299/ABS(J299),"")</x:f>
        <x:v>0.47085467425648575</x:v>
      </x:c>
      <x:c r="M299" s="41" t="n">
        <x:v>6.802475</x:v>
      </x:c>
      <x:c r="N299" s="41" t="n">
        <x:v>-56.473669</x:v>
      </x:c>
      <x:c r="O299" s="41" t="n">
        <x:v>506.057416</x:v>
      </x:c>
      <x:c r="P299" s="41" t="n">
        <x:f>IFERROR(M299/ABS(N299),"")</x:f>
        <x:v>0.12045392340278087</x:v>
      </x:c>
      <x:c r="Q299" s="41" t="str">
        <x:f>IF(L299&gt;=MAX(H299,P299),"Weekly",IF(H299&gt;=MAX(L299,P299),"No weekly","SPY"))</x:f>
        <x:v>Weekly</x:v>
      </x:c>
      <x:c r="R299" s="41" t="n">
        <x:f>IFERROR(L299-P299,"")</x:f>
        <x:v>0.35040075085370487</x:v>
      </x:c>
      <x:c r="S299" s="41" t="n">
        <x:f>IFERROR(H299-P299,"")</x:f>
        <x:v>0.2500180463633138</x:v>
      </x:c>
      <x:c r="T299" s="41" t="n">
        <x:f>IFERROR(I299-M299,"")</x:f>
        <x:v>7.3988570000000005</x:v>
      </x:c>
      <x:c r="U299" s="41" t="n">
        <x:f>IFERROR(E299-M299,"")</x:f>
        <x:v>5.767879</x:v>
      </x:c>
      <x:c r="V299" s="41" t="str">
        <x:f>IF(AND(I299&gt;M299,J299&gt;N299),"Sí","No")</x:f>
        <x:v>Sí</x:v>
      </x:c>
      <x:c r="W299" s="41" t="str">
        <x:f>IF(AND(E299&gt;M299,F299&gt;N299),"Sí","No")</x:f>
        <x:v>Sí</x:v>
      </x:c>
      <x:c r="X299" s="41" t="str">
        <x:f>IF(L299&gt;=H299,"Weekly","No weekly")</x:f>
        <x:v>Weekly</x:v>
      </x:c>
      <x:c r="Y299" s="41" t="n">
        <x:f>IFERROR(I299-E299,"")</x:f>
        <x:v>1.6309780000000007</x:v>
      </x:c>
      <x:c r="Z299" s="41" t="n">
        <x:f>IFERROR(J299-F299,"")</x:f>
        <x:v>3.769893999999997</x:v>
      </x:c>
      <x:c r="AA299" s="41" t="n">
        <x:v>10352</x:v>
      </x:c>
      <x:c r="AB299" s="41" t="n">
        <x:v>4619</x:v>
      </x:c>
    </x:row>
    <x:row r="300">
      <x:c r="A300" s="41" t="str">
        <x:v>HYP_REFINE_AUTO002_TOPN_6_V1_DDGRID_EXT_R12_C25_E66_CR50_REDD_RECOVERED_DD12_SL20</x:v>
      </x:c>
      <x:c r="B300" s="41" t="str">
        <x:v>dd_guard_grid</x:v>
      </x:c>
      <x:c r="C300" s="41" t="str">
        <x:v>1999-01-04</x:v>
      </x:c>
      <x:c r="D300" s="41" t="str">
        <x:v>2026-05-22</x:v>
      </x:c>
      <x:c r="E300" s="41" t="n">
        <x:v>13.770252</x:v>
      </x:c>
      <x:c r="F300" s="41" t="n">
        <x:v>-34.490689</x:v>
      </x:c>
      <x:c r="G300" s="41" t="n">
        <x:v>3319.658566</x:v>
      </x:c>
      <x:c r="H300" s="41" t="n">
        <x:f>IFERROR(E300/ABS(F300),"")</x:f>
        <x:v>0.39924548912316593</x:v>
      </x:c>
      <x:c r="I300" s="41" t="n">
        <x:v>14.303071</x:v>
      </x:c>
      <x:c r="J300" s="41" t="n">
        <x:v>-29.927234</x:v>
      </x:c>
      <x:c r="K300" s="41" t="n">
        <x:v>3786.320707</x:v>
      </x:c>
      <x:c r="L300" s="41" t="n">
        <x:f>IFERROR(I300/ABS(J300),"")</x:f>
        <x:v>0.47792826426926055</x:v>
      </x:c>
      <x:c r="M300" s="41" t="n">
        <x:v>6.802475</x:v>
      </x:c>
      <x:c r="N300" s="41" t="n">
        <x:v>-56.473669</x:v>
      </x:c>
      <x:c r="O300" s="41" t="n">
        <x:v>506.057416</x:v>
      </x:c>
      <x:c r="P300" s="41" t="n">
        <x:f>IFERROR(M300/ABS(N300),"")</x:f>
        <x:v>0.12045392340278087</x:v>
      </x:c>
      <x:c r="Q300" s="41" t="str">
        <x:f>IF(L300&gt;=MAX(H300,P300),"Weekly",IF(H300&gt;=MAX(L300,P300),"No weekly","SPY"))</x:f>
        <x:v>Weekly</x:v>
      </x:c>
      <x:c r="R300" s="41" t="n">
        <x:f>IFERROR(L300-P300,"")</x:f>
        <x:v>0.35747434086647967</x:v>
      </x:c>
      <x:c r="S300" s="41" t="n">
        <x:f>IFERROR(H300-P300,"")</x:f>
        <x:v>0.27879156572038505</x:v>
      </x:c>
      <x:c r="T300" s="41" t="n">
        <x:f>IFERROR(I300-M300,"")</x:f>
        <x:v>7.500595999999999</x:v>
      </x:c>
      <x:c r="U300" s="41" t="n">
        <x:f>IFERROR(E300-M300,"")</x:f>
        <x:v>6.967776999999999</x:v>
      </x:c>
      <x:c r="V300" s="41" t="str">
        <x:f>IF(AND(I300&gt;M300,J300&gt;N300),"Sí","No")</x:f>
        <x:v>Sí</x:v>
      </x:c>
      <x:c r="W300" s="41" t="str">
        <x:f>IF(AND(E300&gt;M300,F300&gt;N300),"Sí","No")</x:f>
        <x:v>Sí</x:v>
      </x:c>
      <x:c r="X300" s="41" t="str">
        <x:f>IF(L300&gt;=H300,"Weekly","No weekly")</x:f>
        <x:v>Weekly</x:v>
      </x:c>
      <x:c r="Y300" s="41" t="n">
        <x:f>IFERROR(I300-E300,"")</x:f>
        <x:v>0.5328189999999999</x:v>
      </x:c>
      <x:c r="Z300" s="41" t="n">
        <x:f>IFERROR(J300-F300,"")</x:f>
        <x:v>4.563455000000005</x:v>
      </x:c>
      <x:c r="AA300" s="41" t="n">
        <x:v>10462</x:v>
      </x:c>
      <x:c r="AB300" s="41" t="n">
        <x:v>4661</x:v>
      </x:c>
    </x:row>
    <x:row r="301">
      <x:c r="A301" s="41" t="str">
        <x:v>HYP_REFINE_AUTO002_TOPN_6_V1_DDGRID_EXT_R12_C25_E66_CR50_REDD_RECOVERED_DD12_SL22</x:v>
      </x:c>
      <x:c r="B301" s="41" t="str">
        <x:v>dd_guard_grid</x:v>
      </x:c>
      <x:c r="C301" s="41" t="str">
        <x:v>1999-01-04</x:v>
      </x:c>
      <x:c r="D301" s="41" t="str">
        <x:v>2026-05-22</x:v>
      </x:c>
      <x:c r="E301" s="41" t="n">
        <x:v>13.267844</x:v>
      </x:c>
      <x:c r="F301" s="41" t="n">
        <x:v>-35.553768</x:v>
      </x:c>
      <x:c r="G301" s="41" t="n">
        <x:v>2929.416063</x:v>
      </x:c>
      <x:c r="H301" s="41" t="n">
        <x:f>IFERROR(E301/ABS(F301),"")</x:f>
        <x:v>0.37317687396733873</x:v>
      </x:c>
      <x:c r="I301" s="41" t="n">
        <x:v>14.737351</x:v>
      </x:c>
      <x:c r="J301" s="41" t="n">
        <x:v>-29.887257</x:v>
      </x:c>
      <x:c r="K301" s="41" t="n">
        <x:v>4211.50446</x:v>
      </x:c>
      <x:c r="L301" s="41" t="n">
        <x:f>IFERROR(I301/ABS(J301),"")</x:f>
        <x:v>0.49309814547383857</x:v>
      </x:c>
      <x:c r="M301" s="41" t="n">
        <x:v>6.802475</x:v>
      </x:c>
      <x:c r="N301" s="41" t="n">
        <x:v>-56.473669</x:v>
      </x:c>
      <x:c r="O301" s="41" t="n">
        <x:v>506.057416</x:v>
      </x:c>
      <x:c r="P301" s="41" t="n">
        <x:f>IFERROR(M301/ABS(N301),"")</x:f>
        <x:v>0.12045392340278087</x:v>
      </x:c>
      <x:c r="Q301" s="41" t="str">
        <x:f>IF(L301&gt;=MAX(H301,P301),"Weekly",IF(H301&gt;=MAX(L301,P301),"No weekly","SPY"))</x:f>
        <x:v>Weekly</x:v>
      </x:c>
      <x:c r="R301" s="41" t="n">
        <x:f>IFERROR(L301-P301,"")</x:f>
        <x:v>0.3726442220710577</x:v>
      </x:c>
      <x:c r="S301" s="41" t="n">
        <x:f>IFERROR(H301-P301,"")</x:f>
        <x:v>0.25272295056455785</x:v>
      </x:c>
      <x:c r="T301" s="41" t="n">
        <x:f>IFERROR(I301-M301,"")</x:f>
        <x:v>7.934876</x:v>
      </x:c>
      <x:c r="U301" s="41" t="n">
        <x:f>IFERROR(E301-M301,"")</x:f>
        <x:v>6.465369</x:v>
      </x:c>
      <x:c r="V301" s="41" t="str">
        <x:f>IF(AND(I301&gt;M301,J301&gt;N301),"Sí","No")</x:f>
        <x:v>Sí</x:v>
      </x:c>
      <x:c r="W301" s="41" t="str">
        <x:f>IF(AND(E301&gt;M301,F301&gt;N301),"Sí","No")</x:f>
        <x:v>Sí</x:v>
      </x:c>
      <x:c r="X301" s="41" t="str">
        <x:f>IF(L301&gt;=H301,"Weekly","No weekly")</x:f>
        <x:v>Weekly</x:v>
      </x:c>
      <x:c r="Y301" s="41" t="n">
        <x:f>IFERROR(I301-E301,"")</x:f>
        <x:v>1.4695070000000001</x:v>
      </x:c>
      <x:c r="Z301" s="41" t="n">
        <x:f>IFERROR(J301-F301,"")</x:f>
        <x:v>5.666510999999996</x:v>
      </x:c>
      <x:c r="AA301" s="41" t="n">
        <x:v>10578</x:v>
      </x:c>
      <x:c r="AB301" s="41" t="n">
        <x:v>4686</x:v>
      </x:c>
    </x:row>
    <x:row r="302">
      <x:c r="A302" s="41" t="str">
        <x:v>HYP_REFINE_AUTO002_TOPN_6_V1_DDGRID_EXT_R12_C25_E66_CR50_REDD_RECOVERED_DD6_SL18</x:v>
      </x:c>
      <x:c r="B302" s="41" t="str">
        <x:v>dd_guard_grid</x:v>
      </x:c>
      <x:c r="C302" s="41" t="str">
        <x:v>1999-01-04</x:v>
      </x:c>
      <x:c r="D302" s="41" t="str">
        <x:v>2026-05-22</x:v>
      </x:c>
      <x:c r="E302" s="41" t="n">
        <x:v>13.32166</x:v>
      </x:c>
      <x:c r="F302" s="41" t="n">
        <x:v>-34.005237</x:v>
      </x:c>
      <x:c r="G302" s="41" t="n">
        <x:v>2969.071029</x:v>
      </x:c>
      <x:c r="H302" s="41" t="n">
        <x:f>IFERROR(E302/ABS(F302),"")</x:f>
        <x:v>0.3917531878986757</x:v>
      </x:c>
      <x:c r="I302" s="41" t="n">
        <x:v>13.187856</x:v>
      </x:c>
      <x:c r="J302" s="41" t="n">
        <x:v>-30.160754</x:v>
      </x:c>
      <x:c r="K302" s="41" t="n">
        <x:v>2871.386516</x:v>
      </x:c>
      <x:c r="L302" s="41" t="n">
        <x:f>IFERROR(I302/ABS(J302),"")</x:f>
        <x:v>0.43725219866850806</x:v>
      </x:c>
      <x:c r="M302" s="41" t="n">
        <x:v>6.802475</x:v>
      </x:c>
      <x:c r="N302" s="41" t="n">
        <x:v>-56.473669</x:v>
      </x:c>
      <x:c r="O302" s="41" t="n">
        <x:v>506.057416</x:v>
      </x:c>
      <x:c r="P302" s="41" t="n">
        <x:f>IFERROR(M302/ABS(N302),"")</x:f>
        <x:v>0.12045392340278087</x:v>
      </x:c>
      <x:c r="Q302" s="41" t="str">
        <x:f>IF(L302&gt;=MAX(H302,P302),"Weekly",IF(H302&gt;=MAX(L302,P302),"No weekly","SPY"))</x:f>
        <x:v>Weekly</x:v>
      </x:c>
      <x:c r="R302" s="41" t="n">
        <x:f>IFERROR(L302-P302,"")</x:f>
        <x:v>0.3167982752657272</x:v>
      </x:c>
      <x:c r="S302" s="41" t="n">
        <x:f>IFERROR(H302-P302,"")</x:f>
        <x:v>0.2712992644958948</x:v>
      </x:c>
      <x:c r="T302" s="41" t="n">
        <x:f>IFERROR(I302-M302,"")</x:f>
        <x:v>6.385381</x:v>
      </x:c>
      <x:c r="U302" s="41" t="n">
        <x:f>IFERROR(E302-M302,"")</x:f>
        <x:v>6.519184999999999</x:v>
      </x:c>
      <x:c r="V302" s="41" t="str">
        <x:f>IF(AND(I302&gt;M302,J302&gt;N302),"Sí","No")</x:f>
        <x:v>Sí</x:v>
      </x:c>
      <x:c r="W302" s="41" t="str">
        <x:f>IF(AND(E302&gt;M302,F302&gt;N302),"Sí","No")</x:f>
        <x:v>Sí</x:v>
      </x:c>
      <x:c r="X302" s="41" t="str">
        <x:f>IF(L302&gt;=H302,"Weekly","No weekly")</x:f>
        <x:v>Weekly</x:v>
      </x:c>
      <x:c r="Y302" s="41" t="n">
        <x:f>IFERROR(I302-E302,"")</x:f>
        <x:v>-0.1338039999999996</x:v>
      </x:c>
      <x:c r="Z302" s="41" t="n">
        <x:f>IFERROR(J302-F302,"")</x:f>
        <x:v>3.8444830000000003</x:v>
      </x:c>
      <x:c r="AA302" s="41" t="n">
        <x:v>11684</x:v>
      </x:c>
      <x:c r="AB302" s="41" t="n">
        <x:v>5918</x:v>
      </x:c>
    </x:row>
    <x:row r="303">
      <x:c r="A303" s="41" t="str">
        <x:v>HYP_REFINE_AUTO002_TOPN_6_V1_DDGRID_EXT_R12_C25_E66_CR50_REDD_RECOVERED_DD6_SL20</x:v>
      </x:c>
      <x:c r="B303" s="41" t="str">
        <x:v>dd_guard_grid</x:v>
      </x:c>
      <x:c r="C303" s="41" t="str">
        <x:v>1999-01-04</x:v>
      </x:c>
      <x:c r="D303" s="41" t="str">
        <x:v>2026-05-22</x:v>
      </x:c>
      <x:c r="E303" s="41" t="n">
        <x:v>13.667862</x:v>
      </x:c>
      <x:c r="F303" s="41" t="n">
        <x:v>-34.647095</x:v>
      </x:c>
      <x:c r="G303" s="41" t="n">
        <x:v>3236.391149</x:v>
      </x:c>
      <x:c r="H303" s="41" t="n">
        <x:f>IFERROR(E303/ABS(F303),"")</x:f>
        <x:v>0.39448796500832173</x:v>
      </x:c>
      <x:c r="I303" s="41" t="n">
        <x:v>14.420597</x:v>
      </x:c>
      <x:c r="J303" s="41" t="n">
        <x:v>-29.927234</x:v>
      </x:c>
      <x:c r="K303" s="41" t="n">
        <x:v>3897.219313</x:v>
      </x:c>
      <x:c r="L303" s="41" t="n">
        <x:f>IFERROR(I303/ABS(J303),"")</x:f>
        <x:v>0.4818553228139962</x:v>
      </x:c>
      <x:c r="M303" s="41" t="n">
        <x:v>6.802475</x:v>
      </x:c>
      <x:c r="N303" s="41" t="n">
        <x:v>-56.473669</x:v>
      </x:c>
      <x:c r="O303" s="41" t="n">
        <x:v>506.057416</x:v>
      </x:c>
      <x:c r="P303" s="41" t="n">
        <x:f>IFERROR(M303/ABS(N303),"")</x:f>
        <x:v>0.12045392340278087</x:v>
      </x:c>
      <x:c r="Q303" s="41" t="str">
        <x:f>IF(L303&gt;=MAX(H303,P303),"Weekly",IF(H303&gt;=MAX(L303,P303),"No weekly","SPY"))</x:f>
        <x:v>Weekly</x:v>
      </x:c>
      <x:c r="R303" s="41" t="n">
        <x:f>IFERROR(L303-P303,"")</x:f>
        <x:v>0.3614013994112153</x:v>
      </x:c>
      <x:c r="S303" s="41" t="n">
        <x:f>IFERROR(H303-P303,"")</x:f>
        <x:v>0.27403404160554085</x:v>
      </x:c>
      <x:c r="T303" s="41" t="n">
        <x:f>IFERROR(I303-M303,"")</x:f>
        <x:v>7.6181220000000005</x:v>
      </x:c>
      <x:c r="U303" s="41" t="n">
        <x:f>IFERROR(E303-M303,"")</x:f>
        <x:v>6.865386999999999</x:v>
      </x:c>
      <x:c r="V303" s="41" t="str">
        <x:f>IF(AND(I303&gt;M303,J303&gt;N303),"Sí","No")</x:f>
        <x:v>Sí</x:v>
      </x:c>
      <x:c r="W303" s="41" t="str">
        <x:f>IF(AND(E303&gt;M303,F303&gt;N303),"Sí","No")</x:f>
        <x:v>Sí</x:v>
      </x:c>
      <x:c r="X303" s="41" t="str">
        <x:f>IF(L303&gt;=H303,"Weekly","No weekly")</x:f>
        <x:v>Weekly</x:v>
      </x:c>
      <x:c r="Y303" s="41" t="n">
        <x:f>IFERROR(I303-E303,"")</x:f>
        <x:v>0.7527350000000013</x:v>
      </x:c>
      <x:c r="Z303" s="41" t="n">
        <x:f>IFERROR(J303-F303,"")</x:f>
        <x:v>4.719861000000002</x:v>
      </x:c>
      <x:c r="AA303" s="41" t="n">
        <x:v>11601</x:v>
      </x:c>
      <x:c r="AB303" s="41" t="n">
        <x:v>5875</x:v>
      </x:c>
    </x:row>
    <x:row r="304">
      <x:c r="A304" s="41" t="str">
        <x:v>HYP_REFINE_AUTO002_TOPN_6_V1_DDGRID_EXT_R12_C25_E66_CR50_REDD_RECOVERED_DD6_SL22</x:v>
      </x:c>
      <x:c r="B304" s="41" t="str">
        <x:v>dd_guard_grid</x:v>
      </x:c>
      <x:c r="C304" s="41" t="str">
        <x:v>1999-01-04</x:v>
      </x:c>
      <x:c r="D304" s="41" t="str">
        <x:v>2026-05-22</x:v>
      </x:c>
      <x:c r="E304" s="41" t="n">
        <x:v>13.155615</x:v>
      </x:c>
      <x:c r="F304" s="41" t="n">
        <x:v>-35.209796</x:v>
      </x:c>
      <x:c r="G304" s="41" t="n">
        <x:v>2848.300507</x:v>
      </x:c>
      <x:c r="H304" s="41" t="n">
        <x:f>IFERROR(E304/ABS(F304),"")</x:f>
        <x:v>0.37363508155514447</x:v>
      </x:c>
      <x:c r="I304" s="41" t="n">
        <x:v>13.825809</x:v>
      </x:c>
      <x:c r="J304" s="41" t="n">
        <x:v>-29.887257</x:v>
      </x:c>
      <x:c r="K304" s="41" t="n">
        <x:v>3365.673978</x:v>
      </x:c>
      <x:c r="L304" s="41" t="n">
        <x:f>IFERROR(I304/ABS(J304),"")</x:f>
        <x:v>0.46259879252217756</x:v>
      </x:c>
      <x:c r="M304" s="41" t="n">
        <x:v>6.802475</x:v>
      </x:c>
      <x:c r="N304" s="41" t="n">
        <x:v>-56.473669</x:v>
      </x:c>
      <x:c r="O304" s="41" t="n">
        <x:v>506.057416</x:v>
      </x:c>
      <x:c r="P304" s="41" t="n">
        <x:f>IFERROR(M304/ABS(N304),"")</x:f>
        <x:v>0.12045392340278087</x:v>
      </x:c>
      <x:c r="Q304" s="41" t="str">
        <x:f>IF(L304&gt;=MAX(H304,P304),"Weekly",IF(H304&gt;=MAX(L304,P304),"No weekly","SPY"))</x:f>
        <x:v>Weekly</x:v>
      </x:c>
      <x:c r="R304" s="41" t="n">
        <x:f>IFERROR(L304-P304,"")</x:f>
        <x:v>0.3421448691193967</x:v>
      </x:c>
      <x:c r="S304" s="41" t="n">
        <x:f>IFERROR(H304-P304,"")</x:f>
        <x:v>0.2531811581523636</x:v>
      </x:c>
      <x:c r="T304" s="41" t="n">
        <x:f>IFERROR(I304-M304,"")</x:f>
        <x:v>7.023333999999999</x:v>
      </x:c>
      <x:c r="U304" s="41" t="n">
        <x:f>IFERROR(E304-M304,"")</x:f>
        <x:v>6.353139999999999</x:v>
      </x:c>
      <x:c r="V304" s="41" t="str">
        <x:f>IF(AND(I304&gt;M304,J304&gt;N304),"Sí","No")</x:f>
        <x:v>Sí</x:v>
      </x:c>
      <x:c r="W304" s="41" t="str">
        <x:f>IF(AND(E304&gt;M304,F304&gt;N304),"Sí","No")</x:f>
        <x:v>Sí</x:v>
      </x:c>
      <x:c r="X304" s="41" t="str">
        <x:f>IF(L304&gt;=H304,"Weekly","No weekly")</x:f>
        <x:v>Weekly</x:v>
      </x:c>
      <x:c r="Y304" s="41" t="n">
        <x:f>IFERROR(I304-E304,"")</x:f>
        <x:v>0.6701940000000004</x:v>
      </x:c>
      <x:c r="Z304" s="41" t="n">
        <x:f>IFERROR(J304-F304,"")</x:f>
        <x:v>5.3225389999999955</x:v>
      </x:c>
      <x:c r="AA304" s="41" t="n">
        <x:v>11921</x:v>
      </x:c>
      <x:c r="AB304" s="41" t="n">
        <x:v>5925</x:v>
      </x:c>
    </x:row>
    <x:row r="305">
      <x:c r="A305" s="41" t="str">
        <x:v>HYP_REFINE_AUTO002_TOPN_6_V1_DDGRID_EXT_R12_C25_E66_CR50_REDD_RECOVERED_DD6_SL25</x:v>
      </x:c>
      <x:c r="B305" s="41" t="str">
        <x:v>dd_guard_grid</x:v>
      </x:c>
      <x:c r="C305" s="41" t="str">
        <x:v>1999-01-04</x:v>
      </x:c>
      <x:c r="D305" s="41" t="str">
        <x:v>2026-05-22</x:v>
      </x:c>
      <x:c r="E305" s="41" t="n">
        <x:v>13.485848</x:v>
      </x:c>
      <x:c r="F305" s="41" t="n">
        <x:v>-35.560977</x:v>
      </x:c>
      <x:c r="G305" s="41" t="n">
        <x:v>3093.16962</x:v>
      </x:c>
      <x:c r="H305" s="41" t="n">
        <x:f>IFERROR(E305/ABS(F305),"")</x:f>
        <x:v>0.3792316504689958</x:v>
      </x:c>
      <x:c r="I305" s="41" t="n">
        <x:v>14.259904</x:v>
      </x:c>
      <x:c r="J305" s="41" t="n">
        <x:v>-29.398452</x:v>
      </x:c>
      <x:c r="K305" s="41" t="n">
        <x:v>3746.336886</x:v>
      </x:c>
      <x:c r="L305" s="41" t="n">
        <x:f>IFERROR(I305/ABS(J305),"")</x:f>
        <x:v>0.485056287997749</x:v>
      </x:c>
      <x:c r="M305" s="41" t="n">
        <x:v>6.802475</x:v>
      </x:c>
      <x:c r="N305" s="41" t="n">
        <x:v>-56.473669</x:v>
      </x:c>
      <x:c r="O305" s="41" t="n">
        <x:v>506.057416</x:v>
      </x:c>
      <x:c r="P305" s="41" t="n">
        <x:f>IFERROR(M305/ABS(N305),"")</x:f>
        <x:v>0.12045392340278087</x:v>
      </x:c>
      <x:c r="Q305" s="41" t="str">
        <x:f>IF(L305&gt;=MAX(H305,P305),"Weekly",IF(H305&gt;=MAX(L305,P305),"No weekly","SPY"))</x:f>
        <x:v>Weekly</x:v>
      </x:c>
      <x:c r="R305" s="41" t="n">
        <x:f>IFERROR(L305-P305,"")</x:f>
        <x:v>0.36460236459496814</x:v>
      </x:c>
      <x:c r="S305" s="41" t="n">
        <x:f>IFERROR(H305-P305,"")</x:f>
        <x:v>0.25877772706621494</x:v>
      </x:c>
      <x:c r="T305" s="41" t="n">
        <x:f>IFERROR(I305-M305,"")</x:f>
        <x:v>7.457429</x:v>
      </x:c>
      <x:c r="U305" s="41" t="n">
        <x:f>IFERROR(E305-M305,"")</x:f>
        <x:v>6.6833730000000005</x:v>
      </x:c>
      <x:c r="V305" s="41" t="str">
        <x:f>IF(AND(I305&gt;M305,J305&gt;N305),"Sí","No")</x:f>
        <x:v>Sí</x:v>
      </x:c>
      <x:c r="W305" s="41" t="str">
        <x:f>IF(AND(E305&gt;M305,F305&gt;N305),"Sí","No")</x:f>
        <x:v>Sí</x:v>
      </x:c>
      <x:c r="X305" s="41" t="str">
        <x:f>IF(L305&gt;=H305,"Weekly","No weekly")</x:f>
        <x:v>Weekly</x:v>
      </x:c>
      <x:c r="Y305" s="41" t="n">
        <x:f>IFERROR(I305-E305,"")</x:f>
        <x:v>0.7740559999999999</x:v>
      </x:c>
      <x:c r="Z305" s="41" t="n">
        <x:f>IFERROR(J305-F305,"")</x:f>
        <x:v>6.162525000000002</x:v>
      </x:c>
      <x:c r="AA305" s="41" t="n">
        <x:v>11952</x:v>
      </x:c>
      <x:c r="AB305" s="41" t="n">
        <x:v>5852</x:v>
      </x:c>
    </x:row>
    <x:row r="306">
      <x:c r="A306" s="41" t="str">
        <x:v>HYP_REFINE_AUTO002_TOPN_6_V1_DDGRID_EXT_R12_C25_E66_CR50_REDD_RECOVERED_DD6_SLNONE</x:v>
      </x:c>
      <x:c r="B306" s="41" t="str">
        <x:v>dd_guard_grid</x:v>
      </x:c>
      <x:c r="C306" s="41" t="str">
        <x:v>1999-01-04</x:v>
      </x:c>
      <x:c r="D306" s="41" t="str">
        <x:v>2026-05-22</x:v>
      </x:c>
      <x:c r="E306" s="41" t="n">
        <x:v>13.755747</x:v>
      </x:c>
      <x:c r="F306" s="41" t="n">
        <x:v>-35.82958</x:v>
      </x:c>
      <x:c r="G306" s="41" t="n">
        <x:v>3307.741707</x:v>
      </x:c>
      <x:c r="H306" s="41" t="n">
        <x:f>IFERROR(E306/ABS(F306),"")</x:f>
        <x:v>0.3839215251755672</x:v>
      </x:c>
      <x:c r="I306" s="41" t="n">
        <x:v>14.281765</x:v>
      </x:c>
      <x:c r="J306" s="41" t="n">
        <x:v>-29.31979</x:v>
      </x:c>
      <x:c r="K306" s="41" t="n">
        <x:v>3766.536228</x:v>
      </x:c>
      <x:c r="L306" s="41" t="n">
        <x:f>IFERROR(I306/ABS(J306),"")</x:f>
        <x:v>0.4871032500573844</x:v>
      </x:c>
      <x:c r="M306" s="41" t="n">
        <x:v>6.802475</x:v>
      </x:c>
      <x:c r="N306" s="41" t="n">
        <x:v>-56.473669</x:v>
      </x:c>
      <x:c r="O306" s="41" t="n">
        <x:v>506.057416</x:v>
      </x:c>
      <x:c r="P306" s="41" t="n">
        <x:f>IFERROR(M306/ABS(N306),"")</x:f>
        <x:v>0.12045392340278087</x:v>
      </x:c>
      <x:c r="Q306" s="41" t="str">
        <x:f>IF(L306&gt;=MAX(H306,P306),"Weekly",IF(H306&gt;=MAX(L306,P306),"No weekly","SPY"))</x:f>
        <x:v>Weekly</x:v>
      </x:c>
      <x:c r="R306" s="41" t="n">
        <x:f>IFERROR(L306-P306,"")</x:f>
        <x:v>0.36664932665460354</x:v>
      </x:c>
      <x:c r="S306" s="41" t="n">
        <x:f>IFERROR(H306-P306,"")</x:f>
        <x:v>0.26346760177278633</x:v>
      </x:c>
      <x:c r="T306" s="41" t="n">
        <x:f>IFERROR(I306-M306,"")</x:f>
        <x:v>7.47929</x:v>
      </x:c>
      <x:c r="U306" s="41" t="n">
        <x:f>IFERROR(E306-M306,"")</x:f>
        <x:v>6.953271999999999</x:v>
      </x:c>
      <x:c r="V306" s="41" t="str">
        <x:f>IF(AND(I306&gt;M306,J306&gt;N306),"Sí","No")</x:f>
        <x:v>Sí</x:v>
      </x:c>
      <x:c r="W306" s="41" t="str">
        <x:f>IF(AND(E306&gt;M306,F306&gt;N306),"Sí","No")</x:f>
        <x:v>Sí</x:v>
      </x:c>
      <x:c r="X306" s="41" t="str">
        <x:f>IF(L306&gt;=H306,"Weekly","No weekly")</x:f>
        <x:v>Weekly</x:v>
      </x:c>
      <x:c r="Y306" s="41" t="n">
        <x:f>IFERROR(I306-E306,"")</x:f>
        <x:v>0.5260180000000005</x:v>
      </x:c>
      <x:c r="Z306" s="41" t="n">
        <x:f>IFERROR(J306-F306,"")</x:f>
        <x:v>6.509789999999999</x:v>
      </x:c>
      <x:c r="AA306" s="41" t="n">
        <x:v>12080</x:v>
      </x:c>
      <x:c r="AB306" s="41" t="n">
        <x:v>6088</x:v>
      </x:c>
    </x:row>
    <x:row r="307">
      <x:c r="A307" s="41" t="str">
        <x:v>HYP_REFINE_AUTO002_TOPN_6_V1_DDGRID_EXT_R12_C25_E66_CR50_REDD_RECOVERED_DD8_SL18</x:v>
      </x:c>
      <x:c r="B307" s="41" t="str">
        <x:v>dd_guard_grid</x:v>
      </x:c>
      <x:c r="C307" s="41" t="str">
        <x:v>1999-01-04</x:v>
      </x:c>
      <x:c r="D307" s="41" t="str">
        <x:v>2026-05-22</x:v>
      </x:c>
      <x:c r="E307" s="41" t="n">
        <x:v>13.261119</x:v>
      </x:c>
      <x:c r="F307" s="41" t="n">
        <x:v>-33.944177</x:v>
      </x:c>
      <x:c r="G307" s="41" t="n">
        <x:v>2924.495693</x:v>
      </x:c>
      <x:c r="H307" s="41" t="n">
        <x:f>IFERROR(E307/ABS(F307),"")</x:f>
        <x:v>0.39067434158147357</x:v>
      </x:c>
      <x:c r="I307" s="41" t="n">
        <x:v>13.800423</x:v>
      </x:c>
      <x:c r="J307" s="41" t="n">
        <x:v>-30.160754</x:v>
      </x:c>
      <x:c r="K307" s="41" t="n">
        <x:v>3344.574134</x:v>
      </x:c>
      <x:c r="L307" s="41" t="n">
        <x:f>IFERROR(I307/ABS(J307),"")</x:f>
        <x:v>0.4575622678398557</x:v>
      </x:c>
      <x:c r="M307" s="41" t="n">
        <x:v>6.802475</x:v>
      </x:c>
      <x:c r="N307" s="41" t="n">
        <x:v>-56.473669</x:v>
      </x:c>
      <x:c r="O307" s="41" t="n">
        <x:v>506.057416</x:v>
      </x:c>
      <x:c r="P307" s="41" t="n">
        <x:f>IFERROR(M307/ABS(N307),"")</x:f>
        <x:v>0.12045392340278087</x:v>
      </x:c>
      <x:c r="Q307" s="41" t="str">
        <x:f>IF(L307&gt;=MAX(H307,P307),"Weekly",IF(H307&gt;=MAX(L307,P307),"No weekly","SPY"))</x:f>
        <x:v>Weekly</x:v>
      </x:c>
      <x:c r="R307" s="41" t="n">
        <x:f>IFERROR(L307-P307,"")</x:f>
        <x:v>0.3371083444370748</x:v>
      </x:c>
      <x:c r="S307" s="41" t="n">
        <x:f>IFERROR(H307-P307,"")</x:f>
        <x:v>0.2702204181786927</x:v>
      </x:c>
      <x:c r="T307" s="41" t="n">
        <x:f>IFERROR(I307-M307,"")</x:f>
        <x:v>6.997948</x:v>
      </x:c>
      <x:c r="U307" s="41" t="n">
        <x:f>IFERROR(E307-M307,"")</x:f>
        <x:v>6.4586440000000005</x:v>
      </x:c>
      <x:c r="V307" s="41" t="str">
        <x:f>IF(AND(I307&gt;M307,J307&gt;N307),"Sí","No")</x:f>
        <x:v>Sí</x:v>
      </x:c>
      <x:c r="W307" s="41" t="str">
        <x:f>IF(AND(E307&gt;M307,F307&gt;N307),"Sí","No")</x:f>
        <x:v>Sí</x:v>
      </x:c>
      <x:c r="X307" s="41" t="str">
        <x:f>IF(L307&gt;=H307,"Weekly","No weekly")</x:f>
        <x:v>Weekly</x:v>
      </x:c>
      <x:c r="Y307" s="41" t="n">
        <x:f>IFERROR(I307-E307,"")</x:f>
        <x:v>0.5393039999999996</x:v>
      </x:c>
      <x:c r="Z307" s="41" t="n">
        <x:f>IFERROR(J307-F307,"")</x:f>
        <x:v>3.7834230000000026</x:v>
      </x:c>
      <x:c r="AA307" s="41" t="n">
        <x:v>11468</x:v>
      </x:c>
      <x:c r="AB307" s="41" t="n">
        <x:v>5583</x:v>
      </x:c>
    </x:row>
    <x:row r="308">
      <x:c r="A308" s="41" t="str">
        <x:v>HYP_REFINE_AUTO002_TOPN_6_V1_DDGRID_EXT_R12_C25_E66_CR50_REDD_RECOVERED_DD8_SL22</x:v>
      </x:c>
      <x:c r="B308" s="41" t="str">
        <x:v>dd_guard_grid</x:v>
      </x:c>
      <x:c r="C308" s="41" t="str">
        <x:v>1999-01-04</x:v>
      </x:c>
      <x:c r="D308" s="41" t="str">
        <x:v>2026-05-22</x:v>
      </x:c>
      <x:c r="E308" s="41" t="n">
        <x:v>13.295702</x:v>
      </x:c>
      <x:c r="F308" s="41" t="n">
        <x:v>-35.05512</x:v>
      </x:c>
      <x:c r="G308" s="41" t="n">
        <x:v>2949.881349</x:v>
      </x:c>
      <x:c r="H308" s="41" t="n">
        <x:f>IFERROR(E308/ABS(F308),"")</x:f>
        <x:v>0.37927988835867626</x:v>
      </x:c>
      <x:c r="I308" s="41" t="n">
        <x:v>13.990162</x:v>
      </x:c>
      <x:c r="J308" s="41" t="n">
        <x:v>-29.887257</x:v>
      </x:c>
      <x:c r="K308" s="41" t="n">
        <x:v>3505.319231</x:v>
      </x:c>
      <x:c r="L308" s="41" t="n">
        <x:f>IFERROR(I308/ABS(J308),"")</x:f>
        <x:v>0.46809789202133867</x:v>
      </x:c>
      <x:c r="M308" s="41" t="n">
        <x:v>6.802475</x:v>
      </x:c>
      <x:c r="N308" s="41" t="n">
        <x:v>-56.473669</x:v>
      </x:c>
      <x:c r="O308" s="41" t="n">
        <x:v>506.057416</x:v>
      </x:c>
      <x:c r="P308" s="41" t="n">
        <x:f>IFERROR(M308/ABS(N308),"")</x:f>
        <x:v>0.12045392340278087</x:v>
      </x:c>
      <x:c r="Q308" s="41" t="str">
        <x:f>IF(L308&gt;=MAX(H308,P308),"Weekly",IF(H308&gt;=MAX(L308,P308),"No weekly","SPY"))</x:f>
        <x:v>Weekly</x:v>
      </x:c>
      <x:c r="R308" s="41" t="n">
        <x:f>IFERROR(L308-P308,"")</x:f>
        <x:v>0.3476439686185578</x:v>
      </x:c>
      <x:c r="S308" s="41" t="n">
        <x:f>IFERROR(H308-P308,"")</x:f>
        <x:v>0.2588259649558954</x:v>
      </x:c>
      <x:c r="T308" s="41" t="n">
        <x:f>IFERROR(I308-M308,"")</x:f>
        <x:v>7.1876869999999995</x:v>
      </x:c>
      <x:c r="U308" s="41" t="n">
        <x:f>IFERROR(E308-M308,"")</x:f>
        <x:v>6.493227</x:v>
      </x:c>
      <x:c r="V308" s="41" t="str">
        <x:f>IF(AND(I308&gt;M308,J308&gt;N308),"Sí","No")</x:f>
        <x:v>Sí</x:v>
      </x:c>
      <x:c r="W308" s="41" t="str">
        <x:f>IF(AND(E308&gt;M308,F308&gt;N308),"Sí","No")</x:f>
        <x:v>Sí</x:v>
      </x:c>
      <x:c r="X308" s="41" t="str">
        <x:f>IF(L308&gt;=H308,"Weekly","No weekly")</x:f>
        <x:v>Weekly</x:v>
      </x:c>
      <x:c r="Y308" s="41" t="n">
        <x:f>IFERROR(I308-E308,"")</x:f>
        <x:v>0.6944599999999994</x:v>
      </x:c>
      <x:c r="Z308" s="41" t="n">
        <x:f>IFERROR(J308-F308,"")</x:f>
        <x:v>5.1678630000000005</x:v>
      </x:c>
      <x:c r="AA308" s="41" t="n">
        <x:v>11564</x:v>
      </x:c>
      <x:c r="AB308" s="41" t="n">
        <x:v>5474</x:v>
      </x:c>
    </x:row>
    <x:row r="309">
      <x:c r="A309" s="41" t="str">
        <x:v>HYP_REFINE_AUTO002_TOPN_6_V1_DDGRID_EXT_R12_C25_E66_CR50_REDD_RECOVERED_DD8_SL25</x:v>
      </x:c>
      <x:c r="B309" s="41" t="str">
        <x:v>dd_guard_grid</x:v>
      </x:c>
      <x:c r="C309" s="41" t="str">
        <x:v>1999-01-04</x:v>
      </x:c>
      <x:c r="D309" s="41" t="str">
        <x:v>2026-05-22</x:v>
      </x:c>
      <x:c r="E309" s="41" t="n">
        <x:v>13.061046</x:v>
      </x:c>
      <x:c r="F309" s="41" t="n">
        <x:v>-35.560977</x:v>
      </x:c>
      <x:c r="G309" s="41" t="n">
        <x:v>2781.578057</x:v>
      </x:c>
      <x:c r="H309" s="41" t="n">
        <x:f>IFERROR(E309/ABS(F309),"")</x:f>
        <x:v>0.36728591568223784</x:v>
      </x:c>
      <x:c r="I309" s="41" t="n">
        <x:v>14.81034</x:v>
      </x:c>
      <x:c r="J309" s="41" t="n">
        <x:v>-29.398452</x:v>
      </x:c>
      <x:c r="K309" s="41" t="n">
        <x:v>4287.230105</x:v>
      </x:c>
      <x:c r="L309" s="41" t="n">
        <x:f>IFERROR(I309/ABS(J309),"")</x:f>
        <x:v>0.5037795867619153</x:v>
      </x:c>
      <x:c r="M309" s="41" t="n">
        <x:v>6.802475</x:v>
      </x:c>
      <x:c r="N309" s="41" t="n">
        <x:v>-56.473669</x:v>
      </x:c>
      <x:c r="O309" s="41" t="n">
        <x:v>506.057416</x:v>
      </x:c>
      <x:c r="P309" s="41" t="n">
        <x:f>IFERROR(M309/ABS(N309),"")</x:f>
        <x:v>0.12045392340278087</x:v>
      </x:c>
      <x:c r="Q309" s="41" t="str">
        <x:f>IF(L309&gt;=MAX(H309,P309),"Weekly",IF(H309&gt;=MAX(L309,P309),"No weekly","SPY"))</x:f>
        <x:v>Weekly</x:v>
      </x:c>
      <x:c r="R309" s="41" t="n">
        <x:f>IFERROR(L309-P309,"")</x:f>
        <x:v>0.38332566335913437</x:v>
      </x:c>
      <x:c r="S309" s="41" t="n">
        <x:f>IFERROR(H309-P309,"")</x:f>
        <x:v>0.24683199227945696</x:v>
      </x:c>
      <x:c r="T309" s="41" t="n">
        <x:f>IFERROR(I309-M309,"")</x:f>
        <x:v>8.007864999999999</x:v>
      </x:c>
      <x:c r="U309" s="41" t="n">
        <x:f>IFERROR(E309-M309,"")</x:f>
        <x:v>6.258570999999999</x:v>
      </x:c>
      <x:c r="V309" s="41" t="str">
        <x:f>IF(AND(I309&gt;M309,J309&gt;N309),"Sí","No")</x:f>
        <x:v>Sí</x:v>
      </x:c>
      <x:c r="W309" s="41" t="str">
        <x:f>IF(AND(E309&gt;M309,F309&gt;N309),"Sí","No")</x:f>
        <x:v>Sí</x:v>
      </x:c>
      <x:c r="X309" s="41" t="str">
        <x:f>IF(L309&gt;=H309,"Weekly","No weekly")</x:f>
        <x:v>Weekly</x:v>
      </x:c>
      <x:c r="Y309" s="41" t="n">
        <x:f>IFERROR(I309-E309,"")</x:f>
        <x:v>1.7492940000000008</x:v>
      </x:c>
      <x:c r="Z309" s="41" t="n">
        <x:f>IFERROR(J309-F309,"")</x:f>
        <x:v>6.162525000000002</x:v>
      </x:c>
      <x:c r="AA309" s="41" t="n">
        <x:v>11602</x:v>
      </x:c>
      <x:c r="AB309" s="41" t="n">
        <x:v>5720</x:v>
      </x:c>
    </x:row>
    <x:row r="310">
      <x:c r="A310" s="41" t="str">
        <x:v>HYP_REFINE_AUTO002_TOPN_6_V1_DDGRID_EXT_R12_C25_E66_CR50_REDD_RECOVERED_DD8_SLNONE</x:v>
      </x:c>
      <x:c r="B310" s="41" t="str">
        <x:v>dd_guard_grid</x:v>
      </x:c>
      <x:c r="C310" s="41" t="str">
        <x:v>1999-01-04</x:v>
      </x:c>
      <x:c r="D310" s="41" t="str">
        <x:v>2026-05-22</x:v>
      </x:c>
      <x:c r="E310" s="41" t="n">
        <x:v>13.551586</x:v>
      </x:c>
      <x:c r="F310" s="41" t="n">
        <x:v>-35.341008</x:v>
      </x:c>
      <x:c r="G310" s="41" t="n">
        <x:v>3144.199503</x:v>
      </x:c>
      <x:c r="H310" s="41" t="n">
        <x:f>IFERROR(E310/ABS(F310),"")</x:f>
        <x:v>0.38345216412616184</x:v>
      </x:c>
      <x:c r="I310" s="41" t="n">
        <x:v>14.81216</x:v>
      </x:c>
      <x:c r="J310" s="41" t="n">
        <x:v>-29.31979</x:v>
      </x:c>
      <x:c r="K310" s="41" t="n">
        <x:v>4289.134007</x:v>
      </x:c>
      <x:c r="L310" s="41" t="n">
        <x:f>IFERROR(I310/ABS(J310),"")</x:f>
        <x:v>0.5051932500198671</x:v>
      </x:c>
      <x:c r="M310" s="41" t="n">
        <x:v>6.802475</x:v>
      </x:c>
      <x:c r="N310" s="41" t="n">
        <x:v>-56.473669</x:v>
      </x:c>
      <x:c r="O310" s="41" t="n">
        <x:v>506.057416</x:v>
      </x:c>
      <x:c r="P310" s="41" t="n">
        <x:f>IFERROR(M310/ABS(N310),"")</x:f>
        <x:v>0.12045392340278087</x:v>
      </x:c>
      <x:c r="Q310" s="41" t="str">
        <x:f>IF(L310&gt;=MAX(H310,P310),"Weekly",IF(H310&gt;=MAX(L310,P310),"No weekly","SPY"))</x:f>
        <x:v>Weekly</x:v>
      </x:c>
      <x:c r="R310" s="41" t="n">
        <x:f>IFERROR(L310-P310,"")</x:f>
        <x:v>0.38473932661708626</x:v>
      </x:c>
      <x:c r="S310" s="41" t="n">
        <x:f>IFERROR(H310-P310,"")</x:f>
        <x:v>0.26299824072338096</x:v>
      </x:c>
      <x:c r="T310" s="41" t="n">
        <x:f>IFERROR(I310-M310,"")</x:f>
        <x:v>8.009685000000001</x:v>
      </x:c>
      <x:c r="U310" s="41" t="n">
        <x:f>IFERROR(E310-M310,"")</x:f>
        <x:v>6.749111</x:v>
      </x:c>
      <x:c r="V310" s="41" t="str">
        <x:f>IF(AND(I310&gt;M310,J310&gt;N310),"Sí","No")</x:f>
        <x:v>Sí</x:v>
      </x:c>
      <x:c r="W310" s="41" t="str">
        <x:f>IF(AND(E310&gt;M310,F310&gt;N310),"Sí","No")</x:f>
        <x:v>Sí</x:v>
      </x:c>
      <x:c r="X310" s="41" t="str">
        <x:f>IF(L310&gt;=H310,"Weekly","No weekly")</x:f>
        <x:v>Weekly</x:v>
      </x:c>
      <x:c r="Y310" s="41" t="n">
        <x:f>IFERROR(I310-E310,"")</x:f>
        <x:v>1.260574</x:v>
      </x:c>
      <x:c r="Z310" s="41" t="n">
        <x:f>IFERROR(J310-F310,"")</x:f>
        <x:v>6.021218000000001</x:v>
      </x:c>
      <x:c r="AA310" s="41" t="n">
        <x:v>11682</x:v>
      </x:c>
      <x:c r="AB310" s="41" t="n">
        <x:v>5674</x:v>
      </x:c>
    </x:row>
    <x:row r="311">
      <x:c r="A311" s="41" t="str">
        <x:v>HYP_REFINE_AUTO002_TOPN_6_V1_DDGRID_EXT_R12_C25_E75_CR25_REDD_RECOVERED_DD8_SL18</x:v>
      </x:c>
      <x:c r="B311" s="41" t="str">
        <x:v>dd_guard_grid</x:v>
      </x:c>
      <x:c r="C311" s="41" t="str">
        <x:v>1999-01-04</x:v>
      </x:c>
      <x:c r="D311" s="41" t="str">
        <x:v>2026-05-22</x:v>
      </x:c>
      <x:c r="E311" s="41" t="n">
        <x:v>11.86919</x:v>
      </x:c>
      <x:c r="F311" s="41" t="n">
        <x:v>-31.411385</x:v>
      </x:c>
      <x:c r="G311" s="41" t="n">
        <x:v>2055.86013</x:v>
      </x:c>
      <x:c r="H311" s="41" t="n">
        <x:f>IFERROR(E311/ABS(F311),"")</x:f>
        <x:v>0.3778626762239233</x:v>
      </x:c>
      <x:c r="I311" s="41" t="n">
        <x:v>10.969061</x:v>
      </x:c>
      <x:c r="J311" s="41" t="n">
        <x:v>-30.069078</x:v>
      </x:c>
      <x:c r="K311" s="41" t="n">
        <x:v>1628.068409</x:v>
      </x:c>
      <x:c r="L311" s="41" t="n">
        <x:f>IFERROR(I311/ABS(J311),"")</x:f>
        <x:v>0.36479538880440565</x:v>
      </x:c>
      <x:c r="M311" s="41" t="n">
        <x:v>6.802475</x:v>
      </x:c>
      <x:c r="N311" s="41" t="n">
        <x:v>-56.473669</x:v>
      </x:c>
      <x:c r="O311" s="41" t="n">
        <x:v>506.057416</x:v>
      </x:c>
      <x:c r="P311" s="41" t="n">
        <x:f>IFERROR(M311/ABS(N311),"")</x:f>
        <x:v>0.12045392340278087</x:v>
      </x:c>
      <x:c r="Q311" s="41" t="str">
        <x:f>IF(L311&gt;=MAX(H311,P311),"Weekly",IF(H311&gt;=MAX(L311,P311),"No weekly","SPY"))</x:f>
        <x:v>No weekly</x:v>
      </x:c>
      <x:c r="R311" s="41" t="n">
        <x:f>IFERROR(L311-P311,"")</x:f>
        <x:v>0.24434146540162477</x:v>
      </x:c>
      <x:c r="S311" s="41" t="n">
        <x:f>IFERROR(H311-P311,"")</x:f>
        <x:v>0.2574087528211424</x:v>
      </x:c>
      <x:c r="T311" s="41" t="n">
        <x:f>IFERROR(I311-M311,"")</x:f>
        <x:v>4.166586</x:v>
      </x:c>
      <x:c r="U311" s="41" t="n">
        <x:f>IFERROR(E311-M311,"")</x:f>
        <x:v>5.066714999999999</x:v>
      </x:c>
      <x:c r="V311" s="41" t="str">
        <x:f>IF(AND(I311&gt;M311,J311&gt;N311),"Sí","No")</x:f>
        <x:v>Sí</x:v>
      </x:c>
      <x:c r="W311" s="41" t="str">
        <x:f>IF(AND(E311&gt;M311,F311&gt;N311),"Sí","No")</x:f>
        <x:v>Sí</x:v>
      </x:c>
      <x:c r="X311" s="41" t="str">
        <x:f>IF(L311&gt;=H311,"Weekly","No weekly")</x:f>
        <x:v>No weekly</x:v>
      </x:c>
      <x:c r="Y311" s="41" t="n">
        <x:f>IFERROR(I311-E311,"")</x:f>
        <x:v>-0.9001289999999997</x:v>
      </x:c>
      <x:c r="Z311" s="41" t="n">
        <x:f>IFERROR(J311-F311,"")</x:f>
        <x:v>1.3423069999999981</x:v>
      </x:c>
      <x:c r="AA311" s="41" t="n">
        <x:v>12776</x:v>
      </x:c>
      <x:c r="AB311" s="41" t="n">
        <x:v>5999</x:v>
      </x:c>
    </x:row>
    <x:row r="312">
      <x:c r="A312" s="41" t="str">
        <x:v>HYP_REFINE_AUTO002_TOPN_6_V1_DDGRID_EXT_R12_C25_E75_CR25_REDD_RECOVERED_DD8_SL20</x:v>
      </x:c>
      <x:c r="B312" s="41" t="str">
        <x:v>dd_guard_grid</x:v>
      </x:c>
      <x:c r="C312" s="41" t="str">
        <x:v>1999-01-04</x:v>
      </x:c>
      <x:c r="D312" s="41" t="str">
        <x:v>2026-05-22</x:v>
      </x:c>
      <x:c r="E312" s="41" t="n">
        <x:v>12.189746</x:v>
      </x:c>
      <x:c r="F312" s="41" t="n">
        <x:v>-32.107121</x:v>
      </x:c>
      <x:c r="G312" s="41" t="n">
        <x:v>2231.541563</x:v>
      </x:c>
      <x:c r="H312" s="41" t="n">
        <x:f>IFERROR(E312/ABS(F312),"")</x:f>
        <x:v>0.37965864332712984</x:v>
      </x:c>
      <x:c r="I312" s="41" t="n">
        <x:v>11.425323</x:v>
      </x:c>
      <x:c r="J312" s="41" t="n">
        <x:v>-30.038887</x:v>
      </x:c>
      <x:c r="K312" s="41" t="n">
        <x:v>1833.521914</x:v>
      </x:c>
      <x:c r="L312" s="41" t="n">
        <x:f>IFERROR(I312/ABS(J312),"")</x:f>
        <x:v>0.38035107625658704</x:v>
      </x:c>
      <x:c r="M312" s="41" t="n">
        <x:v>6.802475</x:v>
      </x:c>
      <x:c r="N312" s="41" t="n">
        <x:v>-56.473669</x:v>
      </x:c>
      <x:c r="O312" s="41" t="n">
        <x:v>506.057416</x:v>
      </x:c>
      <x:c r="P312" s="41" t="n">
        <x:f>IFERROR(M312/ABS(N312),"")</x:f>
        <x:v>0.12045392340278087</x:v>
      </x:c>
      <x:c r="Q312" s="41" t="str">
        <x:f>IF(L312&gt;=MAX(H312,P312),"Weekly",IF(H312&gt;=MAX(L312,P312),"No weekly","SPY"))</x:f>
        <x:v>Weekly</x:v>
      </x:c>
      <x:c r="R312" s="41" t="n">
        <x:f>IFERROR(L312-P312,"")</x:f>
        <x:v>0.25989715285380616</x:v>
      </x:c>
      <x:c r="S312" s="41" t="n">
        <x:f>IFERROR(H312-P312,"")</x:f>
        <x:v>0.25920471992434896</x:v>
      </x:c>
      <x:c r="T312" s="41" t="n">
        <x:f>IFERROR(I312-M312,"")</x:f>
        <x:v>4.622848</x:v>
      </x:c>
      <x:c r="U312" s="41" t="n">
        <x:f>IFERROR(E312-M312,"")</x:f>
        <x:v>5.387270999999999</x:v>
      </x:c>
      <x:c r="V312" s="41" t="str">
        <x:f>IF(AND(I312&gt;M312,J312&gt;N312),"Sí","No")</x:f>
        <x:v>Sí</x:v>
      </x:c>
      <x:c r="W312" s="41" t="str">
        <x:f>IF(AND(E312&gt;M312,F312&gt;N312),"Sí","No")</x:f>
        <x:v>Sí</x:v>
      </x:c>
      <x:c r="X312" s="41" t="str">
        <x:f>IF(L312&gt;=H312,"Weekly","No weekly")</x:f>
        <x:v>Weekly</x:v>
      </x:c>
      <x:c r="Y312" s="41" t="n">
        <x:f>IFERROR(I312-E312,"")</x:f>
        <x:v>-0.764422999999999</x:v>
      </x:c>
      <x:c r="Z312" s="41" t="n">
        <x:f>IFERROR(J312-F312,"")</x:f>
        <x:v>2.0682340000000003</x:v>
      </x:c>
      <x:c r="AA312" s="41" t="n">
        <x:v>12684</x:v>
      </x:c>
      <x:c r="AB312" s="41" t="n">
        <x:v>5948</x:v>
      </x:c>
    </x:row>
    <x:row r="313">
      <x:c r="A313" s="41" t="str">
        <x:v>HYP_REFINE_AUTO002_TOPN_6_V1_DDGRID_EXT_R12_C25_E75_CR25_REDD_RECOVERED_DD8_SL22</x:v>
      </x:c>
      <x:c r="B313" s="41" t="str">
        <x:v>dd_guard_grid</x:v>
      </x:c>
      <x:c r="C313" s="41" t="str">
        <x:v>1999-01-04</x:v>
      </x:c>
      <x:c r="D313" s="41" t="str">
        <x:v>2026-05-22</x:v>
      </x:c>
      <x:c r="E313" s="41" t="n">
        <x:v>9.998423</x:v>
      </x:c>
      <x:c r="F313" s="41" t="n">
        <x:v>-32.135909</x:v>
      </x:c>
      <x:c r="G313" s="41" t="n">
        <x:v>1258.624512</x:v>
      </x:c>
      <x:c r="H313" s="41" t="n">
        <x:f>IFERROR(E313/ABS(F313),"")</x:f>
        <x:v>0.3111293039820346</x:v>
      </x:c>
      <x:c r="I313" s="41" t="n">
        <x:v>11.705719</x:v>
      </x:c>
      <x:c r="J313" s="41" t="n">
        <x:v>-30.256273</x:v>
      </x:c>
      <x:c r="K313" s="41" t="n">
        <x:v>1971.25182</x:v>
      </x:c>
      <x:c r="L313" s="41" t="n">
        <x:f>IFERROR(I313/ABS(J313),"")</x:f>
        <x:v>0.3868856881348208</x:v>
      </x:c>
      <x:c r="M313" s="41" t="n">
        <x:v>6.802475</x:v>
      </x:c>
      <x:c r="N313" s="41" t="n">
        <x:v>-56.473669</x:v>
      </x:c>
      <x:c r="O313" s="41" t="n">
        <x:v>506.057416</x:v>
      </x:c>
      <x:c r="P313" s="41" t="n">
        <x:f>IFERROR(M313/ABS(N313),"")</x:f>
        <x:v>0.12045392340278087</x:v>
      </x:c>
      <x:c r="Q313" s="41" t="str">
        <x:f>IF(L313&gt;=MAX(H313,P313),"Weekly",IF(H313&gt;=MAX(L313,P313),"No weekly","SPY"))</x:f>
        <x:v>Weekly</x:v>
      </x:c>
      <x:c r="R313" s="41" t="n">
        <x:f>IFERROR(L313-P313,"")</x:f>
        <x:v>0.26643176473203994</x:v>
      </x:c>
      <x:c r="S313" s="41" t="n">
        <x:f>IFERROR(H313-P313,"")</x:f>
        <x:v>0.1906753805792537</x:v>
      </x:c>
      <x:c r="T313" s="41" t="n">
        <x:f>IFERROR(I313-M313,"")</x:f>
        <x:v>4.903244</x:v>
      </x:c>
      <x:c r="U313" s="41" t="n">
        <x:f>IFERROR(E313-M313,"")</x:f>
        <x:v>3.1959480000000005</x:v>
      </x:c>
      <x:c r="V313" s="41" t="str">
        <x:f>IF(AND(I313&gt;M313,J313&gt;N313),"Sí","No")</x:f>
        <x:v>Sí</x:v>
      </x:c>
      <x:c r="W313" s="41" t="str">
        <x:f>IF(AND(E313&gt;M313,F313&gt;N313),"Sí","No")</x:f>
        <x:v>Sí</x:v>
      </x:c>
      <x:c r="X313" s="41" t="str">
        <x:f>IF(L313&gt;=H313,"Weekly","No weekly")</x:f>
        <x:v>Weekly</x:v>
      </x:c>
      <x:c r="Y313" s="41" t="n">
        <x:f>IFERROR(I313-E313,"")</x:f>
        <x:v>1.7072959999999995</x:v>
      </x:c>
      <x:c r="Z313" s="41" t="n">
        <x:f>IFERROR(J313-F313,"")</x:f>
        <x:v>1.8796359999999979</x:v>
      </x:c>
      <x:c r="AA313" s="41" t="n">
        <x:v>12722</x:v>
      </x:c>
      <x:c r="AB313" s="41" t="n">
        <x:v>6303</x:v>
      </x:c>
    </x:row>
    <x:row r="314">
      <x:c r="A314" s="41" t="str">
        <x:v>HYP_REFINE_AUTO002_TOPN_6_V1_DDGRID_EXT_R12_C25_E75_CR33_REDD_RECOVERED_DD10_SL18</x:v>
      </x:c>
      <x:c r="B314" s="41" t="str">
        <x:v>dd_guard_grid</x:v>
      </x:c>
      <x:c r="C314" s="41" t="str">
        <x:v>1999-01-04</x:v>
      </x:c>
      <x:c r="D314" s="41" t="str">
        <x:v>2026-05-22</x:v>
      </x:c>
      <x:c r="E314" s="41" t="n">
        <x:v>11.701594</x:v>
      </x:c>
      <x:c r="F314" s="41" t="n">
        <x:v>-32.52067</x:v>
      </x:c>
      <x:c r="G314" s="41" t="n">
        <x:v>1969.15918</x:v>
      </x:c>
      <x:c r="H314" s="41" t="n">
        <x:f>IFERROR(E314/ABS(F314),"")</x:f>
        <x:v>0.35982020050632413</x:v>
      </x:c>
      <x:c r="I314" s="41" t="n">
        <x:v>12.105109</x:v>
      </x:c>
      <x:c r="J314" s="41" t="n">
        <x:v>-31.23942</x:v>
      </x:c>
      <x:c r="K314" s="41" t="n">
        <x:v>2183.860138</x:v>
      </x:c>
      <x:c r="L314" s="41" t="n">
        <x:f>IFERROR(I314/ABS(J314),"")</x:f>
        <x:v>0.38749467819825084</x:v>
      </x:c>
      <x:c r="M314" s="41" t="n">
        <x:v>6.802475</x:v>
      </x:c>
      <x:c r="N314" s="41" t="n">
        <x:v>-56.473669</x:v>
      </x:c>
      <x:c r="O314" s="41" t="n">
        <x:v>506.057416</x:v>
      </x:c>
      <x:c r="P314" s="41" t="n">
        <x:f>IFERROR(M314/ABS(N314),"")</x:f>
        <x:v>0.12045392340278087</x:v>
      </x:c>
      <x:c r="Q314" s="41" t="str">
        <x:f>IF(L314&gt;=MAX(H314,P314),"Weekly",IF(H314&gt;=MAX(L314,P314),"No weekly","SPY"))</x:f>
        <x:v>Weekly</x:v>
      </x:c>
      <x:c r="R314" s="41" t="n">
        <x:f>IFERROR(L314-P314,"")</x:f>
        <x:v>0.26704075479546996</x:v>
      </x:c>
      <x:c r="S314" s="41" t="n">
        <x:f>IFERROR(H314-P314,"")</x:f>
        <x:v>0.23936627710354325</x:v>
      </x:c>
      <x:c r="T314" s="41" t="n">
        <x:f>IFERROR(I314-M314,"")</x:f>
        <x:v>5.302634</x:v>
      </x:c>
      <x:c r="U314" s="41" t="n">
        <x:f>IFERROR(E314-M314,"")</x:f>
        <x:v>4.899119</x:v>
      </x:c>
      <x:c r="V314" s="41" t="str">
        <x:f>IF(AND(I314&gt;M314,J314&gt;N314),"Sí","No")</x:f>
        <x:v>Sí</x:v>
      </x:c>
      <x:c r="W314" s="41" t="str">
        <x:f>IF(AND(E314&gt;M314,F314&gt;N314),"Sí","No")</x:f>
        <x:v>Sí</x:v>
      </x:c>
      <x:c r="X314" s="41" t="str">
        <x:f>IF(L314&gt;=H314,"Weekly","No weekly")</x:f>
        <x:v>Weekly</x:v>
      </x:c>
      <x:c r="Y314" s="41" t="n">
        <x:f>IFERROR(I314-E314,"")</x:f>
        <x:v>0.4035150000000005</x:v>
      </x:c>
      <x:c r="Z314" s="41" t="n">
        <x:f>IFERROR(J314-F314,"")</x:f>
        <x:v>1.2812500000000036</x:v>
      </x:c>
      <x:c r="AA314" s="41" t="n">
        <x:v>11778</x:v>
      </x:c>
      <x:c r="AB314" s="41" t="n">
        <x:v>5503</x:v>
      </x:c>
    </x:row>
    <x:row r="315">
      <x:c r="A315" s="41" t="str">
        <x:v>HYP_REFINE_AUTO002_TOPN_6_V1_DDGRID_EXT_R12_C25_E75_CR33_REDD_RECOVERED_DD10_SL20</x:v>
      </x:c>
      <x:c r="B315" s="41" t="str">
        <x:v>dd_guard_grid</x:v>
      </x:c>
      <x:c r="C315" s="41" t="str">
        <x:v>1999-01-04</x:v>
      </x:c>
      <x:c r="D315" s="41" t="str">
        <x:v>2026-05-22</x:v>
      </x:c>
      <x:c r="E315" s="41" t="n">
        <x:v>12.798858</x:v>
      </x:c>
      <x:c r="F315" s="41" t="n">
        <x:v>-33.110504</x:v>
      </x:c>
      <x:c r="G315" s="41" t="n">
        <x:v>2604.112091</x:v>
      </x:c>
      <x:c r="H315" s="41" t="n">
        <x:f>IFERROR(E315/ABS(F315),"")</x:f>
        <x:v>0.3865497788858786</x:v>
      </x:c>
      <x:c r="I315" s="41" t="n">
        <x:v>13.676145</x:v>
      </x:c>
      <x:c r="J315" s="41" t="n">
        <x:v>-31.192377</x:v>
      </x:c>
      <x:c r="K315" s="41" t="n">
        <x:v>3243.053591</x:v>
      </x:c>
      <x:c r="L315" s="41" t="n">
        <x:f>IFERROR(I315/ABS(J315),"")</x:f>
        <x:v>0.43844510471260334</x:v>
      </x:c>
      <x:c r="M315" s="41" t="n">
        <x:v>6.802475</x:v>
      </x:c>
      <x:c r="N315" s="41" t="n">
        <x:v>-56.473669</x:v>
      </x:c>
      <x:c r="O315" s="41" t="n">
        <x:v>506.057416</x:v>
      </x:c>
      <x:c r="P315" s="41" t="n">
        <x:f>IFERROR(M315/ABS(N315),"")</x:f>
        <x:v>0.12045392340278087</x:v>
      </x:c>
      <x:c r="Q315" s="41" t="str">
        <x:f>IF(L315&gt;=MAX(H315,P315),"Weekly",IF(H315&gt;=MAX(L315,P315),"No weekly","SPY"))</x:f>
        <x:v>Weekly</x:v>
      </x:c>
      <x:c r="R315" s="41" t="n">
        <x:f>IFERROR(L315-P315,"")</x:f>
        <x:v>0.31799118130982246</x:v>
      </x:c>
      <x:c r="S315" s="41" t="n">
        <x:f>IFERROR(H315-P315,"")</x:f>
        <x:v>0.2660958554830977</x:v>
      </x:c>
      <x:c r="T315" s="41" t="n">
        <x:f>IFERROR(I315-M315,"")</x:f>
        <x:v>6.87367</x:v>
      </x:c>
      <x:c r="U315" s="41" t="n">
        <x:f>IFERROR(E315-M315,"")</x:f>
        <x:v>5.996382999999999</x:v>
      </x:c>
      <x:c r="V315" s="41" t="str">
        <x:f>IF(AND(I315&gt;M315,J315&gt;N315),"Sí","No")</x:f>
        <x:v>Sí</x:v>
      </x:c>
      <x:c r="W315" s="41" t="str">
        <x:f>IF(AND(E315&gt;M315,F315&gt;N315),"Sí","No")</x:f>
        <x:v>Sí</x:v>
      </x:c>
      <x:c r="X315" s="41" t="str">
        <x:f>IF(L315&gt;=H315,"Weekly","No weekly")</x:f>
        <x:v>Weekly</x:v>
      </x:c>
      <x:c r="Y315" s="41" t="n">
        <x:f>IFERROR(I315-E315,"")</x:f>
        <x:v>0.8772870000000008</x:v>
      </x:c>
      <x:c r="Z315" s="41" t="n">
        <x:f>IFERROR(J315-F315,"")</x:f>
        <x:v>1.9181269999999984</x:v>
      </x:c>
      <x:c r="AA315" s="41" t="n">
        <x:v>11728</x:v>
      </x:c>
      <x:c r="AB315" s="41" t="n">
        <x:v>5243</x:v>
      </x:c>
    </x:row>
    <x:row r="316">
      <x:c r="A316" s="41" t="str">
        <x:v>HYP_REFINE_AUTO002_TOPN_6_V1_DDGRID_EXT_R12_C25_E75_CR33_REDD_RECOVERED_DD10_SL22</x:v>
      </x:c>
      <x:c r="B316" s="41" t="str">
        <x:v>dd_guard_grid</x:v>
      </x:c>
      <x:c r="C316" s="41" t="str">
        <x:v>1999-01-04</x:v>
      </x:c>
      <x:c r="D316" s="41" t="str">
        <x:v>2026-05-22</x:v>
      </x:c>
      <x:c r="E316" s="41" t="n">
        <x:v>12.276047</x:v>
      </x:c>
      <x:c r="F316" s="41" t="n">
        <x:v>-33.652612</x:v>
      </x:c>
      <x:c r="G316" s="41" t="n">
        <x:v>2281.146551</x:v>
      </x:c>
      <x:c r="H316" s="41" t="n">
        <x:f>IFERROR(E316/ABS(F316),"")</x:f>
        <x:v>0.3647873454815335</x:v>
      </x:c>
      <x:c r="I316" s="41" t="n">
        <x:v>12.079287</x:v>
      </x:c>
      <x:c r="J316" s="41" t="n">
        <x:v>-31.346454</x:v>
      </x:c>
      <x:c r="K316" s="41" t="n">
        <x:v>2169.501463</x:v>
      </x:c>
      <x:c r="L316" s="41" t="n">
        <x:f>IFERROR(I316/ABS(J316),"")</x:f>
        <x:v>0.3853477972340986</x:v>
      </x:c>
      <x:c r="M316" s="41" t="n">
        <x:v>6.802475</x:v>
      </x:c>
      <x:c r="N316" s="41" t="n">
        <x:v>-56.473669</x:v>
      </x:c>
      <x:c r="O316" s="41" t="n">
        <x:v>506.057416</x:v>
      </x:c>
      <x:c r="P316" s="41" t="n">
        <x:f>IFERROR(M316/ABS(N316),"")</x:f>
        <x:v>0.12045392340278087</x:v>
      </x:c>
      <x:c r="Q316" s="41" t="str">
        <x:f>IF(L316&gt;=MAX(H316,P316),"Weekly",IF(H316&gt;=MAX(L316,P316),"No weekly","SPY"))</x:f>
        <x:v>Weekly</x:v>
      </x:c>
      <x:c r="R316" s="41" t="n">
        <x:f>IFERROR(L316-P316,"")</x:f>
        <x:v>0.26489387383131774</x:v>
      </x:c>
      <x:c r="S316" s="41" t="n">
        <x:f>IFERROR(H316-P316,"")</x:f>
        <x:v>0.24433342207875264</x:v>
      </x:c>
      <x:c r="T316" s="41" t="n">
        <x:f>IFERROR(I316-M316,"")</x:f>
        <x:v>5.2768120000000005</x:v>
      </x:c>
      <x:c r="U316" s="41" t="n">
        <x:f>IFERROR(E316-M316,"")</x:f>
        <x:v>5.473572</x:v>
      </x:c>
      <x:c r="V316" s="41" t="str">
        <x:f>IF(AND(I316&gt;M316,J316&gt;N316),"Sí","No")</x:f>
        <x:v>Sí</x:v>
      </x:c>
      <x:c r="W316" s="41" t="str">
        <x:f>IF(AND(E316&gt;M316,F316&gt;N316),"Sí","No")</x:f>
        <x:v>Sí</x:v>
      </x:c>
      <x:c r="X316" s="41" t="str">
        <x:f>IF(L316&gt;=H316,"Weekly","No weekly")</x:f>
        <x:v>Weekly</x:v>
      </x:c>
      <x:c r="Y316" s="41" t="n">
        <x:f>IFERROR(I316-E316,"")</x:f>
        <x:v>-0.19675999999999938</x:v>
      </x:c>
      <x:c r="Z316" s="41" t="n">
        <x:f>IFERROR(J316-F316,"")</x:f>
        <x:v>2.3061579999999964</x:v>
      </x:c>
      <x:c r="AA316" s="41" t="n">
        <x:v>12122</x:v>
      </x:c>
      <x:c r="AB316" s="41" t="n">
        <x:v>5500</x:v>
      </x:c>
    </x:row>
    <x:row r="317">
      <x:c r="A317" s="41" t="str">
        <x:v>HYP_REFINE_AUTO002_TOPN_6_V1_DDGRID_EXT_R12_C25_E75_CR33_REDD_RECOVERED_DD6_SL18</x:v>
      </x:c>
      <x:c r="B317" s="41" t="str">
        <x:v>dd_guard_grid</x:v>
      </x:c>
      <x:c r="C317" s="41" t="str">
        <x:v>1999-01-04</x:v>
      </x:c>
      <x:c r="D317" s="41" t="str">
        <x:v>2026-05-22</x:v>
      </x:c>
      <x:c r="E317" s="41" t="n">
        <x:v>12.961251</x:v>
      </x:c>
      <x:c r="F317" s="41" t="n">
        <x:v>-32.52067</x:v>
      </x:c>
      <x:c r="G317" s="41" t="n">
        <x:v>2712.746472</x:v>
      </x:c>
      <x:c r="H317" s="41" t="n">
        <x:f>IFERROR(E317/ABS(F317),"")</x:f>
        <x:v>0.398554242578643</x:v>
      </x:c>
      <x:c r="I317" s="41" t="n">
        <x:v>11.962074</x:v>
      </x:c>
      <x:c r="J317" s="41" t="n">
        <x:v>-31.23942</x:v>
      </x:c>
      <x:c r="K317" s="41" t="n">
        <x:v>2105.408394</x:v>
      </x:c>
      <x:c r="L317" s="41" t="n">
        <x:f>IFERROR(I317/ABS(J317),"")</x:f>
        <x:v>0.38291600804368325</x:v>
      </x:c>
      <x:c r="M317" s="41" t="n">
        <x:v>6.802475</x:v>
      </x:c>
      <x:c r="N317" s="41" t="n">
        <x:v>-56.473669</x:v>
      </x:c>
      <x:c r="O317" s="41" t="n">
        <x:v>506.057416</x:v>
      </x:c>
      <x:c r="P317" s="41" t="n">
        <x:f>IFERROR(M317/ABS(N317),"")</x:f>
        <x:v>0.12045392340278087</x:v>
      </x:c>
      <x:c r="Q317" s="41" t="str">
        <x:f>IF(L317&gt;=MAX(H317,P317),"Weekly",IF(H317&gt;=MAX(L317,P317),"No weekly","SPY"))</x:f>
        <x:v>No weekly</x:v>
      </x:c>
      <x:c r="R317" s="41" t="n">
        <x:f>IFERROR(L317-P317,"")</x:f>
        <x:v>0.26246208464090237</x:v>
      </x:c>
      <x:c r="S317" s="41" t="n">
        <x:f>IFERROR(H317-P317,"")</x:f>
        <x:v>0.27810031917586214</x:v>
      </x:c>
      <x:c r="T317" s="41" t="n">
        <x:f>IFERROR(I317-M317,"")</x:f>
        <x:v>5.159598999999999</x:v>
      </x:c>
      <x:c r="U317" s="41" t="n">
        <x:f>IFERROR(E317-M317,"")</x:f>
        <x:v>6.1587760000000005</x:v>
      </x:c>
      <x:c r="V317" s="41" t="str">
        <x:f>IF(AND(I317&gt;M317,J317&gt;N317),"Sí","No")</x:f>
        <x:v>Sí</x:v>
      </x:c>
      <x:c r="W317" s="41" t="str">
        <x:f>IF(AND(E317&gt;M317,F317&gt;N317),"Sí","No")</x:f>
        <x:v>Sí</x:v>
      </x:c>
      <x:c r="X317" s="41" t="str">
        <x:f>IF(L317&gt;=H317,"Weekly","No weekly")</x:f>
        <x:v>No weekly</x:v>
      </x:c>
      <x:c r="Y317" s="41" t="n">
        <x:f>IFERROR(I317-E317,"")</x:f>
        <x:v>-0.9991770000000013</x:v>
      </x:c>
      <x:c r="Z317" s="41" t="n">
        <x:f>IFERROR(J317-F317,"")</x:f>
        <x:v>1.2812500000000036</x:v>
      </x:c>
      <x:c r="AA317" s="41" t="n">
        <x:v>12609</x:v>
      </x:c>
      <x:c r="AB317" s="41" t="n">
        <x:v>5660</x:v>
      </x:c>
    </x:row>
    <x:row r="318">
      <x:c r="A318" s="41" t="str">
        <x:v>HYP_REFINE_AUTO002_TOPN_6_V1_DDGRID_EXT_R12_C25_E75_CR33_REDD_RECOVERED_DD6_SL20</x:v>
      </x:c>
      <x:c r="B318" s="41" t="str">
        <x:v>dd_guard_grid</x:v>
      </x:c>
      <x:c r="C318" s="41" t="str">
        <x:v>1999-01-04</x:v>
      </x:c>
      <x:c r="D318" s="41" t="str">
        <x:v>2026-05-22</x:v>
      </x:c>
      <x:c r="E318" s="41" t="n">
        <x:v>12.851094</x:v>
      </x:c>
      <x:c r="F318" s="41" t="n">
        <x:v>-33.110504</x:v>
      </x:c>
      <x:c r="G318" s="41" t="n">
        <x:v>2638.607228</x:v>
      </x:c>
      <x:c r="H318" s="41" t="n">
        <x:f>IFERROR(E318/ABS(F318),"")</x:f>
        <x:v>0.38812740512799204</x:v>
      </x:c>
      <x:c r="I318" s="41" t="n">
        <x:v>13.323611</x:v>
      </x:c>
      <x:c r="J318" s="41" t="n">
        <x:v>-31.192377</x:v>
      </x:c>
      <x:c r="K318" s="41" t="n">
        <x:v>2970.518047</x:v>
      </x:c>
      <x:c r="L318" s="41" t="n">
        <x:f>IFERROR(I318/ABS(J318),"")</x:f>
        <x:v>0.4271431766806358</x:v>
      </x:c>
      <x:c r="M318" s="41" t="n">
        <x:v>6.802475</x:v>
      </x:c>
      <x:c r="N318" s="41" t="n">
        <x:v>-56.473669</x:v>
      </x:c>
      <x:c r="O318" s="41" t="n">
        <x:v>506.057416</x:v>
      </x:c>
      <x:c r="P318" s="41" t="n">
        <x:f>IFERROR(M318/ABS(N318),"")</x:f>
        <x:v>0.12045392340278087</x:v>
      </x:c>
      <x:c r="Q318" s="41" t="str">
        <x:f>IF(L318&gt;=MAX(H318,P318),"Weekly",IF(H318&gt;=MAX(L318,P318),"No weekly","SPY"))</x:f>
        <x:v>Weekly</x:v>
      </x:c>
      <x:c r="R318" s="41" t="n">
        <x:f>IFERROR(L318-P318,"")</x:f>
        <x:v>0.3066892532778549</x:v>
      </x:c>
      <x:c r="S318" s="41" t="n">
        <x:f>IFERROR(H318-P318,"")</x:f>
        <x:v>0.26767348172521116</x:v>
      </x:c>
      <x:c r="T318" s="41" t="n">
        <x:f>IFERROR(I318-M318,"")</x:f>
        <x:v>6.521135999999999</x:v>
      </x:c>
      <x:c r="U318" s="41" t="n">
        <x:f>IFERROR(E318-M318,"")</x:f>
        <x:v>6.0486189999999995</x:v>
      </x:c>
      <x:c r="V318" s="41" t="str">
        <x:f>IF(AND(I318&gt;M318,J318&gt;N318),"Sí","No")</x:f>
        <x:v>Sí</x:v>
      </x:c>
      <x:c r="W318" s="41" t="str">
        <x:f>IF(AND(E318&gt;M318,F318&gt;N318),"Sí","No")</x:f>
        <x:v>Sí</x:v>
      </x:c>
      <x:c r="X318" s="41" t="str">
        <x:f>IF(L318&gt;=H318,"Weekly","No weekly")</x:f>
        <x:v>Weekly</x:v>
      </x:c>
      <x:c r="Y318" s="41" t="n">
        <x:f>IFERROR(I318-E318,"")</x:f>
        <x:v>0.47251699999999985</x:v>
      </x:c>
      <x:c r="Z318" s="41" t="n">
        <x:f>IFERROR(J318-F318,"")</x:f>
        <x:v>1.9181269999999984</x:v>
      </x:c>
      <x:c r="AA318" s="41" t="n">
        <x:v>12460</x:v>
      </x:c>
      <x:c r="AB318" s="41" t="n">
        <x:v>5708</x:v>
      </x:c>
    </x:row>
    <x:row r="319">
      <x:c r="A319" s="41" t="str">
        <x:v>HYP_REFINE_AUTO002_TOPN_6_V1_DDGRID_EXT_R12_C25_E75_CR33_REDD_RECOVERED_DD6_SL22</x:v>
      </x:c>
      <x:c r="B319" s="41" t="str">
        <x:v>dd_guard_grid</x:v>
      </x:c>
      <x:c r="C319" s="41" t="str">
        <x:v>1999-01-04</x:v>
      </x:c>
      <x:c r="D319" s="41" t="str">
        <x:v>2026-05-22</x:v>
      </x:c>
      <x:c r="E319" s="41" t="n">
        <x:v>12.511896</x:v>
      </x:c>
      <x:c r="F319" s="41" t="n">
        <x:v>-33.652612</x:v>
      </x:c>
      <x:c r="G319" s="41" t="n">
        <x:v>2421.953255</x:v>
      </x:c>
      <x:c r="H319" s="41" t="n">
        <x:f>IFERROR(E319/ABS(F319),"")</x:f>
        <x:v>0.3717956870628646</x:v>
      </x:c>
      <x:c r="I319" s="41" t="n">
        <x:v>11.62115</x:v>
      </x:c>
      <x:c r="J319" s="41" t="n">
        <x:v>-31.346454</x:v>
      </x:c>
      <x:c r="K319" s="41" t="n">
        <x:v>1928.746393</x:v>
      </x:c>
      <x:c r="L319" s="41" t="n">
        <x:f>IFERROR(I319/ABS(J319),"")</x:f>
        <x:v>0.37073252368513515</x:v>
      </x:c>
      <x:c r="M319" s="41" t="n">
        <x:v>6.802475</x:v>
      </x:c>
      <x:c r="N319" s="41" t="n">
        <x:v>-56.473669</x:v>
      </x:c>
      <x:c r="O319" s="41" t="n">
        <x:v>506.057416</x:v>
      </x:c>
      <x:c r="P319" s="41" t="n">
        <x:f>IFERROR(M319/ABS(N319),"")</x:f>
        <x:v>0.12045392340278087</x:v>
      </x:c>
      <x:c r="Q319" s="41" t="str">
        <x:f>IF(L319&gt;=MAX(H319,P319),"Weekly",IF(H319&gt;=MAX(L319,P319),"No weekly","SPY"))</x:f>
        <x:v>No weekly</x:v>
      </x:c>
      <x:c r="R319" s="41" t="n">
        <x:f>IFERROR(L319-P319,"")</x:f>
        <x:v>0.25027860028235427</x:v>
      </x:c>
      <x:c r="S319" s="41" t="n">
        <x:f>IFERROR(H319-P319,"")</x:f>
        <x:v>0.2513417636600837</x:v>
      </x:c>
      <x:c r="T319" s="41" t="n">
        <x:f>IFERROR(I319-M319,"")</x:f>
        <x:v>4.818675</x:v>
      </x:c>
      <x:c r="U319" s="41" t="n">
        <x:f>IFERROR(E319-M319,"")</x:f>
        <x:v>5.709421</x:v>
      </x:c>
      <x:c r="V319" s="41" t="str">
        <x:f>IF(AND(I319&gt;M319,J319&gt;N319),"Sí","No")</x:f>
        <x:v>Sí</x:v>
      </x:c>
      <x:c r="W319" s="41" t="str">
        <x:f>IF(AND(E319&gt;M319,F319&gt;N319),"Sí","No")</x:f>
        <x:v>Sí</x:v>
      </x:c>
      <x:c r="X319" s="41" t="str">
        <x:f>IF(L319&gt;=H319,"Weekly","No weekly")</x:f>
        <x:v>No weekly</x:v>
      </x:c>
      <x:c r="Y319" s="41" t="n">
        <x:f>IFERROR(I319-E319,"")</x:f>
        <x:v>-0.890746</x:v>
      </x:c>
      <x:c r="Z319" s="41" t="n">
        <x:f>IFERROR(J319-F319,"")</x:f>
        <x:v>2.3061579999999964</x:v>
      </x:c>
      <x:c r="AA319" s="41" t="n">
        <x:v>12862</x:v>
      </x:c>
      <x:c r="AB319" s="41" t="n">
        <x:v>5903</x:v>
      </x:c>
    </x:row>
    <x:row r="320">
      <x:c r="A320" s="41" t="str">
        <x:v>HYP_REFINE_AUTO002_TOPN_6_V1_DDGRID_EXT_R12_C25_E75_CR33_REDD_RECOVERED_DD8_SL18</x:v>
      </x:c>
      <x:c r="B320" s="41" t="str">
        <x:v>dd_guard_grid</x:v>
      </x:c>
      <x:c r="C320" s="41" t="str">
        <x:v>1999-01-04</x:v>
      </x:c>
      <x:c r="D320" s="41" t="str">
        <x:v>2026-05-22</x:v>
      </x:c>
      <x:c r="E320" s="41" t="n">
        <x:v>11.825919</x:v>
      </x:c>
      <x:c r="F320" s="41" t="n">
        <x:v>-32.52067</x:v>
      </x:c>
      <x:c r="G320" s="41" t="n">
        <x:v>2033.146067</x:v>
      </x:c>
      <x:c r="H320" s="41" t="n">
        <x:f>IFERROR(E320/ABS(F320),"")</x:f>
        <x:v>0.3636431537234626</x:v>
      </x:c>
      <x:c r="I320" s="41" t="n">
        <x:v>12.409445</x:v>
      </x:c>
      <x:c r="J320" s="41" t="n">
        <x:v>-31.23942</x:v>
      </x:c>
      <x:c r="K320" s="41" t="n">
        <x:v>2359.829289</x:v>
      </x:c>
      <x:c r="L320" s="41" t="n">
        <x:f>IFERROR(I320/ABS(J320),"")</x:f>
        <x:v>0.3972367284667897</x:v>
      </x:c>
      <x:c r="M320" s="41" t="n">
        <x:v>6.802475</x:v>
      </x:c>
      <x:c r="N320" s="41" t="n">
        <x:v>-56.473669</x:v>
      </x:c>
      <x:c r="O320" s="41" t="n">
        <x:v>506.057416</x:v>
      </x:c>
      <x:c r="P320" s="41" t="n">
        <x:f>IFERROR(M320/ABS(N320),"")</x:f>
        <x:v>0.12045392340278087</x:v>
      </x:c>
      <x:c r="Q320" s="41" t="str">
        <x:f>IF(L320&gt;=MAX(H320,P320),"Weekly",IF(H320&gt;=MAX(L320,P320),"No weekly","SPY"))</x:f>
        <x:v>Weekly</x:v>
      </x:c>
      <x:c r="R320" s="41" t="n">
        <x:f>IFERROR(L320-P320,"")</x:f>
        <x:v>0.2767828050640088</x:v>
      </x:c>
      <x:c r="S320" s="41" t="n">
        <x:f>IFERROR(H320-P320,"")</x:f>
        <x:v>0.24318923032068174</x:v>
      </x:c>
      <x:c r="T320" s="41" t="n">
        <x:f>IFERROR(I320-M320,"")</x:f>
        <x:v>5.60697</x:v>
      </x:c>
      <x:c r="U320" s="41" t="n">
        <x:f>IFERROR(E320-M320,"")</x:f>
        <x:v>5.0234440000000005</x:v>
      </x:c>
      <x:c r="V320" s="41" t="str">
        <x:f>IF(AND(I320&gt;M320,J320&gt;N320),"Sí","No")</x:f>
        <x:v>Sí</x:v>
      </x:c>
      <x:c r="W320" s="41" t="str">
        <x:f>IF(AND(E320&gt;M320,F320&gt;N320),"Sí","No")</x:f>
        <x:v>Sí</x:v>
      </x:c>
      <x:c r="X320" s="41" t="str">
        <x:f>IF(L320&gt;=H320,"Weekly","No weekly")</x:f>
        <x:v>Weekly</x:v>
      </x:c>
      <x:c r="Y320" s="41" t="n">
        <x:f>IFERROR(I320-E320,"")</x:f>
        <x:v>0.5835259999999991</x:v>
      </x:c>
      <x:c r="Z320" s="41" t="n">
        <x:f>IFERROR(J320-F320,"")</x:f>
        <x:v>1.2812500000000036</x:v>
      </x:c>
      <x:c r="AA320" s="41" t="n">
        <x:v>12132</x:v>
      </x:c>
      <x:c r="AB320" s="41" t="n">
        <x:v>5639</x:v>
      </x:c>
    </x:row>
    <x:row r="321">
      <x:c r="A321" s="41" t="str">
        <x:v>HYP_REFINE_AUTO002_TOPN_6_V1_DDGRID_EXT_R12_C25_E75_CR33_REDD_RECOVERED_DD8_SL20</x:v>
      </x:c>
      <x:c r="B321" s="41" t="str">
        <x:v>dd_guard_grid</x:v>
      </x:c>
      <x:c r="C321" s="41" t="str">
        <x:v>1999-01-04</x:v>
      </x:c>
      <x:c r="D321" s="41" t="str">
        <x:v>2026-05-22</x:v>
      </x:c>
      <x:c r="E321" s="41" t="n">
        <x:v>12.831148</x:v>
      </x:c>
      <x:c r="F321" s="41" t="n">
        <x:v>-33.110504</x:v>
      </x:c>
      <x:c r="G321" s="41" t="n">
        <x:v>2625.385814</x:v>
      </x:c>
      <x:c r="H321" s="41" t="n">
        <x:f>IFERROR(E321/ABS(F321),"")</x:f>
        <x:v>0.38752499810936136</x:v>
      </x:c>
      <x:c r="I321" s="41" t="n">
        <x:v>13.564238</x:v>
      </x:c>
      <x:c r="J321" s="41" t="n">
        <x:v>-31.192377</x:v>
      </x:c>
      <x:c r="K321" s="41" t="n">
        <x:v>3154.111192</x:v>
      </x:c>
      <x:c r="L321" s="41" t="n">
        <x:f>IFERROR(I321/ABS(J321),"")</x:f>
        <x:v>0.4348574653352003</x:v>
      </x:c>
      <x:c r="M321" s="41" t="n">
        <x:v>6.802475</x:v>
      </x:c>
      <x:c r="N321" s="41" t="n">
        <x:v>-56.473669</x:v>
      </x:c>
      <x:c r="O321" s="41" t="n">
        <x:v>506.057416</x:v>
      </x:c>
      <x:c r="P321" s="41" t="n">
        <x:f>IFERROR(M321/ABS(N321),"")</x:f>
        <x:v>0.12045392340278087</x:v>
      </x:c>
      <x:c r="Q321" s="41" t="str">
        <x:f>IF(L321&gt;=MAX(H321,P321),"Weekly",IF(H321&gt;=MAX(L321,P321),"No weekly","SPY"))</x:f>
        <x:v>Weekly</x:v>
      </x:c>
      <x:c r="R321" s="41" t="n">
        <x:f>IFERROR(L321-P321,"")</x:f>
        <x:v>0.31440354193241943</x:v>
      </x:c>
      <x:c r="S321" s="41" t="n">
        <x:f>IFERROR(H321-P321,"")</x:f>
        <x:v>0.2670710747065805</x:v>
      </x:c>
      <x:c r="T321" s="41" t="n">
        <x:f>IFERROR(I321-M321,"")</x:f>
        <x:v>6.761762999999999</x:v>
      </x:c>
      <x:c r="U321" s="41" t="n">
        <x:f>IFERROR(E321-M321,"")</x:f>
        <x:v>6.028673</x:v>
      </x:c>
      <x:c r="V321" s="41" t="str">
        <x:f>IF(AND(I321&gt;M321,J321&gt;N321),"Sí","No")</x:f>
        <x:v>Sí</x:v>
      </x:c>
      <x:c r="W321" s="41" t="str">
        <x:f>IF(AND(E321&gt;M321,F321&gt;N321),"Sí","No")</x:f>
        <x:v>Sí</x:v>
      </x:c>
      <x:c r="X321" s="41" t="str">
        <x:f>IF(L321&gt;=H321,"Weekly","No weekly")</x:f>
        <x:v>Weekly</x:v>
      </x:c>
      <x:c r="Y321" s="41" t="n">
        <x:f>IFERROR(I321-E321,"")</x:f>
        <x:v>0.7330899999999989</x:v>
      </x:c>
      <x:c r="Z321" s="41" t="n">
        <x:f>IFERROR(J321-F321,"")</x:f>
        <x:v>1.9181269999999984</x:v>
      </x:c>
      <x:c r="AA321" s="41" t="n">
        <x:v>12023</x:v>
      </x:c>
      <x:c r="AB321" s="41" t="n">
        <x:v>5561</x:v>
      </x:c>
    </x:row>
    <x:row r="322">
      <x:c r="A322" s="41" t="str">
        <x:v>HYP_REFINE_AUTO002_TOPN_6_V1_DDGRID_EXT_R12_C25_E75_CR33_REDD_RECOVERED_DD8_SL22</x:v>
      </x:c>
      <x:c r="B322" s="41" t="str">
        <x:v>dd_guard_grid</x:v>
      </x:c>
      <x:c r="C322" s="41" t="str">
        <x:v>1999-01-04</x:v>
      </x:c>
      <x:c r="D322" s="41" t="str">
        <x:v>2026-05-22</x:v>
      </x:c>
      <x:c r="E322" s="41" t="n">
        <x:v>12.356286</x:v>
      </x:c>
      <x:c r="F322" s="41" t="n">
        <x:v>-33.652612</x:v>
      </x:c>
      <x:c r="G322" s="41" t="n">
        <x:v>2328.178379</x:v>
      </x:c>
      <x:c r="H322" s="41" t="n">
        <x:f>IFERROR(E322/ABS(F322),"")</x:f>
        <x:v>0.36717167749118557</x:v>
      </x:c>
      <x:c r="I322" s="41" t="n">
        <x:v>11.838555</x:v>
      </x:c>
      <x:c r="J322" s="41" t="n">
        <x:v>-31.346454</x:v>
      </x:c>
      <x:c r="K322" s="41" t="n">
        <x:v>2039.754844</x:v>
      </x:c>
      <x:c r="L322" s="41" t="n">
        <x:f>IFERROR(I322/ABS(J322),"")</x:f>
        <x:v>0.3776680769059237</x:v>
      </x:c>
      <x:c r="M322" s="41" t="n">
        <x:v>6.802475</x:v>
      </x:c>
      <x:c r="N322" s="41" t="n">
        <x:v>-56.473669</x:v>
      </x:c>
      <x:c r="O322" s="41" t="n">
        <x:v>506.057416</x:v>
      </x:c>
      <x:c r="P322" s="41" t="n">
        <x:f>IFERROR(M322/ABS(N322),"")</x:f>
        <x:v>0.12045392340278087</x:v>
      </x:c>
      <x:c r="Q322" s="41" t="str">
        <x:f>IF(L322&gt;=MAX(H322,P322),"Weekly",IF(H322&gt;=MAX(L322,P322),"No weekly","SPY"))</x:f>
        <x:v>Weekly</x:v>
      </x:c>
      <x:c r="R322" s="41" t="n">
        <x:f>IFERROR(L322-P322,"")</x:f>
        <x:v>0.2572141535031428</x:v>
      </x:c>
      <x:c r="S322" s="41" t="n">
        <x:f>IFERROR(H322-P322,"")</x:f>
        <x:v>0.24671775408840468</x:v>
      </x:c>
      <x:c r="T322" s="41" t="n">
        <x:f>IFERROR(I322-M322,"")</x:f>
        <x:v>5.036079999999999</x:v>
      </x:c>
      <x:c r="U322" s="41" t="n">
        <x:f>IFERROR(E322-M322,"")</x:f>
        <x:v>5.5538110000000005</x:v>
      </x:c>
      <x:c r="V322" s="41" t="str">
        <x:f>IF(AND(I322&gt;M322,J322&gt;N322),"Sí","No")</x:f>
        <x:v>Sí</x:v>
      </x:c>
      <x:c r="W322" s="41" t="str">
        <x:f>IF(AND(E322&gt;M322,F322&gt;N322),"Sí","No")</x:f>
        <x:v>Sí</x:v>
      </x:c>
      <x:c r="X322" s="41" t="str">
        <x:f>IF(L322&gt;=H322,"Weekly","No weekly")</x:f>
        <x:v>Weekly</x:v>
      </x:c>
      <x:c r="Y322" s="41" t="n">
        <x:f>IFERROR(I322-E322,"")</x:f>
        <x:v>-0.5177310000000013</x:v>
      </x:c>
      <x:c r="Z322" s="41" t="n">
        <x:f>IFERROR(J322-F322,"")</x:f>
        <x:v>2.3061579999999964</x:v>
      </x:c>
      <x:c r="AA322" s="41" t="n">
        <x:v>12510</x:v>
      </x:c>
      <x:c r="AB322" s="41" t="n">
        <x:v>5710</x:v>
      </x:c>
    </x:row>
    <x:row r="323">
      <x:c r="A323" s="41" t="str">
        <x:v>HYP_REFINE_AUTO002_TOPN_6_V1_DDGRID_EXT_R12_C25_E75_CR33_REDD_RECOVERED_DD8_SL25</x:v>
      </x:c>
      <x:c r="B323" s="41" t="str">
        <x:v>dd_guard_grid</x:v>
      </x:c>
      <x:c r="C323" s="41" t="str">
        <x:v>1999-01-04</x:v>
      </x:c>
      <x:c r="D323" s="41" t="str">
        <x:v>2026-05-22</x:v>
      </x:c>
      <x:c r="E323" s="41" t="n">
        <x:v>11.574922</x:v>
      </x:c>
      <x:c r="F323" s="41" t="n">
        <x:v>-34.950342</x:v>
      </x:c>
      <x:c r="G323" s="41" t="n">
        <x:v>1905.868044</x:v>
      </x:c>
      <x:c r="H323" s="41" t="n">
        <x:f>IFERROR(E323/ABS(F323),"")</x:f>
        <x:v>0.33118193807660024</x:v>
      </x:c>
      <x:c r="I323" s="41" t="n">
        <x:v>11.929097</x:v>
      </x:c>
      <x:c r="J323" s="41" t="n">
        <x:v>-31.343269</x:v>
      </x:c>
      <x:c r="K323" s="41" t="n">
        <x:v>2087.692482</x:v>
      </x:c>
      <x:c r="L323" s="41" t="n">
        <x:f>IFERROR(I323/ABS(J323),"")</x:f>
        <x:v>0.3805951765911846</x:v>
      </x:c>
      <x:c r="M323" s="41" t="n">
        <x:v>6.802475</x:v>
      </x:c>
      <x:c r="N323" s="41" t="n">
        <x:v>-56.473669</x:v>
      </x:c>
      <x:c r="O323" s="41" t="n">
        <x:v>506.057416</x:v>
      </x:c>
      <x:c r="P323" s="41" t="n">
        <x:f>IFERROR(M323/ABS(N323),"")</x:f>
        <x:v>0.12045392340278087</x:v>
      </x:c>
      <x:c r="Q323" s="41" t="str">
        <x:f>IF(L323&gt;=MAX(H323,P323),"Weekly",IF(H323&gt;=MAX(L323,P323),"No weekly","SPY"))</x:f>
        <x:v>Weekly</x:v>
      </x:c>
      <x:c r="R323" s="41" t="n">
        <x:f>IFERROR(L323-P323,"")</x:f>
        <x:v>0.2601412531884037</x:v>
      </x:c>
      <x:c r="S323" s="41" t="n">
        <x:f>IFERROR(H323-P323,"")</x:f>
        <x:v>0.21072801467381935</x:v>
      </x:c>
      <x:c r="T323" s="41" t="n">
        <x:f>IFERROR(I323-M323,"")</x:f>
        <x:v>5.126622</x:v>
      </x:c>
      <x:c r="U323" s="41" t="n">
        <x:f>IFERROR(E323-M323,"")</x:f>
        <x:v>4.7724470000000005</x:v>
      </x:c>
      <x:c r="V323" s="41" t="str">
        <x:f>IF(AND(I323&gt;M323,J323&gt;N323),"Sí","No")</x:f>
        <x:v>Sí</x:v>
      </x:c>
      <x:c r="W323" s="41" t="str">
        <x:f>IF(AND(E323&gt;M323,F323&gt;N323),"Sí","No")</x:f>
        <x:v>Sí</x:v>
      </x:c>
      <x:c r="X323" s="41" t="str">
        <x:f>IF(L323&gt;=H323,"Weekly","No weekly")</x:f>
        <x:v>Weekly</x:v>
      </x:c>
      <x:c r="Y323" s="41" t="n">
        <x:f>IFERROR(I323-E323,"")</x:f>
        <x:v>0.3541749999999997</x:v>
      </x:c>
      <x:c r="Z323" s="41" t="n">
        <x:f>IFERROR(J323-F323,"")</x:f>
        <x:v>3.6070729999999998</x:v>
      </x:c>
      <x:c r="AA323" s="41" t="n">
        <x:v>12485</x:v>
      </x:c>
      <x:c r="AB323" s="41" t="n">
        <x:v>6416</x:v>
      </x:c>
    </x:row>
    <x:row r="324">
      <x:c r="A324" s="41" t="str">
        <x:v>HYP_REFINE_AUTO002_TOPN_6_V1_DDGRID_EXT_R12_C25_E75_CR33_REDD_RECOVERED_DD8_SLNONE</x:v>
      </x:c>
      <x:c r="B324" s="41" t="str">
        <x:v>dd_guard_grid</x:v>
      </x:c>
      <x:c r="C324" s="41" t="str">
        <x:v>1999-01-04</x:v>
      </x:c>
      <x:c r="D324" s="41" t="str">
        <x:v>2026-05-22</x:v>
      </x:c>
      <x:c r="E324" s="41" t="n">
        <x:v>12.230343</x:v>
      </x:c>
      <x:c r="F324" s="41" t="n">
        <x:v>-34.173543</x:v>
      </x:c>
      <x:c r="G324" s="41" t="n">
        <x:v>2254.751198</x:v>
      </x:c>
      <x:c r="H324" s="41" t="n">
        <x:f>IFERROR(E324/ABS(F324),"")</x:f>
        <x:v>0.35788923027384073</x:v>
      </x:c>
      <x:c r="I324" s="41" t="n">
        <x:v>11.928532</x:v>
      </x:c>
      <x:c r="J324" s="41" t="n">
        <x:v>-31.409936</x:v>
      </x:c>
      <x:c r="K324" s="41" t="n">
        <x:v>2087.390423</x:v>
      </x:c>
      <x:c r="L324" s="41" t="n">
        <x:f>IFERROR(I324/ABS(J324),"")</x:f>
        <x:v>0.3797693825291462</x:v>
      </x:c>
      <x:c r="M324" s="41" t="n">
        <x:v>6.802475</x:v>
      </x:c>
      <x:c r="N324" s="41" t="n">
        <x:v>-56.473669</x:v>
      </x:c>
      <x:c r="O324" s="41" t="n">
        <x:v>506.057416</x:v>
      </x:c>
      <x:c r="P324" s="41" t="n">
        <x:f>IFERROR(M324/ABS(N324),"")</x:f>
        <x:v>0.12045392340278087</x:v>
      </x:c>
      <x:c r="Q324" s="41" t="str">
        <x:f>IF(L324&gt;=MAX(H324,P324),"Weekly",IF(H324&gt;=MAX(L324,P324),"No weekly","SPY"))</x:f>
        <x:v>Weekly</x:v>
      </x:c>
      <x:c r="R324" s="41" t="n">
        <x:f>IFERROR(L324-P324,"")</x:f>
        <x:v>0.25931545912636533</x:v>
      </x:c>
      <x:c r="S324" s="41" t="n">
        <x:f>IFERROR(H324-P324,"")</x:f>
        <x:v>0.23743530687105985</x:v>
      </x:c>
      <x:c r="T324" s="41" t="n">
        <x:f>IFERROR(I324-M324,"")</x:f>
        <x:v>5.126057</x:v>
      </x:c>
      <x:c r="U324" s="41" t="n">
        <x:f>IFERROR(E324-M324,"")</x:f>
        <x:v>5.427867999999999</x:v>
      </x:c>
      <x:c r="V324" s="41" t="str">
        <x:f>IF(AND(I324&gt;M324,J324&gt;N324),"Sí","No")</x:f>
        <x:v>Sí</x:v>
      </x:c>
      <x:c r="W324" s="41" t="str">
        <x:f>IF(AND(E324&gt;M324,F324&gt;N324),"Sí","No")</x:f>
        <x:v>Sí</x:v>
      </x:c>
      <x:c r="X324" s="41" t="str">
        <x:f>IF(L324&gt;=H324,"Weekly","No weekly")</x:f>
        <x:v>Weekly</x:v>
      </x:c>
      <x:c r="Y324" s="41" t="n">
        <x:f>IFERROR(I324-E324,"")</x:f>
        <x:v>-0.30181099999999894</x:v>
      </x:c>
      <x:c r="Z324" s="41" t="n">
        <x:f>IFERROR(J324-F324,"")</x:f>
        <x:v>2.763607000000004</x:v>
      </x:c>
      <x:c r="AA324" s="41" t="n">
        <x:v>12531</x:v>
      </x:c>
      <x:c r="AB324" s="41" t="n">
        <x:v>6175</x:v>
      </x:c>
    </x:row>
    <x:row r="325">
      <x:c r="A325" s="41" t="str">
        <x:v>HYP_REFINE_AUTO002_TOPN_6_V1_DDGRID_EXT_R12_C25_E75_CR40_REDD_RECOVERED_DD10_SL18</x:v>
      </x:c>
      <x:c r="B325" s="41" t="str">
        <x:v>dd_guard_grid</x:v>
      </x:c>
      <x:c r="C325" s="41" t="str">
        <x:v>1999-01-04</x:v>
      </x:c>
      <x:c r="D325" s="41" t="str">
        <x:v>2026-05-22</x:v>
      </x:c>
      <x:c r="E325" s="41" t="n">
        <x:v>12.216308</x:v>
      </x:c>
      <x:c r="F325" s="41" t="n">
        <x:v>-34.692427</x:v>
      </x:c>
      <x:c r="G325" s="41" t="n">
        <x:v>2246.701919</x:v>
      </x:c>
      <x:c r="H325" s="41" t="n">
        <x:f>IFERROR(E325/ABS(F325),"")</x:f>
        <x:v>0.35213183557322175</x:v>
      </x:c>
      <x:c r="I325" s="41" t="n">
        <x:v>13.412592</x:v>
      </x:c>
      <x:c r="J325" s="41" t="n">
        <x:v>-30.288843</x:v>
      </x:c>
      <x:c r="K325" s="41" t="n">
        <x:v>3037.213962</x:v>
      </x:c>
      <x:c r="L325" s="41" t="n">
        <x:f>IFERROR(I325/ABS(J325),"")</x:f>
        <x:v>0.4428228572481293</x:v>
      </x:c>
      <x:c r="M325" s="41" t="n">
        <x:v>6.802475</x:v>
      </x:c>
      <x:c r="N325" s="41" t="n">
        <x:v>-56.473669</x:v>
      </x:c>
      <x:c r="O325" s="41" t="n">
        <x:v>506.057416</x:v>
      </x:c>
      <x:c r="P325" s="41" t="n">
        <x:f>IFERROR(M325/ABS(N325),"")</x:f>
        <x:v>0.12045392340278087</x:v>
      </x:c>
      <x:c r="Q325" s="41" t="str">
        <x:f>IF(L325&gt;=MAX(H325,P325),"Weekly",IF(H325&gt;=MAX(L325,P325),"No weekly","SPY"))</x:f>
        <x:v>Weekly</x:v>
      </x:c>
      <x:c r="R325" s="41" t="n">
        <x:f>IFERROR(L325-P325,"")</x:f>
        <x:v>0.3223689338453484</x:v>
      </x:c>
      <x:c r="S325" s="41" t="n">
        <x:f>IFERROR(H325-P325,"")</x:f>
        <x:v>0.23167791217044087</x:v>
      </x:c>
      <x:c r="T325" s="41" t="n">
        <x:f>IFERROR(I325-M325,"")</x:f>
        <x:v>6.610117</x:v>
      </x:c>
      <x:c r="U325" s="41" t="n">
        <x:f>IFERROR(E325-M325,"")</x:f>
        <x:v>5.4138329999999995</x:v>
      </x:c>
      <x:c r="V325" s="41" t="str">
        <x:f>IF(AND(I325&gt;M325,J325&gt;N325),"Sí","No")</x:f>
        <x:v>Sí</x:v>
      </x:c>
      <x:c r="W325" s="41" t="str">
        <x:f>IF(AND(E325&gt;M325,F325&gt;N325),"Sí","No")</x:f>
        <x:v>Sí</x:v>
      </x:c>
      <x:c r="X325" s="41" t="str">
        <x:f>IF(L325&gt;=H325,"Weekly","No weekly")</x:f>
        <x:v>Weekly</x:v>
      </x:c>
      <x:c r="Y325" s="41" t="n">
        <x:f>IFERROR(I325-E325,"")</x:f>
        <x:v>1.1962840000000003</x:v>
      </x:c>
      <x:c r="Z325" s="41" t="n">
        <x:f>IFERROR(J325-F325,"")</x:f>
        <x:v>4.403584000000002</x:v>
      </x:c>
      <x:c r="AA325" s="41" t="n">
        <x:v>10976</x:v>
      </x:c>
      <x:c r="AB325" s="41" t="n">
        <x:v>5324</x:v>
      </x:c>
    </x:row>
    <x:row r="326">
      <x:c r="A326" s="41" t="str">
        <x:v>HYP_REFINE_AUTO002_TOPN_6_V1_DDGRID_EXT_R12_C25_E75_CR40_REDD_RECOVERED_DD10_SL20</x:v>
      </x:c>
      <x:c r="B326" s="41" t="str">
        <x:v>dd_guard_grid</x:v>
      </x:c>
      <x:c r="C326" s="41" t="str">
        <x:v>1999-01-04</x:v>
      </x:c>
      <x:c r="D326" s="41" t="str">
        <x:v>2026-05-22</x:v>
      </x:c>
      <x:c r="E326" s="41" t="n">
        <x:v>12.904079</x:v>
      </x:c>
      <x:c r="F326" s="41" t="n">
        <x:v>-34.568769</x:v>
      </x:c>
      <x:c r="G326" s="41" t="n">
        <x:v>2674.029537</x:v>
      </x:c>
      <x:c r="H326" s="41" t="n">
        <x:f>IFERROR(E326/ABS(F326),"")</x:f>
        <x:v>0.3732872003628477</x:v>
      </x:c>
      <x:c r="I326" s="41" t="n">
        <x:v>13.761957</x:v>
      </x:c>
      <x:c r="J326" s="41" t="n">
        <x:v>-32.201421</x:v>
      </x:c>
      <x:c r="K326" s="41" t="n">
        <x:v>3312.838839</x:v>
      </x:c>
      <x:c r="L326" s="41" t="n">
        <x:f>IFERROR(I326/ABS(J326),"")</x:f>
        <x:v>0.42737110887125135</x:v>
      </x:c>
      <x:c r="M326" s="41" t="n">
        <x:v>6.802475</x:v>
      </x:c>
      <x:c r="N326" s="41" t="n">
        <x:v>-56.473669</x:v>
      </x:c>
      <x:c r="O326" s="41" t="n">
        <x:v>506.057416</x:v>
      </x:c>
      <x:c r="P326" s="41" t="n">
        <x:f>IFERROR(M326/ABS(N326),"")</x:f>
        <x:v>0.12045392340278087</x:v>
      </x:c>
      <x:c r="Q326" s="41" t="str">
        <x:f>IF(L326&gt;=MAX(H326,P326),"Weekly",IF(H326&gt;=MAX(L326,P326),"No weekly","SPY"))</x:f>
        <x:v>Weekly</x:v>
      </x:c>
      <x:c r="R326" s="41" t="n">
        <x:f>IFERROR(L326-P326,"")</x:f>
        <x:v>0.30691718546847047</x:v>
      </x:c>
      <x:c r="S326" s="41" t="n">
        <x:f>IFERROR(H326-P326,"")</x:f>
        <x:v>0.2528332769600668</x:v>
      </x:c>
      <x:c r="T326" s="41" t="n">
        <x:f>IFERROR(I326-M326,"")</x:f>
        <x:v>6.959482</x:v>
      </x:c>
      <x:c r="U326" s="41" t="n">
        <x:f>IFERROR(E326-M326,"")</x:f>
        <x:v>6.101603999999999</x:v>
      </x:c>
      <x:c r="V326" s="41" t="str">
        <x:f>IF(AND(I326&gt;M326,J326&gt;N326),"Sí","No")</x:f>
        <x:v>Sí</x:v>
      </x:c>
      <x:c r="W326" s="41" t="str">
        <x:f>IF(AND(E326&gt;M326,F326&gt;N326),"Sí","No")</x:f>
        <x:v>Sí</x:v>
      </x:c>
      <x:c r="X326" s="41" t="str">
        <x:f>IF(L326&gt;=H326,"Weekly","No weekly")</x:f>
        <x:v>Weekly</x:v>
      </x:c>
      <x:c r="Y326" s="41" t="n">
        <x:f>IFERROR(I326-E326,"")</x:f>
        <x:v>0.8578780000000013</x:v>
      </x:c>
      <x:c r="Z326" s="41" t="n">
        <x:f>IFERROR(J326-F326,"")</x:f>
        <x:v>2.367348</x:v>
      </x:c>
      <x:c r="AA326" s="41" t="n">
        <x:v>11653</x:v>
      </x:c>
      <x:c r="AB326" s="41" t="n">
        <x:v>5186</x:v>
      </x:c>
    </x:row>
    <x:row r="327">
      <x:c r="A327" s="41" t="str">
        <x:v>HYP_REFINE_AUTO002_TOPN_6_V1_DDGRID_EXT_R12_C25_E75_CR40_REDD_RECOVERED_DD10_SL22</x:v>
      </x:c>
      <x:c r="B327" s="41" t="str">
        <x:v>dd_guard_grid</x:v>
      </x:c>
      <x:c r="C327" s="41" t="str">
        <x:v>1999-01-04</x:v>
      </x:c>
      <x:c r="D327" s="41" t="str">
        <x:v>2026-05-22</x:v>
      </x:c>
      <x:c r="E327" s="41" t="n">
        <x:v>12.690146</x:v>
      </x:c>
      <x:c r="F327" s="41" t="n">
        <x:v>-35.145331</x:v>
      </x:c>
      <x:c r="G327" s="41" t="n">
        <x:v>2533.659494</x:v>
      </x:c>
      <x:c r="H327" s="41" t="n">
        <x:f>IFERROR(E327/ABS(F327),"")</x:f>
        <x:v>0.3610762977307</x:v>
      </x:c>
      <x:c r="I327" s="41" t="n">
        <x:v>12.746137</x:v>
      </x:c>
      <x:c r="J327" s="41" t="n">
        <x:v>-30.285954</x:v>
      </x:c>
      <x:c r="K327" s="41" t="n">
        <x:v>2569.721827</x:v>
      </x:c>
      <x:c r="L327" s="41" t="n">
        <x:f>IFERROR(I327/ABS(J327),"")</x:f>
        <x:v>0.4208596830068486</x:v>
      </x:c>
      <x:c r="M327" s="41" t="n">
        <x:v>6.802475</x:v>
      </x:c>
      <x:c r="N327" s="41" t="n">
        <x:v>-56.473669</x:v>
      </x:c>
      <x:c r="O327" s="41" t="n">
        <x:v>506.057416</x:v>
      </x:c>
      <x:c r="P327" s="41" t="n">
        <x:f>IFERROR(M327/ABS(N327),"")</x:f>
        <x:v>0.12045392340278087</x:v>
      </x:c>
      <x:c r="Q327" s="41" t="str">
        <x:f>IF(L327&gt;=MAX(H327,P327),"Weekly",IF(H327&gt;=MAX(L327,P327),"No weekly","SPY"))</x:f>
        <x:v>Weekly</x:v>
      </x:c>
      <x:c r="R327" s="41" t="n">
        <x:f>IFERROR(L327-P327,"")</x:f>
        <x:v>0.30040575960406773</x:v>
      </x:c>
      <x:c r="S327" s="41" t="n">
        <x:f>IFERROR(H327-P327,"")</x:f>
        <x:v>0.2406223743279191</x:v>
      </x:c>
      <x:c r="T327" s="41" t="n">
        <x:f>IFERROR(I327-M327,"")</x:f>
        <x:v>5.943661999999999</x:v>
      </x:c>
      <x:c r="U327" s="41" t="n">
        <x:f>IFERROR(E327-M327,"")</x:f>
        <x:v>5.887671</x:v>
      </x:c>
      <x:c r="V327" s="41" t="str">
        <x:f>IF(AND(I327&gt;M327,J327&gt;N327),"Sí","No")</x:f>
        <x:v>Sí</x:v>
      </x:c>
      <x:c r="W327" s="41" t="str">
        <x:f>IF(AND(E327&gt;M327,F327&gt;N327),"Sí","No")</x:f>
        <x:v>Sí</x:v>
      </x:c>
      <x:c r="X327" s="41" t="str">
        <x:f>IF(L327&gt;=H327,"Weekly","No weekly")</x:f>
        <x:v>Weekly</x:v>
      </x:c>
      <x:c r="Y327" s="41" t="n">
        <x:f>IFERROR(I327-E327,"")</x:f>
        <x:v>0.05599099999999879</x:v>
      </x:c>
      <x:c r="Z327" s="41" t="n">
        <x:f>IFERROR(J327-F327,"")</x:f>
        <x:v>4.8593769999999985</x:v>
      </x:c>
      <x:c r="AA327" s="41" t="n">
        <x:v>11350</x:v>
      </x:c>
      <x:c r="AB327" s="41" t="n">
        <x:v>5299</x:v>
      </x:c>
    </x:row>
    <x:row r="328">
      <x:c r="A328" s="41" t="str">
        <x:v>HYP_REFINE_AUTO002_TOPN_6_V1_DDGRID_EXT_R12_C25_E75_CR40_REDD_RECOVERED_DD10_SL25</x:v>
      </x:c>
      <x:c r="B328" s="41" t="str">
        <x:v>dd_guard_grid</x:v>
      </x:c>
      <x:c r="C328" s="41" t="str">
        <x:v>1999-01-04</x:v>
      </x:c>
      <x:c r="D328" s="41" t="str">
        <x:v>2026-05-22</x:v>
      </x:c>
      <x:c r="E328" s="41" t="n">
        <x:v>12.502864</x:v>
      </x:c>
      <x:c r="F328" s="41" t="n">
        <x:v>-35.743972</x:v>
      </x:c>
      <x:c r="G328" s="41" t="n">
        <x:v>2416.416108</x:v>
      </x:c>
      <x:c r="H328" s="41" t="n">
        <x:f>IFERROR(E328/ABS(F328),"")</x:f>
        <x:v>0.34978944141966095</x:v>
      </x:c>
      <x:c r="I328" s="41" t="n">
        <x:v>13.724503</x:v>
      </x:c>
      <x:c r="J328" s="41" t="n">
        <x:v>-30.267054</x:v>
      </x:c>
      <x:c r="K328" s="41" t="n">
        <x:v>3282.209076</x:v>
      </x:c>
      <x:c r="L328" s="41" t="n">
        <x:f>IFERROR(I328/ABS(J328),"")</x:f>
        <x:v>0.45344693936846314</x:v>
      </x:c>
      <x:c r="M328" s="41" t="n">
        <x:v>6.802475</x:v>
      </x:c>
      <x:c r="N328" s="41" t="n">
        <x:v>-56.473669</x:v>
      </x:c>
      <x:c r="O328" s="41" t="n">
        <x:v>506.057416</x:v>
      </x:c>
      <x:c r="P328" s="41" t="n">
        <x:f>IFERROR(M328/ABS(N328),"")</x:f>
        <x:v>0.12045392340278087</x:v>
      </x:c>
      <x:c r="Q328" s="41" t="str">
        <x:f>IF(L328&gt;=MAX(H328,P328),"Weekly",IF(H328&gt;=MAX(L328,P328),"No weekly","SPY"))</x:f>
        <x:v>Weekly</x:v>
      </x:c>
      <x:c r="R328" s="41" t="n">
        <x:f>IFERROR(L328-P328,"")</x:f>
        <x:v>0.33299301596568226</x:v>
      </x:c>
      <x:c r="S328" s="41" t="n">
        <x:f>IFERROR(H328-P328,"")</x:f>
        <x:v>0.22933551801688007</x:v>
      </x:c>
      <x:c r="T328" s="41" t="n">
        <x:f>IFERROR(I328-M328,"")</x:f>
        <x:v>6.922028</x:v>
      </x:c>
      <x:c r="U328" s="41" t="n">
        <x:f>IFERROR(E328-M328,"")</x:f>
        <x:v>5.700389</x:v>
      </x:c>
      <x:c r="V328" s="41" t="str">
        <x:f>IF(AND(I328&gt;M328,J328&gt;N328),"Sí","No")</x:f>
        <x:v>Sí</x:v>
      </x:c>
      <x:c r="W328" s="41" t="str">
        <x:f>IF(AND(E328&gt;M328,F328&gt;N328),"Sí","No")</x:f>
        <x:v>Sí</x:v>
      </x:c>
      <x:c r="X328" s="41" t="str">
        <x:f>IF(L328&gt;=H328,"Weekly","No weekly")</x:f>
        <x:v>Weekly</x:v>
      </x:c>
      <x:c r="Y328" s="41" t="n">
        <x:f>IFERROR(I328-E328,"")</x:f>
        <x:v>1.2216389999999997</x:v>
      </x:c>
      <x:c r="Z328" s="41" t="n">
        <x:f>IFERROR(J328-F328,"")</x:f>
        <x:v>5.476917999999998</x:v>
      </x:c>
      <x:c r="AA328" s="41" t="n">
        <x:v>11387</x:v>
      </x:c>
      <x:c r="AB328" s="41" t="n">
        <x:v>5564</x:v>
      </x:c>
    </x:row>
    <x:row r="329">
      <x:c r="A329" s="41" t="str">
        <x:v>HYP_REFINE_AUTO002_TOPN_6_V1_DDGRID_EXT_R12_C25_E75_CR40_REDD_RECOVERED_DD10_SLNONE</x:v>
      </x:c>
      <x:c r="B329" s="41" t="str">
        <x:v>dd_guard_grid</x:v>
      </x:c>
      <x:c r="C329" s="41" t="str">
        <x:v>1999-01-04</x:v>
      </x:c>
      <x:c r="D329" s="41" t="str">
        <x:v>2026-05-22</x:v>
      </x:c>
      <x:c r="E329" s="41" t="n">
        <x:v>12.323097</x:v>
      </x:c>
      <x:c r="F329" s="41" t="n">
        <x:v>-36.064332</x:v>
      </x:c>
      <x:c r="G329" s="41" t="n">
        <x:v>2308.617567</x:v>
      </x:c>
      <x:c r="H329" s="41" t="n">
        <x:f>IFERROR(E329/ABS(F329),"")</x:f>
        <x:v>0.3416976363238892</x:v>
      </x:c>
      <x:c r="I329" s="41" t="n">
        <x:v>13.775915</x:v>
      </x:c>
      <x:c r="J329" s="41" t="n">
        <x:v>-29.9418</x:v>
      </x:c>
      <x:c r="K329" s="41" t="n">
        <x:v>3324.321751</x:v>
      </x:c>
      <x:c r="L329" s="41" t="n">
        <x:f>IFERROR(I329/ABS(J329),"")</x:f>
        <x:v>0.4600897407637483</x:v>
      </x:c>
      <x:c r="M329" s="41" t="n">
        <x:v>6.802475</x:v>
      </x:c>
      <x:c r="N329" s="41" t="n">
        <x:v>-56.473669</x:v>
      </x:c>
      <x:c r="O329" s="41" t="n">
        <x:v>506.057416</x:v>
      </x:c>
      <x:c r="P329" s="41" t="n">
        <x:f>IFERROR(M329/ABS(N329),"")</x:f>
        <x:v>0.12045392340278087</x:v>
      </x:c>
      <x:c r="Q329" s="41" t="str">
        <x:f>IF(L329&gt;=MAX(H329,P329),"Weekly",IF(H329&gt;=MAX(L329,P329),"No weekly","SPY"))</x:f>
        <x:v>Weekly</x:v>
      </x:c>
      <x:c r="R329" s="41" t="n">
        <x:f>IFERROR(L329-P329,"")</x:f>
        <x:v>0.33963581736096743</x:v>
      </x:c>
      <x:c r="S329" s="41" t="n">
        <x:f>IFERROR(H329-P329,"")</x:f>
        <x:v>0.22124371292110834</x:v>
      </x:c>
      <x:c r="T329" s="41" t="n">
        <x:f>IFERROR(I329-M329,"")</x:f>
        <x:v>6.973439999999999</x:v>
      </x:c>
      <x:c r="U329" s="41" t="n">
        <x:f>IFERROR(E329-M329,"")</x:f>
        <x:v>5.520622</x:v>
      </x:c>
      <x:c r="V329" s="41" t="str">
        <x:f>IF(AND(I329&gt;M329,J329&gt;N329),"Sí","No")</x:f>
        <x:v>Sí</x:v>
      </x:c>
      <x:c r="W329" s="41" t="str">
        <x:f>IF(AND(E329&gt;M329,F329&gt;N329),"Sí","No")</x:f>
        <x:v>Sí</x:v>
      </x:c>
      <x:c r="X329" s="41" t="str">
        <x:f>IF(L329&gt;=H329,"Weekly","No weekly")</x:f>
        <x:v>Weekly</x:v>
      </x:c>
      <x:c r="Y329" s="41" t="n">
        <x:f>IFERROR(I329-E329,"")</x:f>
        <x:v>1.4528179999999988</x:v>
      </x:c>
      <x:c r="Z329" s="41" t="n">
        <x:f>IFERROR(J329-F329,"")</x:f>
        <x:v>6.122532</x:v>
      </x:c>
      <x:c r="AA329" s="41" t="n">
        <x:v>11359</x:v>
      </x:c>
      <x:c r="AB329" s="41" t="n">
        <x:v>5854</x:v>
      </x:c>
    </x:row>
    <x:row r="330">
      <x:c r="A330" s="41" t="str">
        <x:v>HYP_REFINE_AUTO002_TOPN_6_V1_DDGRID_EXT_R12_C25_E75_CR40_REDD_RECOVERED_DD12_SL20</x:v>
      </x:c>
      <x:c r="B330" s="41" t="str">
        <x:v>dd_guard_grid</x:v>
      </x:c>
      <x:c r="C330" s="41" t="str">
        <x:v>1999-01-04</x:v>
      </x:c>
      <x:c r="D330" s="41" t="str">
        <x:v>2026-05-22</x:v>
      </x:c>
      <x:c r="E330" s="41" t="n">
        <x:v>13.209556</x:v>
      </x:c>
      <x:c r="F330" s="41" t="n">
        <x:v>-34.568769</x:v>
      </x:c>
      <x:c r="G330" s="41" t="n">
        <x:v>2887.022895</x:v>
      </x:c>
      <x:c r="H330" s="41" t="n">
        <x:f>IFERROR(E330/ABS(F330),"")</x:f>
        <x:v>0.38212399174526573</x:v>
      </x:c>
      <x:c r="I330" s="41" t="n">
        <x:v>13.448727</x:v>
      </x:c>
      <x:c r="J330" s="41" t="n">
        <x:v>-32.201421</x:v>
      </x:c>
      <x:c r="K330" s="41" t="n">
        <x:v>3064.695901</x:v>
      </x:c>
      <x:c r="L330" s="41" t="n">
        <x:f>IFERROR(I330/ABS(J330),"")</x:f>
        <x:v>0.41764389838572646</x:v>
      </x:c>
      <x:c r="M330" s="41" t="n">
        <x:v>6.802475</x:v>
      </x:c>
      <x:c r="N330" s="41" t="n">
        <x:v>-56.473669</x:v>
      </x:c>
      <x:c r="O330" s="41" t="n">
        <x:v>506.057416</x:v>
      </x:c>
      <x:c r="P330" s="41" t="n">
        <x:f>IFERROR(M330/ABS(N330),"")</x:f>
        <x:v>0.12045392340278087</x:v>
      </x:c>
      <x:c r="Q330" s="41" t="str">
        <x:f>IF(L330&gt;=MAX(H330,P330),"Weekly",IF(H330&gt;=MAX(L330,P330),"No weekly","SPY"))</x:f>
        <x:v>Weekly</x:v>
      </x:c>
      <x:c r="R330" s="41" t="n">
        <x:f>IFERROR(L330-P330,"")</x:f>
        <x:v>0.2971899749829456</x:v>
      </x:c>
      <x:c r="S330" s="41" t="n">
        <x:f>IFERROR(H330-P330,"")</x:f>
        <x:v>0.26167006834248485</x:v>
      </x:c>
      <x:c r="T330" s="41" t="n">
        <x:f>IFERROR(I330-M330,"")</x:f>
        <x:v>6.646252</x:v>
      </x:c>
      <x:c r="U330" s="41" t="n">
        <x:f>IFERROR(E330-M330,"")</x:f>
        <x:v>6.407080999999999</x:v>
      </x:c>
      <x:c r="V330" s="41" t="str">
        <x:f>IF(AND(I330&gt;M330,J330&gt;N330),"Sí","No")</x:f>
        <x:v>Sí</x:v>
      </x:c>
      <x:c r="W330" s="41" t="str">
        <x:f>IF(AND(E330&gt;M330,F330&gt;N330),"Sí","No")</x:f>
        <x:v>Sí</x:v>
      </x:c>
      <x:c r="X330" s="41" t="str">
        <x:f>IF(L330&gt;=H330,"Weekly","No weekly")</x:f>
        <x:v>Weekly</x:v>
      </x:c>
      <x:c r="Y330" s="41" t="n">
        <x:f>IFERROR(I330-E330,"")</x:f>
        <x:v>0.2391710000000007</x:v>
      </x:c>
      <x:c r="Z330" s="41" t="n">
        <x:f>IFERROR(J330-F330,"")</x:f>
        <x:v>2.367348</x:v>
      </x:c>
      <x:c r="AA330" s="41" t="n">
        <x:v>11245</x:v>
      </x:c>
      <x:c r="AB330" s="41" t="n">
        <x:v>4784</x:v>
      </x:c>
    </x:row>
    <x:row r="331">
      <x:c r="A331" s="41" t="str">
        <x:v>HYP_REFINE_AUTO002_TOPN_6_V1_DDGRID_EXT_R12_C25_E75_CR40_REDD_RECOVERED_DD6_SL18</x:v>
      </x:c>
      <x:c r="B331" s="41" t="str">
        <x:v>dd_guard_grid</x:v>
      </x:c>
      <x:c r="C331" s="41" t="str">
        <x:v>1999-01-04</x:v>
      </x:c>
      <x:c r="D331" s="41" t="str">
        <x:v>2026-05-22</x:v>
      </x:c>
      <x:c r="E331" s="41" t="n">
        <x:v>12.68719</x:v>
      </x:c>
      <x:c r="F331" s="41" t="n">
        <x:v>-34.692427</x:v>
      </x:c>
      <x:c r="G331" s="41" t="n">
        <x:v>2531.769258</x:v>
      </x:c>
      <x:c r="H331" s="41" t="n">
        <x:f>IFERROR(E331/ABS(F331),"")</x:f>
        <x:v>0.36570488423885705</x:v>
      </x:c>
      <x:c r="I331" s="41" t="n">
        <x:v>13.355363</x:v>
      </x:c>
      <x:c r="J331" s="41" t="n">
        <x:v>-30.288843</x:v>
      </x:c>
      <x:c r="K331" s="41" t="n">
        <x:v>2994.159401</x:v>
      </x:c>
      <x:c r="L331" s="41" t="n">
        <x:f>IFERROR(I331/ABS(J331),"")</x:f>
        <x:v>0.4409334156474713</x:v>
      </x:c>
      <x:c r="M331" s="41" t="n">
        <x:v>6.802475</x:v>
      </x:c>
      <x:c r="N331" s="41" t="n">
        <x:v>-56.473669</x:v>
      </x:c>
      <x:c r="O331" s="41" t="n">
        <x:v>506.057416</x:v>
      </x:c>
      <x:c r="P331" s="41" t="n">
        <x:f>IFERROR(M331/ABS(N331),"")</x:f>
        <x:v>0.12045392340278087</x:v>
      </x:c>
      <x:c r="Q331" s="41" t="str">
        <x:f>IF(L331&gt;=MAX(H331,P331),"Weekly",IF(H331&gt;=MAX(L331,P331),"No weekly","SPY"))</x:f>
        <x:v>Weekly</x:v>
      </x:c>
      <x:c r="R331" s="41" t="n">
        <x:f>IFERROR(L331-P331,"")</x:f>
        <x:v>0.3204794922446904</x:v>
      </x:c>
      <x:c r="S331" s="41" t="n">
        <x:f>IFERROR(H331-P331,"")</x:f>
        <x:v>0.24525096083607617</x:v>
      </x:c>
      <x:c r="T331" s="41" t="n">
        <x:f>IFERROR(I331-M331,"")</x:f>
        <x:v>6.552888</x:v>
      </x:c>
      <x:c r="U331" s="41" t="n">
        <x:f>IFERROR(E331-M331,"")</x:f>
        <x:v>5.884714999999999</x:v>
      </x:c>
      <x:c r="V331" s="41" t="str">
        <x:f>IF(AND(I331&gt;M331,J331&gt;N331),"Sí","No")</x:f>
        <x:v>Sí</x:v>
      </x:c>
      <x:c r="W331" s="41" t="str">
        <x:f>IF(AND(E331&gt;M331,F331&gt;N331),"Sí","No")</x:f>
        <x:v>Sí</x:v>
      </x:c>
      <x:c r="X331" s="41" t="str">
        <x:f>IF(L331&gt;=H331,"Weekly","No weekly")</x:f>
        <x:v>Weekly</x:v>
      </x:c>
      <x:c r="Y331" s="41" t="n">
        <x:f>IFERROR(I331-E331,"")</x:f>
        <x:v>0.6681730000000012</x:v>
      </x:c>
      <x:c r="Z331" s="41" t="n">
        <x:f>IFERROR(J331-F331,"")</x:f>
        <x:v>4.403584000000002</x:v>
      </x:c>
      <x:c r="AA331" s="41" t="n">
        <x:v>11797</x:v>
      </x:c>
      <x:c r="AB331" s="41" t="n">
        <x:v>5383</x:v>
      </x:c>
    </x:row>
    <x:row r="332">
      <x:c r="A332" s="41" t="str">
        <x:v>HYP_REFINE_AUTO002_TOPN_6_V1_DDGRID_EXT_R12_C25_E75_CR40_REDD_RECOVERED_DD6_SL20</x:v>
      </x:c>
      <x:c r="B332" s="41" t="str">
        <x:v>dd_guard_grid</x:v>
      </x:c>
      <x:c r="C332" s="41" t="str">
        <x:v>1999-01-04</x:v>
      </x:c>
      <x:c r="D332" s="41" t="str">
        <x:v>2026-05-22</x:v>
      </x:c>
      <x:c r="E332" s="41" t="n">
        <x:v>13.061246</x:v>
      </x:c>
      <x:c r="F332" s="41" t="n">
        <x:v>-34.568769</x:v>
      </x:c>
      <x:c r="G332" s="41" t="n">
        <x:v>2781.717581</x:v>
      </x:c>
      <x:c r="H332" s="41" t="n">
        <x:f>IFERROR(E332/ABS(F332),"")</x:f>
        <x:v>0.37783370301673164</x:v>
      </x:c>
      <x:c r="I332" s="41" t="n">
        <x:v>13.240584</x:v>
      </x:c>
      <x:c r="J332" s="41" t="n">
        <x:v>-32.201421</x:v>
      </x:c>
      <x:c r="K332" s="41" t="n">
        <x:v>2909.517882</x:v>
      </x:c>
      <x:c r="L332" s="41" t="n">
        <x:f>IFERROR(I332/ABS(J332),"")</x:f>
        <x:v>0.4111801153123025</x:v>
      </x:c>
      <x:c r="M332" s="41" t="n">
        <x:v>6.802475</x:v>
      </x:c>
      <x:c r="N332" s="41" t="n">
        <x:v>-56.473669</x:v>
      </x:c>
      <x:c r="O332" s="41" t="n">
        <x:v>506.057416</x:v>
      </x:c>
      <x:c r="P332" s="41" t="n">
        <x:f>IFERROR(M332/ABS(N332),"")</x:f>
        <x:v>0.12045392340278087</x:v>
      </x:c>
      <x:c r="Q332" s="41" t="str">
        <x:f>IF(L332&gt;=MAX(H332,P332),"Weekly",IF(H332&gt;=MAX(L332,P332),"No weekly","SPY"))</x:f>
        <x:v>Weekly</x:v>
      </x:c>
      <x:c r="R332" s="41" t="n">
        <x:f>IFERROR(L332-P332,"")</x:f>
        <x:v>0.2907261919095216</x:v>
      </x:c>
      <x:c r="S332" s="41" t="n">
        <x:f>IFERROR(H332-P332,"")</x:f>
        <x:v>0.25737977961395075</x:v>
      </x:c>
      <x:c r="T332" s="41" t="n">
        <x:f>IFERROR(I332-M332,"")</x:f>
        <x:v>6.438109</x:v>
      </x:c>
      <x:c r="U332" s="41" t="n">
        <x:f>IFERROR(E332-M332,"")</x:f>
        <x:v>6.258771</x:v>
      </x:c>
      <x:c r="V332" s="41" t="str">
        <x:f>IF(AND(I332&gt;M332,J332&gt;N332),"Sí","No")</x:f>
        <x:v>Sí</x:v>
      </x:c>
      <x:c r="W332" s="41" t="str">
        <x:f>IF(AND(E332&gt;M332,F332&gt;N332),"Sí","No")</x:f>
        <x:v>Sí</x:v>
      </x:c>
      <x:c r="X332" s="41" t="str">
        <x:f>IF(L332&gt;=H332,"Weekly","No weekly")</x:f>
        <x:v>Weekly</x:v>
      </x:c>
      <x:c r="Y332" s="41" t="n">
        <x:f>IFERROR(I332-E332,"")</x:f>
        <x:v>0.17933799999999955</x:v>
      </x:c>
      <x:c r="Z332" s="41" t="n">
        <x:f>IFERROR(J332-F332,"")</x:f>
        <x:v>2.367348</x:v>
      </x:c>
      <x:c r="AA332" s="41" t="n">
        <x:v>12395</x:v>
      </x:c>
      <x:c r="AB332" s="41" t="n">
        <x:v>5812</x:v>
      </x:c>
    </x:row>
    <x:row r="333">
      <x:c r="A333" s="41" t="str">
        <x:v>HYP_REFINE_AUTO002_TOPN_6_V1_DDGRID_EXT_R12_C25_E75_CR40_REDD_RECOVERED_DD6_SL22</x:v>
      </x:c>
      <x:c r="B333" s="41" t="str">
        <x:v>dd_guard_grid</x:v>
      </x:c>
      <x:c r="C333" s="41" t="str">
        <x:v>1999-01-04</x:v>
      </x:c>
      <x:c r="D333" s="41" t="str">
        <x:v>2026-05-22</x:v>
      </x:c>
      <x:c r="E333" s="41" t="n">
        <x:v>12.564494</x:v>
      </x:c>
      <x:c r="F333" s="41" t="n">
        <x:v>-35.145331</x:v>
      </x:c>
      <x:c r="G333" s="41" t="n">
        <x:v>2454.431826</x:v>
      </x:c>
      <x:c r="H333" s="41" t="n">
        <x:f>IFERROR(E333/ABS(F333),"")</x:f>
        <x:v>0.35750108599062563</x:v>
      </x:c>
      <x:c r="I333" s="41" t="n">
        <x:v>12.889141</x:v>
      </x:c>
      <x:c r="J333" s="41" t="n">
        <x:v>-30.285954</x:v>
      </x:c>
      <x:c r="K333" s="41" t="n">
        <x:v>2663.99853</x:v>
      </x:c>
      <x:c r="L333" s="41" t="n">
        <x:f>IFERROR(I333/ABS(J333),"")</x:f>
        <x:v>0.4255814758220923</x:v>
      </x:c>
      <x:c r="M333" s="41" t="n">
        <x:v>6.802475</x:v>
      </x:c>
      <x:c r="N333" s="41" t="n">
        <x:v>-56.473669</x:v>
      </x:c>
      <x:c r="O333" s="41" t="n">
        <x:v>506.057416</x:v>
      </x:c>
      <x:c r="P333" s="41" t="n">
        <x:f>IFERROR(M333/ABS(N333),"")</x:f>
        <x:v>0.12045392340278087</x:v>
      </x:c>
      <x:c r="Q333" s="41" t="str">
        <x:f>IF(L333&gt;=MAX(H333,P333),"Weekly",IF(H333&gt;=MAX(L333,P333),"No weekly","SPY"))</x:f>
        <x:v>Weekly</x:v>
      </x:c>
      <x:c r="R333" s="41" t="n">
        <x:f>IFERROR(L333-P333,"")</x:f>
        <x:v>0.30512755241931144</x:v>
      </x:c>
      <x:c r="S333" s="41" t="n">
        <x:f>IFERROR(H333-P333,"")</x:f>
        <x:v>0.23704716258784475</x:v>
      </x:c>
      <x:c r="T333" s="41" t="n">
        <x:f>IFERROR(I333-M333,"")</x:f>
        <x:v>6.086666</x:v>
      </x:c>
      <x:c r="U333" s="41" t="n">
        <x:f>IFERROR(E333-M333,"")</x:f>
        <x:v>5.762019</x:v>
      </x:c>
      <x:c r="V333" s="41" t="str">
        <x:f>IF(AND(I333&gt;M333,J333&gt;N333),"Sí","No")</x:f>
        <x:v>Sí</x:v>
      </x:c>
      <x:c r="W333" s="41" t="str">
        <x:f>IF(AND(E333&gt;M333,F333&gt;N333),"Sí","No")</x:f>
        <x:v>Sí</x:v>
      </x:c>
      <x:c r="X333" s="41" t="str">
        <x:f>IF(L333&gt;=H333,"Weekly","No weekly")</x:f>
        <x:v>Weekly</x:v>
      </x:c>
      <x:c r="Y333" s="41" t="n">
        <x:f>IFERROR(I333-E333,"")</x:f>
        <x:v>0.3246470000000006</x:v>
      </x:c>
      <x:c r="Z333" s="41" t="n">
        <x:f>IFERROR(J333-F333,"")</x:f>
        <x:v>4.8593769999999985</x:v>
      </x:c>
      <x:c r="AA333" s="41" t="n">
        <x:v>12187</x:v>
      </x:c>
      <x:c r="AB333" s="41" t="n">
        <x:v>5924</x:v>
      </x:c>
    </x:row>
    <x:row r="334">
      <x:c r="A334" s="41" t="str">
        <x:v>HYP_REFINE_AUTO002_TOPN_6_V1_DDGRID_EXT_R12_C25_E75_CR40_REDD_RECOVERED_DD6_SL25</x:v>
      </x:c>
      <x:c r="B334" s="41" t="str">
        <x:v>dd_guard_grid</x:v>
      </x:c>
      <x:c r="C334" s="41" t="str">
        <x:v>1999-01-04</x:v>
      </x:c>
      <x:c r="D334" s="41" t="str">
        <x:v>2026-05-22</x:v>
      </x:c>
      <x:c r="E334" s="41" t="n">
        <x:v>12.642276</x:v>
      </x:c>
      <x:c r="F334" s="41" t="n">
        <x:v>-35.743972</x:v>
      </x:c>
      <x:c r="G334" s="41" t="n">
        <x:v>2503.200459</x:v>
      </x:c>
      <x:c r="H334" s="41" t="n">
        <x:f>IFERROR(E334/ABS(F334),"")</x:f>
        <x:v>0.35368973543287247</x:v>
      </x:c>
      <x:c r="I334" s="41" t="n">
        <x:v>13.041644</x:v>
      </x:c>
      <x:c r="J334" s="41" t="n">
        <x:v>-30.267054</x:v>
      </x:c>
      <x:c r="K334" s="41" t="n">
        <x:v>2768.07021</x:v>
      </x:c>
      <x:c r="L334" s="41" t="n">
        <x:f>IFERROR(I334/ABS(J334),"")</x:f>
        <x:v>0.43088580738647375</x:v>
      </x:c>
      <x:c r="M334" s="41" t="n">
        <x:v>6.802475</x:v>
      </x:c>
      <x:c r="N334" s="41" t="n">
        <x:v>-56.473669</x:v>
      </x:c>
      <x:c r="O334" s="41" t="n">
        <x:v>506.057416</x:v>
      </x:c>
      <x:c r="P334" s="41" t="n">
        <x:f>IFERROR(M334/ABS(N334),"")</x:f>
        <x:v>0.12045392340278087</x:v>
      </x:c>
      <x:c r="Q334" s="41" t="str">
        <x:f>IF(L334&gt;=MAX(H334,P334),"Weekly",IF(H334&gt;=MAX(L334,P334),"No weekly","SPY"))</x:f>
        <x:v>Weekly</x:v>
      </x:c>
      <x:c r="R334" s="41" t="n">
        <x:f>IFERROR(L334-P334,"")</x:f>
        <x:v>0.31043188398369287</x:v>
      </x:c>
      <x:c r="S334" s="41" t="n">
        <x:f>IFERROR(H334-P334,"")</x:f>
        <x:v>0.23323581203009158</x:v>
      </x:c>
      <x:c r="T334" s="41" t="n">
        <x:f>IFERROR(I334-M334,"")</x:f>
        <x:v>6.2391689999999995</x:v>
      </x:c>
      <x:c r="U334" s="41" t="n">
        <x:f>IFERROR(E334-M334,"")</x:f>
        <x:v>5.8398010000000005</x:v>
      </x:c>
      <x:c r="V334" s="41" t="str">
        <x:f>IF(AND(I334&gt;M334,J334&gt;N334),"Sí","No")</x:f>
        <x:v>Sí</x:v>
      </x:c>
      <x:c r="W334" s="41" t="str">
        <x:f>IF(AND(E334&gt;M334,F334&gt;N334),"Sí","No")</x:f>
        <x:v>Sí</x:v>
      </x:c>
      <x:c r="X334" s="41" t="str">
        <x:f>IF(L334&gt;=H334,"Weekly","No weekly")</x:f>
        <x:v>Weekly</x:v>
      </x:c>
      <x:c r="Y334" s="41" t="n">
        <x:f>IFERROR(I334-E334,"")</x:f>
        <x:v>0.39936799999999906</x:v>
      </x:c>
      <x:c r="Z334" s="41" t="n">
        <x:f>IFERROR(J334-F334,"")</x:f>
        <x:v>5.476917999999998</x:v>
      </x:c>
      <x:c r="AA334" s="41" t="n">
        <x:v>12311</x:v>
      </x:c>
      <x:c r="AB334" s="41" t="n">
        <x:v>6218</x:v>
      </x:c>
    </x:row>
    <x:row r="335">
      <x:c r="A335" s="41" t="str">
        <x:v>HYP_REFINE_AUTO002_TOPN_6_V1_DDGRID_EXT_R12_C25_E75_CR40_REDD_RECOVERED_DD6_SLNONE</x:v>
      </x:c>
      <x:c r="B335" s="41" t="str">
        <x:v>dd_guard_grid</x:v>
      </x:c>
      <x:c r="C335" s="41" t="str">
        <x:v>1999-01-04</x:v>
      </x:c>
      <x:c r="D335" s="41" t="str">
        <x:v>2026-05-22</x:v>
      </x:c>
      <x:c r="E335" s="41" t="n">
        <x:v>12.768326</x:v>
      </x:c>
      <x:c r="F335" s="41" t="n">
        <x:v>-36.064332</x:v>
      </x:c>
      <x:c r="G335" s="41" t="n">
        <x:v>2584.144256</x:v>
      </x:c>
      <x:c r="H335" s="41" t="n">
        <x:f>IFERROR(E335/ABS(F335),"")</x:f>
        <x:v>0.354043047296703</x:v>
      </x:c>
      <x:c r="I335" s="41" t="n">
        <x:v>13.855867</x:v>
      </x:c>
      <x:c r="J335" s="41" t="n">
        <x:v>-29.9418</x:v>
      </x:c>
      <x:c r="K335" s="41" t="n">
        <x:v>3390.81766</x:v>
      </x:c>
      <x:c r="L335" s="41" t="n">
        <x:f>IFERROR(I335/ABS(J335),"")</x:f>
        <x:v>0.46275998770948973</x:v>
      </x:c>
      <x:c r="M335" s="41" t="n">
        <x:v>6.802475</x:v>
      </x:c>
      <x:c r="N335" s="41" t="n">
        <x:v>-56.473669</x:v>
      </x:c>
      <x:c r="O335" s="41" t="n">
        <x:v>506.057416</x:v>
      </x:c>
      <x:c r="P335" s="41" t="n">
        <x:f>IFERROR(M335/ABS(N335),"")</x:f>
        <x:v>0.12045392340278087</x:v>
      </x:c>
      <x:c r="Q335" s="41" t="str">
        <x:f>IF(L335&gt;=MAX(H335,P335),"Weekly",IF(H335&gt;=MAX(L335,P335),"No weekly","SPY"))</x:f>
        <x:v>Weekly</x:v>
      </x:c>
      <x:c r="R335" s="41" t="n">
        <x:f>IFERROR(L335-P335,"")</x:f>
        <x:v>0.34230606430670885</x:v>
      </x:c>
      <x:c r="S335" s="41" t="n">
        <x:f>IFERROR(H335-P335,"")</x:f>
        <x:v>0.2335891238939221</x:v>
      </x:c>
      <x:c r="T335" s="41" t="n">
        <x:f>IFERROR(I335-M335,"")</x:f>
        <x:v>7.053392</x:v>
      </x:c>
      <x:c r="U335" s="41" t="n">
        <x:f>IFERROR(E335-M335,"")</x:f>
        <x:v>5.965851</x:v>
      </x:c>
      <x:c r="V335" s="41" t="str">
        <x:f>IF(AND(I335&gt;M335,J335&gt;N335),"Sí","No")</x:f>
        <x:v>Sí</x:v>
      </x:c>
      <x:c r="W335" s="41" t="str">
        <x:f>IF(AND(E335&gt;M335,F335&gt;N335),"Sí","No")</x:f>
        <x:v>Sí</x:v>
      </x:c>
      <x:c r="X335" s="41" t="str">
        <x:f>IF(L335&gt;=H335,"Weekly","No weekly")</x:f>
        <x:v>Weekly</x:v>
      </x:c>
      <x:c r="Y335" s="41" t="n">
        <x:f>IFERROR(I335-E335,"")</x:f>
        <x:v>1.0875409999999999</x:v>
      </x:c>
      <x:c r="Z335" s="41" t="n">
        <x:f>IFERROR(J335-F335,"")</x:f>
        <x:v>6.122532</x:v>
      </x:c>
      <x:c r="AA335" s="41" t="n">
        <x:v>12291</x:v>
      </x:c>
      <x:c r="AB335" s="41" t="n">
        <x:v>6452</x:v>
      </x:c>
    </x:row>
    <x:row r="336">
      <x:c r="A336" s="41" t="str">
        <x:v>HYP_REFINE_AUTO002_TOPN_6_V1_DDGRID_EXT_R12_C25_E75_CR40_REDD_RECOVERED_DD8_SL18</x:v>
      </x:c>
      <x:c r="B336" s="41" t="str">
        <x:v>dd_guard_grid</x:v>
      </x:c>
      <x:c r="C336" s="41" t="str">
        <x:v>1999-01-04</x:v>
      </x:c>
      <x:c r="D336" s="41" t="str">
        <x:v>2026-05-22</x:v>
      </x:c>
      <x:c r="E336" s="41" t="n">
        <x:v>12.995997</x:v>
      </x:c>
      <x:c r="F336" s="41" t="n">
        <x:v>-34.692427</x:v>
      </x:c>
      <x:c r="G336" s="41" t="n">
        <x:v>2736.530008</x:v>
      </x:c>
      <x:c r="H336" s="41" t="n">
        <x:f>IFERROR(E336/ABS(F336),"")</x:f>
        <x:v>0.3746061640484247</x:v>
      </x:c>
      <x:c r="I336" s="41" t="n">
        <x:v>13.849873</x:v>
      </x:c>
      <x:c r="J336" s="41" t="n">
        <x:v>-30.288843</x:v>
      </x:c>
      <x:c r="K336" s="41" t="n">
        <x:v>3385.789946</x:v>
      </x:c>
      <x:c r="L336" s="41" t="n">
        <x:f>IFERROR(I336/ABS(J336),"")</x:f>
        <x:v>0.4572598893922756</x:v>
      </x:c>
      <x:c r="M336" s="41" t="n">
        <x:v>6.802475</x:v>
      </x:c>
      <x:c r="N336" s="41" t="n">
        <x:v>-56.473669</x:v>
      </x:c>
      <x:c r="O336" s="41" t="n">
        <x:v>506.057416</x:v>
      </x:c>
      <x:c r="P336" s="41" t="n">
        <x:f>IFERROR(M336/ABS(N336),"")</x:f>
        <x:v>0.12045392340278087</x:v>
      </x:c>
      <x:c r="Q336" s="41" t="str">
        <x:f>IF(L336&gt;=MAX(H336,P336),"Weekly",IF(H336&gt;=MAX(L336,P336),"No weekly","SPY"))</x:f>
        <x:v>Weekly</x:v>
      </x:c>
      <x:c r="R336" s="41" t="n">
        <x:f>IFERROR(L336-P336,"")</x:f>
        <x:v>0.3368059659894947</x:v>
      </x:c>
      <x:c r="S336" s="41" t="n">
        <x:f>IFERROR(H336-P336,"")</x:f>
        <x:v>0.2541522406456438</x:v>
      </x:c>
      <x:c r="T336" s="41" t="n">
        <x:f>IFERROR(I336-M336,"")</x:f>
        <x:v>7.047398</x:v>
      </x:c>
      <x:c r="U336" s="41" t="n">
        <x:f>IFERROR(E336-M336,"")</x:f>
        <x:v>6.193521999999999</x:v>
      </x:c>
      <x:c r="V336" s="41" t="str">
        <x:f>IF(AND(I336&gt;M336,J336&gt;N336),"Sí","No")</x:f>
        <x:v>Sí</x:v>
      </x:c>
      <x:c r="W336" s="41" t="str">
        <x:f>IF(AND(E336&gt;M336,F336&gt;N336),"Sí","No")</x:f>
        <x:v>Sí</x:v>
      </x:c>
      <x:c r="X336" s="41" t="str">
        <x:f>IF(L336&gt;=H336,"Weekly","No weekly")</x:f>
        <x:v>Weekly</x:v>
      </x:c>
      <x:c r="Y336" s="41" t="n">
        <x:f>IFERROR(I336-E336,"")</x:f>
        <x:v>0.8538760000000014</x:v>
      </x:c>
      <x:c r="Z336" s="41" t="n">
        <x:f>IFERROR(J336-F336,"")</x:f>
        <x:v>4.403584000000002</x:v>
      </x:c>
      <x:c r="AA336" s="41" t="n">
        <x:v>11319</x:v>
      </x:c>
      <x:c r="AB336" s="41" t="n">
        <x:v>5043</x:v>
      </x:c>
    </x:row>
    <x:row r="337">
      <x:c r="A337" s="41" t="str">
        <x:v>HYP_REFINE_AUTO002_TOPN_6_V1_DDGRID_EXT_R12_C25_E75_CR40_REDD_RECOVERED_DD8_SL22</x:v>
      </x:c>
      <x:c r="B337" s="41" t="str">
        <x:v>dd_guard_grid</x:v>
      </x:c>
      <x:c r="C337" s="41" t="str">
        <x:v>1999-01-04</x:v>
      </x:c>
      <x:c r="D337" s="41" t="str">
        <x:v>2026-05-22</x:v>
      </x:c>
      <x:c r="E337" s="41" t="n">
        <x:v>12.799458</x:v>
      </x:c>
      <x:c r="F337" s="41" t="n">
        <x:v>-35.145331</x:v>
      </x:c>
      <x:c r="G337" s="41" t="n">
        <x:v>2604.506376</x:v>
      </x:c>
      <x:c r="H337" s="41" t="n">
        <x:f>IFERROR(E337/ABS(F337),"")</x:f>
        <x:v>0.3641865828493691</x:v>
      </x:c>
      <x:c r="I337" s="41" t="n">
        <x:v>12.668767</x:v>
      </x:c>
      <x:c r="J337" s="41" t="n">
        <x:v>-30.285954</x:v>
      </x:c>
      <x:c r="K337" s="41" t="n">
        <x:v>2520.014062</x:v>
      </x:c>
      <x:c r="L337" s="41" t="n">
        <x:f>IFERROR(I337/ABS(J337),"")</x:f>
        <x:v>0.4183050334158204</x:v>
      </x:c>
      <x:c r="M337" s="41" t="n">
        <x:v>6.802475</x:v>
      </x:c>
      <x:c r="N337" s="41" t="n">
        <x:v>-56.473669</x:v>
      </x:c>
      <x:c r="O337" s="41" t="n">
        <x:v>506.057416</x:v>
      </x:c>
      <x:c r="P337" s="41" t="n">
        <x:f>IFERROR(M337/ABS(N337),"")</x:f>
        <x:v>0.12045392340278087</x:v>
      </x:c>
      <x:c r="Q337" s="41" t="str">
        <x:f>IF(L337&gt;=MAX(H337,P337),"Weekly",IF(H337&gt;=MAX(L337,P337),"No weekly","SPY"))</x:f>
        <x:v>Weekly</x:v>
      </x:c>
      <x:c r="R337" s="41" t="n">
        <x:f>IFERROR(L337-P337,"")</x:f>
        <x:v>0.29785111001303954</x:v>
      </x:c>
      <x:c r="S337" s="41" t="n">
        <x:f>IFERROR(H337-P337,"")</x:f>
        <x:v>0.24373265944658823</x:v>
      </x:c>
      <x:c r="T337" s="41" t="n">
        <x:f>IFERROR(I337-M337,"")</x:f>
        <x:v>5.8662920000000005</x:v>
      </x:c>
      <x:c r="U337" s="41" t="n">
        <x:f>IFERROR(E337-M337,"")</x:f>
        <x:v>5.996982999999999</x:v>
      </x:c>
      <x:c r="V337" s="41" t="str">
        <x:f>IF(AND(I337&gt;M337,J337&gt;N337),"Sí","No")</x:f>
        <x:v>Sí</x:v>
      </x:c>
      <x:c r="W337" s="41" t="str">
        <x:f>IF(AND(E337&gt;M337,F337&gt;N337),"Sí","No")</x:f>
        <x:v>Sí</x:v>
      </x:c>
      <x:c r="X337" s="41" t="str">
        <x:f>IF(L337&gt;=H337,"Weekly","No weekly")</x:f>
        <x:v>Weekly</x:v>
      </x:c>
      <x:c r="Y337" s="41" t="n">
        <x:f>IFERROR(I337-E337,"")</x:f>
        <x:v>-0.13069099999999878</x:v>
      </x:c>
      <x:c r="Z337" s="41" t="n">
        <x:f>IFERROR(J337-F337,"")</x:f>
        <x:v>4.8593769999999985</x:v>
      </x:c>
      <x:c r="AA337" s="41" t="n">
        <x:v>11623</x:v>
      </x:c>
      <x:c r="AB337" s="41" t="n">
        <x:v>5635</x:v>
      </x:c>
    </x:row>
    <x:row r="338">
      <x:c r="A338" s="41" t="str">
        <x:v>HYP_REFINE_AUTO002_TOPN_6_V1_DDGRID_EXT_R12_C25_E75_CR40_REDD_RECOVERED_DD8_SL25</x:v>
      </x:c>
      <x:c r="B338" s="41" t="str">
        <x:v>dd_guard_grid</x:v>
      </x:c>
      <x:c r="C338" s="41" t="str">
        <x:v>1999-01-04</x:v>
      </x:c>
      <x:c r="D338" s="41" t="str">
        <x:v>2026-05-22</x:v>
      </x:c>
      <x:c r="E338" s="41" t="n">
        <x:v>12.640719</x:v>
      </x:c>
      <x:c r="F338" s="41" t="n">
        <x:v>-35.743972</x:v>
      </x:c>
      <x:c r="G338" s="41" t="n">
        <x:v>2502.215794</x:v>
      </x:c>
      <x:c r="H338" s="41" t="n">
        <x:f>IFERROR(E338/ABS(F338),"")</x:f>
        <x:v>0.35364617564046885</x:v>
      </x:c>
      <x:c r="I338" s="41" t="n">
        <x:v>13.54368</x:v>
      </x:c>
      <x:c r="J338" s="41" t="n">
        <x:v>-30.267054</x:v>
      </x:c>
      <x:c r="K338" s="41" t="n">
        <x:v>3138.021024</x:v>
      </x:c>
      <x:c r="L338" s="41" t="n">
        <x:f>IFERROR(I338/ABS(J338),"")</x:f>
        <x:v>0.44747268762926184</x:v>
      </x:c>
      <x:c r="M338" s="41" t="n">
        <x:v>6.802475</x:v>
      </x:c>
      <x:c r="N338" s="41" t="n">
        <x:v>-56.473669</x:v>
      </x:c>
      <x:c r="O338" s="41" t="n">
        <x:v>506.057416</x:v>
      </x:c>
      <x:c r="P338" s="41" t="n">
        <x:f>IFERROR(M338/ABS(N338),"")</x:f>
        <x:v>0.12045392340278087</x:v>
      </x:c>
      <x:c r="Q338" s="41" t="str">
        <x:f>IF(L338&gt;=MAX(H338,P338),"Weekly",IF(H338&gt;=MAX(L338,P338),"No weekly","SPY"))</x:f>
        <x:v>Weekly</x:v>
      </x:c>
      <x:c r="R338" s="41" t="n">
        <x:f>IFERROR(L338-P338,"")</x:f>
        <x:v>0.32701876422648096</x:v>
      </x:c>
      <x:c r="S338" s="41" t="n">
        <x:f>IFERROR(H338-P338,"")</x:f>
        <x:v>0.23319225223768797</x:v>
      </x:c>
      <x:c r="T338" s="41" t="n">
        <x:f>IFERROR(I338-M338,"")</x:f>
        <x:v>6.741205</x:v>
      </x:c>
      <x:c r="U338" s="41" t="n">
        <x:f>IFERROR(E338-M338,"")</x:f>
        <x:v>5.838244</x:v>
      </x:c>
      <x:c r="V338" s="41" t="str">
        <x:f>IF(AND(I338&gt;M338,J338&gt;N338),"Sí","No")</x:f>
        <x:v>Sí</x:v>
      </x:c>
      <x:c r="W338" s="41" t="str">
        <x:f>IF(AND(E338&gt;M338,F338&gt;N338),"Sí","No")</x:f>
        <x:v>Sí</x:v>
      </x:c>
      <x:c r="X338" s="41" t="str">
        <x:f>IF(L338&gt;=H338,"Weekly","No weekly")</x:f>
        <x:v>Weekly</x:v>
      </x:c>
      <x:c r="Y338" s="41" t="n">
        <x:f>IFERROR(I338-E338,"")</x:f>
        <x:v>0.9029609999999995</x:v>
      </x:c>
      <x:c r="Z338" s="41" t="n">
        <x:f>IFERROR(J338-F338,"")</x:f>
        <x:v>5.476917999999998</x:v>
      </x:c>
      <x:c r="AA338" s="41" t="n">
        <x:v>11617</x:v>
      </x:c>
      <x:c r="AB338" s="41" t="n">
        <x:v>5913</x:v>
      </x:c>
    </x:row>
    <x:row r="339">
      <x:c r="A339" s="41" t="str">
        <x:v>HYP_REFINE_AUTO002_TOPN_6_V1_DDGRID_EXT_R12_C25_E75_CR40_REDD_RECOVERED_DD8_SLNONE</x:v>
      </x:c>
      <x:c r="B339" s="41" t="str">
        <x:v>dd_guard_grid</x:v>
      </x:c>
      <x:c r="C339" s="41" t="str">
        <x:v>1999-01-04</x:v>
      </x:c>
      <x:c r="D339" s="41" t="str">
        <x:v>2026-05-22</x:v>
      </x:c>
      <x:c r="E339" s="41" t="n">
        <x:v>12.666302</x:v>
      </x:c>
      <x:c r="F339" s="41" t="n">
        <x:v>-36.064332</x:v>
      </x:c>
      <x:c r="G339" s="41" t="n">
        <x:v>2518.445625</x:v>
      </x:c>
      <x:c r="H339" s="41" t="n">
        <x:f>IFERROR(E339/ABS(F339),"")</x:f>
        <x:v>0.3512141026208388</x:v>
      </x:c>
      <x:c r="I339" s="41" t="n">
        <x:v>13.807047</x:v>
      </x:c>
      <x:c r="J339" s="41" t="n">
        <x:v>-29.9418</x:v>
      </x:c>
      <x:c r="K339" s="41" t="n">
        <x:v>3350.068301</x:v>
      </x:c>
      <x:c r="L339" s="41" t="n">
        <x:f>IFERROR(I339/ABS(J339),"")</x:f>
        <x:v>0.46112949121295316</x:v>
      </x:c>
      <x:c r="M339" s="41" t="n">
        <x:v>6.802475</x:v>
      </x:c>
      <x:c r="N339" s="41" t="n">
        <x:v>-56.473669</x:v>
      </x:c>
      <x:c r="O339" s="41" t="n">
        <x:v>506.057416</x:v>
      </x:c>
      <x:c r="P339" s="41" t="n">
        <x:f>IFERROR(M339/ABS(N339),"")</x:f>
        <x:v>0.12045392340278087</x:v>
      </x:c>
      <x:c r="Q339" s="41" t="str">
        <x:f>IF(L339&gt;=MAX(H339,P339),"Weekly",IF(H339&gt;=MAX(L339,P339),"No weekly","SPY"))</x:f>
        <x:v>Weekly</x:v>
      </x:c>
      <x:c r="R339" s="41" t="n">
        <x:f>IFERROR(L339-P339,"")</x:f>
        <x:v>0.3406755678101723</x:v>
      </x:c>
      <x:c r="S339" s="41" t="n">
        <x:f>IFERROR(H339-P339,"")</x:f>
        <x:v>0.23076017921805791</x:v>
      </x:c>
      <x:c r="T339" s="41" t="n">
        <x:f>IFERROR(I339-M339,"")</x:f>
        <x:v>7.0045720000000005</x:v>
      </x:c>
      <x:c r="U339" s="41" t="n">
        <x:f>IFERROR(E339-M339,"")</x:f>
        <x:v>5.863827</x:v>
      </x:c>
      <x:c r="V339" s="41" t="str">
        <x:f>IF(AND(I339&gt;M339,J339&gt;N339),"Sí","No")</x:f>
        <x:v>Sí</x:v>
      </x:c>
      <x:c r="W339" s="41" t="str">
        <x:f>IF(AND(E339&gt;M339,F339&gt;N339),"Sí","No")</x:f>
        <x:v>Sí</x:v>
      </x:c>
      <x:c r="X339" s="41" t="str">
        <x:f>IF(L339&gt;=H339,"Weekly","No weekly")</x:f>
        <x:v>Weekly</x:v>
      </x:c>
      <x:c r="Y339" s="41" t="n">
        <x:f>IFERROR(I339-E339,"")</x:f>
        <x:v>1.1407450000000008</x:v>
      </x:c>
      <x:c r="Z339" s="41" t="n">
        <x:f>IFERROR(J339-F339,"")</x:f>
        <x:v>6.122532</x:v>
      </x:c>
      <x:c r="AA339" s="41" t="n">
        <x:v>11741</x:v>
      </x:c>
      <x:c r="AB339" s="41" t="n">
        <x:v>6159</x:v>
      </x:c>
    </x:row>
    <x:row r="340">
      <x:c r="A340" s="41" t="str">
        <x:v>HYP_REFINE_AUTO002_TOPN_6_V1_DDGRID_EXT_R12_C25_E75_CR50_REDD_RECOVERED_DD10_SL18</x:v>
      </x:c>
      <x:c r="B340" s="41" t="str">
        <x:v>dd_guard_grid</x:v>
      </x:c>
      <x:c r="C340" s="41" t="str">
        <x:v>1999-01-04</x:v>
      </x:c>
      <x:c r="D340" s="41" t="str">
        <x:v>2026-05-22</x:v>
      </x:c>
      <x:c r="E340" s="41" t="n">
        <x:v>13.76257</x:v>
      </x:c>
      <x:c r="F340" s="41" t="n">
        <x:v>-35.652721</x:v>
      </x:c>
      <x:c r="G340" s="41" t="n">
        <x:v>3313.342139</x:v>
      </x:c>
      <x:c r="H340" s="41" t="n">
        <x:f>IFERROR(E340/ABS(F340),"")</x:f>
        <x:v>0.386017381394256</x:v>
      </x:c>
      <x:c r="I340" s="41" t="n">
        <x:v>14.839302</x:v>
      </x:c>
      <x:c r="J340" s="41" t="n">
        <x:v>-30.881589</x:v>
      </x:c>
      <x:c r="K340" s="41" t="n">
        <x:v>4317.63078</x:v>
      </x:c>
      <x:c r="L340" s="41" t="n">
        <x:f>IFERROR(I340/ABS(J340),"")</x:f>
        <x:v>0.4805226181852235</x:v>
      </x:c>
      <x:c r="M340" s="41" t="n">
        <x:v>6.802475</x:v>
      </x:c>
      <x:c r="N340" s="41" t="n">
        <x:v>-56.473669</x:v>
      </x:c>
      <x:c r="O340" s="41" t="n">
        <x:v>506.057416</x:v>
      </x:c>
      <x:c r="P340" s="41" t="n">
        <x:f>IFERROR(M340/ABS(N340),"")</x:f>
        <x:v>0.12045392340278087</x:v>
      </x:c>
      <x:c r="Q340" s="41" t="str">
        <x:f>IF(L340&gt;=MAX(H340,P340),"Weekly",IF(H340&gt;=MAX(L340,P340),"No weekly","SPY"))</x:f>
        <x:v>Weekly</x:v>
      </x:c>
      <x:c r="R340" s="41" t="n">
        <x:f>IFERROR(L340-P340,"")</x:f>
        <x:v>0.36006869478244263</x:v>
      </x:c>
      <x:c r="S340" s="41" t="n">
        <x:f>IFERROR(H340-P340,"")</x:f>
        <x:v>0.2655634579914751</x:v>
      </x:c>
      <x:c r="T340" s="41" t="n">
        <x:f>IFERROR(I340-M340,"")</x:f>
        <x:v>8.036826999999999</x:v>
      </x:c>
      <x:c r="U340" s="41" t="n">
        <x:f>IFERROR(E340-M340,"")</x:f>
        <x:v>6.960095</x:v>
      </x:c>
      <x:c r="V340" s="41" t="str">
        <x:f>IF(AND(I340&gt;M340,J340&gt;N340),"Sí","No")</x:f>
        <x:v>Sí</x:v>
      </x:c>
      <x:c r="W340" s="41" t="str">
        <x:f>IF(AND(E340&gt;M340,F340&gt;N340),"Sí","No")</x:f>
        <x:v>Sí</x:v>
      </x:c>
      <x:c r="X340" s="41" t="str">
        <x:f>IF(L340&gt;=H340,"Weekly","No weekly")</x:f>
        <x:v>Weekly</x:v>
      </x:c>
      <x:c r="Y340" s="41" t="n">
        <x:f>IFERROR(I340-E340,"")</x:f>
        <x:v>1.0767319999999998</x:v>
      </x:c>
      <x:c r="Z340" s="41" t="n">
        <x:f>IFERROR(J340-F340,"")</x:f>
        <x:v>4.771131999999998</x:v>
      </x:c>
      <x:c r="AA340" s="41" t="n">
        <x:v>10637</x:v>
      </x:c>
      <x:c r="AB340" s="41" t="n">
        <x:v>4885</x:v>
      </x:c>
    </x:row>
    <x:row r="341">
      <x:c r="A341" s="41" t="str">
        <x:v>HYP_REFINE_AUTO002_TOPN_6_V1_DDGRID_EXT_R12_C25_E75_CR50_REDD_RECOVERED_DD10_SL22</x:v>
      </x:c>
      <x:c r="B341" s="41" t="str">
        <x:v>dd_guard_grid</x:v>
      </x:c>
      <x:c r="C341" s="41" t="str">
        <x:v>1999-01-04</x:v>
      </x:c>
      <x:c r="D341" s="41" t="str">
        <x:v>2026-05-22</x:v>
      </x:c>
      <x:c r="E341" s="41" t="n">
        <x:v>14.374621</x:v>
      </x:c>
      <x:c r="F341" s="41" t="n">
        <x:v>-36.817186</x:v>
      </x:c>
      <x:c r="G341" s="41" t="n">
        <x:v>3853.477841</x:v>
      </x:c>
      <x:c r="H341" s="41" t="n">
        <x:f>IFERROR(E341/ABS(F341),"")</x:f>
        <x:v>0.39043236492870476</x:v>
      </x:c>
      <x:c r="I341" s="41" t="n">
        <x:v>15.004209</x:v>
      </x:c>
      <x:c r="J341" s="41" t="n">
        <x:v>-30.885162</x:v>
      </x:c>
      <x:c r="K341" s="41" t="n">
        <x:v>4494.639716</x:v>
      </x:c>
      <x:c r="L341" s="41" t="n">
        <x:f>IFERROR(I341/ABS(J341),"")</x:f>
        <x:v>0.485806388193787</x:v>
      </x:c>
      <x:c r="M341" s="41" t="n">
        <x:v>6.802475</x:v>
      </x:c>
      <x:c r="N341" s="41" t="n">
        <x:v>-56.473669</x:v>
      </x:c>
      <x:c r="O341" s="41" t="n">
        <x:v>506.057416</x:v>
      </x:c>
      <x:c r="P341" s="41" t="n">
        <x:f>IFERROR(M341/ABS(N341),"")</x:f>
        <x:v>0.12045392340278087</x:v>
      </x:c>
      <x:c r="Q341" s="41" t="str">
        <x:f>IF(L341&gt;=MAX(H341,P341),"Weekly",IF(H341&gt;=MAX(L341,P341),"No weekly","SPY"))</x:f>
        <x:v>Weekly</x:v>
      </x:c>
      <x:c r="R341" s="41" t="n">
        <x:f>IFERROR(L341-P341,"")</x:f>
        <x:v>0.36535246479100614</x:v>
      </x:c>
      <x:c r="S341" s="41" t="n">
        <x:f>IFERROR(H341-P341,"")</x:f>
        <x:v>0.2699784415259239</x:v>
      </x:c>
      <x:c r="T341" s="41" t="n">
        <x:f>IFERROR(I341-M341,"")</x:f>
        <x:v>8.201733999999998</x:v>
      </x:c>
      <x:c r="U341" s="41" t="n">
        <x:f>IFERROR(E341-M341,"")</x:f>
        <x:v>7.572145999999999</x:v>
      </x:c>
      <x:c r="V341" s="41" t="str">
        <x:f>IF(AND(I341&gt;M341,J341&gt;N341),"Sí","No")</x:f>
        <x:v>Sí</x:v>
      </x:c>
      <x:c r="W341" s="41" t="str">
        <x:f>IF(AND(E341&gt;M341,F341&gt;N341),"Sí","No")</x:f>
        <x:v>Sí</x:v>
      </x:c>
      <x:c r="X341" s="41" t="str">
        <x:f>IF(L341&gt;=H341,"Weekly","No weekly")</x:f>
        <x:v>Weekly</x:v>
      </x:c>
      <x:c r="Y341" s="41" t="n">
        <x:f>IFERROR(I341-E341,"")</x:f>
        <x:v>0.629588</x:v>
      </x:c>
      <x:c r="Z341" s="41" t="n">
        <x:f>IFERROR(J341-F341,"")</x:f>
        <x:v>5.932023999999998</x:v>
      </x:c>
      <x:c r="AA341" s="41" t="n">
        <x:v>11076</x:v>
      </x:c>
      <x:c r="AB341" s="41" t="n">
        <x:v>5156</x:v>
      </x:c>
    </x:row>
    <x:row r="342">
      <x:c r="A342" s="41" t="str">
        <x:v>HYP_REFINE_AUTO002_TOPN_6_V1_DDGRID_EXT_R12_C25_E75_CR50_REDD_RECOVERED_DD10_SL25</x:v>
      </x:c>
      <x:c r="B342" s="41" t="str">
        <x:v>dd_guard_grid</x:v>
      </x:c>
      <x:c r="C342" s="41" t="str">
        <x:v>1999-01-04</x:v>
      </x:c>
      <x:c r="D342" s="41" t="str">
        <x:v>2026-05-22</x:v>
      </x:c>
      <x:c r="E342" s="41" t="n">
        <x:v>14.332925</x:v>
      </x:c>
      <x:c r="F342" s="41" t="n">
        <x:v>-37.356829</x:v>
      </x:c>
      <x:c r="G342" s="41" t="n">
        <x:v>3814.207386</x:v>
      </x:c>
      <x:c r="H342" s="41" t="n">
        <x:f>IFERROR(E342/ABS(F342),"")</x:f>
        <x:v>0.3836761680173657</x:v>
      </x:c>
      <x:c r="I342" s="41" t="n">
        <x:v>14.84699</x:v>
      </x:c>
      <x:c r="J342" s="41" t="n">
        <x:v>-30.67675</x:v>
      </x:c>
      <x:c r="K342" s="41" t="n">
        <x:v>4325.735377</x:v>
      </x:c>
      <x:c r="L342" s="41" t="n">
        <x:f>IFERROR(I342/ABS(J342),"")</x:f>
        <x:v>0.4839818429266464</x:v>
      </x:c>
      <x:c r="M342" s="41" t="n">
        <x:v>6.802475</x:v>
      </x:c>
      <x:c r="N342" s="41" t="n">
        <x:v>-56.473669</x:v>
      </x:c>
      <x:c r="O342" s="41" t="n">
        <x:v>506.057416</x:v>
      </x:c>
      <x:c r="P342" s="41" t="n">
        <x:f>IFERROR(M342/ABS(N342),"")</x:f>
        <x:v>0.12045392340278087</x:v>
      </x:c>
      <x:c r="Q342" s="41" t="str">
        <x:f>IF(L342&gt;=MAX(H342,P342),"Weekly",IF(H342&gt;=MAX(L342,P342),"No weekly","SPY"))</x:f>
        <x:v>Weekly</x:v>
      </x:c>
      <x:c r="R342" s="41" t="n">
        <x:f>IFERROR(L342-P342,"")</x:f>
        <x:v>0.36352791952386554</x:v>
      </x:c>
      <x:c r="S342" s="41" t="n">
        <x:f>IFERROR(H342-P342,"")</x:f>
        <x:v>0.2632222446145848</x:v>
      </x:c>
      <x:c r="T342" s="41" t="n">
        <x:f>IFERROR(I342-M342,"")</x:f>
        <x:v>8.044515</x:v>
      </x:c>
      <x:c r="U342" s="41" t="n">
        <x:f>IFERROR(E342-M342,"")</x:f>
        <x:v>7.530449999999999</x:v>
      </x:c>
      <x:c r="V342" s="41" t="str">
        <x:f>IF(AND(I342&gt;M342,J342&gt;N342),"Sí","No")</x:f>
        <x:v>Sí</x:v>
      </x:c>
      <x:c r="W342" s="41" t="str">
        <x:f>IF(AND(E342&gt;M342,F342&gt;N342),"Sí","No")</x:f>
        <x:v>Sí</x:v>
      </x:c>
      <x:c r="X342" s="41" t="str">
        <x:f>IF(L342&gt;=H342,"Weekly","No weekly")</x:f>
        <x:v>Weekly</x:v>
      </x:c>
      <x:c r="Y342" s="41" t="n">
        <x:f>IFERROR(I342-E342,"")</x:f>
        <x:v>0.5140650000000004</x:v>
      </x:c>
      <x:c r="Z342" s="41" t="n">
        <x:f>IFERROR(J342-F342,"")</x:f>
        <x:v>6.680078999999999</x:v>
      </x:c>
      <x:c r="AA342" s="41" t="n">
        <x:v>10901</x:v>
      </x:c>
      <x:c r="AB342" s="41" t="n">
        <x:v>5467</x:v>
      </x:c>
    </x:row>
    <x:row r="343">
      <x:c r="A343" s="41" t="str">
        <x:v>HYP_REFINE_AUTO002_TOPN_6_V1_DDGRID_EXT_R12_C25_E75_CR50_REDD_RECOVERED_DD10_SLNONE</x:v>
      </x:c>
      <x:c r="B343" s="41" t="str">
        <x:v>dd_guard_grid</x:v>
      </x:c>
      <x:c r="C343" s="41" t="str">
        <x:v>1999-01-04</x:v>
      </x:c>
      <x:c r="D343" s="41" t="str">
        <x:v>2026-05-22</x:v>
      </x:c>
      <x:c r="E343" s="41" t="n">
        <x:v>14.134115</x:v>
      </x:c>
      <x:c r="F343" s="41" t="n">
        <x:v>-37.64575</x:v>
      </x:c>
      <x:c r="G343" s="41" t="n">
        <x:v>3632.072213</x:v>
      </x:c>
      <x:c r="H343" s="41" t="n">
        <x:f>IFERROR(E343/ABS(F343),"")</x:f>
        <x:v>0.3754504824581792</x:v>
      </x:c>
      <x:c r="I343" s="41" t="n">
        <x:v>15.473519</x:v>
      </x:c>
      <x:c r="J343" s="41" t="n">
        <x:v>-29.816397</x:v>
      </x:c>
      <x:c r="K343" s="41" t="n">
        <x:v>5036.589978</x:v>
      </x:c>
      <x:c r="L343" s="41" t="n">
        <x:f>IFERROR(I343/ABS(J343),"")</x:f>
        <x:v>0.5189600540937257</x:v>
      </x:c>
      <x:c r="M343" s="41" t="n">
        <x:v>6.802475</x:v>
      </x:c>
      <x:c r="N343" s="41" t="n">
        <x:v>-56.473669</x:v>
      </x:c>
      <x:c r="O343" s="41" t="n">
        <x:v>506.057416</x:v>
      </x:c>
      <x:c r="P343" s="41" t="n">
        <x:f>IFERROR(M343/ABS(N343),"")</x:f>
        <x:v>0.12045392340278087</x:v>
      </x:c>
      <x:c r="Q343" s="41" t="str">
        <x:f>IF(L343&gt;=MAX(H343,P343),"Weekly",IF(H343&gt;=MAX(L343,P343),"No weekly","SPY"))</x:f>
        <x:v>Weekly</x:v>
      </x:c>
      <x:c r="R343" s="41" t="n">
        <x:f>IFERROR(L343-P343,"")</x:f>
        <x:v>0.3985061306909448</x:v>
      </x:c>
      <x:c r="S343" s="41" t="n">
        <x:f>IFERROR(H343-P343,"")</x:f>
        <x:v>0.2549965590553983</x:v>
      </x:c>
      <x:c r="T343" s="41" t="n">
        <x:f>IFERROR(I343-M343,"")</x:f>
        <x:v>8.671043999999998</x:v>
      </x:c>
      <x:c r="U343" s="41" t="n">
        <x:f>IFERROR(E343-M343,"")</x:f>
        <x:v>7.331639999999999</x:v>
      </x:c>
      <x:c r="V343" s="41" t="str">
        <x:f>IF(AND(I343&gt;M343,J343&gt;N343),"Sí","No")</x:f>
        <x:v>Sí</x:v>
      </x:c>
      <x:c r="W343" s="41" t="str">
        <x:f>IF(AND(E343&gt;M343,F343&gt;N343),"Sí","No")</x:f>
        <x:v>Sí</x:v>
      </x:c>
      <x:c r="X343" s="41" t="str">
        <x:f>IF(L343&gt;=H343,"Weekly","No weekly")</x:f>
        <x:v>Weekly</x:v>
      </x:c>
      <x:c r="Y343" s="41" t="n">
        <x:f>IFERROR(I343-E343,"")</x:f>
        <x:v>1.339404</x:v>
      </x:c>
      <x:c r="Z343" s="41" t="n">
        <x:f>IFERROR(J343-F343,"")</x:f>
        <x:v>7.829353000000001</x:v>
      </x:c>
      <x:c r="AA343" s="41" t="n">
        <x:v>10890</x:v>
      </x:c>
      <x:c r="AB343" s="41" t="n">
        <x:v>5614</x:v>
      </x:c>
    </x:row>
    <x:row r="344">
      <x:c r="A344" s="41" t="str">
        <x:v>HYP_REFINE_AUTO002_TOPN_6_V1_DDGRID_EXT_R12_C25_E75_CR50_REDD_RECOVERED_DD12_SL18</x:v>
      </x:c>
      <x:c r="B344" s="41" t="str">
        <x:v>dd_guard_grid</x:v>
      </x:c>
      <x:c r="C344" s="41" t="str">
        <x:v>1999-01-04</x:v>
      </x:c>
      <x:c r="D344" s="41" t="str">
        <x:v>2026-05-22</x:v>
      </x:c>
      <x:c r="E344" s="41" t="n">
        <x:v>14.016424</x:v>
      </x:c>
      <x:c r="F344" s="41" t="n">
        <x:v>-35.652721</x:v>
      </x:c>
      <x:c r="G344" s="41" t="n">
        <x:v>3528.129742</x:v>
      </x:c>
      <x:c r="H344" s="41" t="n">
        <x:f>IFERROR(E344/ABS(F344),"")</x:f>
        <x:v>0.3931375672560869</x:v>
      </x:c>
      <x:c r="I344" s="41" t="n">
        <x:v>14.719146</x:v>
      </x:c>
      <x:c r="J344" s="41" t="n">
        <x:v>-30.881589</x:v>
      </x:c>
      <x:c r="K344" s="41" t="n">
        <x:v>4192.814387</x:v>
      </x:c>
      <x:c r="L344" s="41" t="n">
        <x:f>IFERROR(I344/ABS(J344),"")</x:f>
        <x:v>0.4766317562221296</x:v>
      </x:c>
      <x:c r="M344" s="41" t="n">
        <x:v>6.802475</x:v>
      </x:c>
      <x:c r="N344" s="41" t="n">
        <x:v>-56.473669</x:v>
      </x:c>
      <x:c r="O344" s="41" t="n">
        <x:v>506.057416</x:v>
      </x:c>
      <x:c r="P344" s="41" t="n">
        <x:f>IFERROR(M344/ABS(N344),"")</x:f>
        <x:v>0.12045392340278087</x:v>
      </x:c>
      <x:c r="Q344" s="41" t="str">
        <x:f>IF(L344&gt;=MAX(H344,P344),"Weekly",IF(H344&gt;=MAX(L344,P344),"No weekly","SPY"))</x:f>
        <x:v>Weekly</x:v>
      </x:c>
      <x:c r="R344" s="41" t="n">
        <x:f>IFERROR(L344-P344,"")</x:f>
        <x:v>0.3561778328193487</x:v>
      </x:c>
      <x:c r="S344" s="41" t="n">
        <x:f>IFERROR(H344-P344,"")</x:f>
        <x:v>0.272683643853306</x:v>
      </x:c>
      <x:c r="T344" s="41" t="n">
        <x:f>IFERROR(I344-M344,"")</x:f>
        <x:v>7.916671</x:v>
      </x:c>
      <x:c r="U344" s="41" t="n">
        <x:f>IFERROR(E344-M344,"")</x:f>
        <x:v>7.213949</x:v>
      </x:c>
      <x:c r="V344" s="41" t="str">
        <x:f>IF(AND(I344&gt;M344,J344&gt;N344),"Sí","No")</x:f>
        <x:v>Sí</x:v>
      </x:c>
      <x:c r="W344" s="41" t="str">
        <x:f>IF(AND(E344&gt;M344,F344&gt;N344),"Sí","No")</x:f>
        <x:v>Sí</x:v>
      </x:c>
      <x:c r="X344" s="41" t="str">
        <x:f>IF(L344&gt;=H344,"Weekly","No weekly")</x:f>
        <x:v>Weekly</x:v>
      </x:c>
      <x:c r="Y344" s="41" t="n">
        <x:f>IFERROR(I344-E344,"")</x:f>
        <x:v>0.7027219999999996</x:v>
      </x:c>
      <x:c r="Z344" s="41" t="n">
        <x:f>IFERROR(J344-F344,"")</x:f>
        <x:v>4.771131999999998</x:v>
      </x:c>
      <x:c r="AA344" s="41" t="n">
        <x:v>9799</x:v>
      </x:c>
      <x:c r="AB344" s="41" t="n">
        <x:v>4464</x:v>
      </x:c>
    </x:row>
    <x:row r="345">
      <x:c r="A345" s="41" t="str">
        <x:v>HYP_REFINE_AUTO002_TOPN_6_V1_DDGRID_EXT_R12_C25_E75_CR50_REDD_RECOVERED_DD12_SL20</x:v>
      </x:c>
      <x:c r="B345" s="41" t="str">
        <x:v>dd_guard_grid</x:v>
      </x:c>
      <x:c r="C345" s="41" t="str">
        <x:v>1999-01-04</x:v>
      </x:c>
      <x:c r="D345" s="41" t="str">
        <x:v>2026-05-22</x:v>
      </x:c>
      <x:c r="E345" s="41" t="n">
        <x:v>14.898397</x:v>
      </x:c>
      <x:c r="F345" s="41" t="n">
        <x:v>-36.658572</x:v>
      </x:c>
      <x:c r="G345" s="41" t="n">
        <x:v>4380.293495</x:v>
      </x:c>
      <x:c r="H345" s="41" t="n">
        <x:f>IFERROR(E345/ABS(F345),"")</x:f>
        <x:v>0.4064096386515001</x:v>
      </x:c>
      <x:c r="I345" s="41" t="n">
        <x:v>14.071043</x:v>
      </x:c>
      <x:c r="J345" s="41" t="n">
        <x:v>-30.822924</x:v>
      </x:c>
      <x:c r="K345" s="41" t="n">
        <x:v>3576.01653</x:v>
      </x:c>
      <x:c r="L345" s="41" t="n">
        <x:f>IFERROR(I345/ABS(J345),"")</x:f>
        <x:v>0.45651226989366744</x:v>
      </x:c>
      <x:c r="M345" s="41" t="n">
        <x:v>6.802475</x:v>
      </x:c>
      <x:c r="N345" s="41" t="n">
        <x:v>-56.473669</x:v>
      </x:c>
      <x:c r="O345" s="41" t="n">
        <x:v>506.057416</x:v>
      </x:c>
      <x:c r="P345" s="41" t="n">
        <x:f>IFERROR(M345/ABS(N345),"")</x:f>
        <x:v>0.12045392340278087</x:v>
      </x:c>
      <x:c r="Q345" s="41" t="str">
        <x:f>IF(L345&gt;=MAX(H345,P345),"Weekly",IF(H345&gt;=MAX(L345,P345),"No weekly","SPY"))</x:f>
        <x:v>Weekly</x:v>
      </x:c>
      <x:c r="R345" s="41" t="n">
        <x:f>IFERROR(L345-P345,"")</x:f>
        <x:v>0.33605834649088656</x:v>
      </x:c>
      <x:c r="S345" s="41" t="n">
        <x:f>IFERROR(H345-P345,"")</x:f>
        <x:v>0.2859557152487192</x:v>
      </x:c>
      <x:c r="T345" s="41" t="n">
        <x:f>IFERROR(I345-M345,"")</x:f>
        <x:v>7.268567999999999</x:v>
      </x:c>
      <x:c r="U345" s="41" t="n">
        <x:f>IFERROR(E345-M345,"")</x:f>
        <x:v>8.095921999999998</x:v>
      </x:c>
      <x:c r="V345" s="41" t="str">
        <x:f>IF(AND(I345&gt;M345,J345&gt;N345),"Sí","No")</x:f>
        <x:v>Sí</x:v>
      </x:c>
      <x:c r="W345" s="41" t="str">
        <x:f>IF(AND(E345&gt;M345,F345&gt;N345),"Sí","No")</x:f>
        <x:v>Sí</x:v>
      </x:c>
      <x:c r="X345" s="41" t="str">
        <x:f>IF(L345&gt;=H345,"Weekly","No weekly")</x:f>
        <x:v>Weekly</x:v>
      </x:c>
      <x:c r="Y345" s="41" t="n">
        <x:f>IFERROR(I345-E345,"")</x:f>
        <x:v>-0.8273539999999997</x:v>
      </x:c>
      <x:c r="Z345" s="41" t="n">
        <x:f>IFERROR(J345-F345,"")</x:f>
        <x:v>5.835647999999999</x:v>
      </x:c>
      <x:c r="AA345" s="41" t="n">
        <x:v>10718</x:v>
      </x:c>
      <x:c r="AB345" s="41" t="n">
        <x:v>4708</x:v>
      </x:c>
    </x:row>
    <x:row r="346">
      <x:c r="A346" s="41" t="str">
        <x:v>HYP_REFINE_AUTO002_TOPN_6_V1_DDGRID_EXT_R12_C25_E75_CR50_REDD_RECOVERED_DD12_SL22</x:v>
      </x:c>
      <x:c r="B346" s="41" t="str">
        <x:v>dd_guard_grid</x:v>
      </x:c>
      <x:c r="C346" s="41" t="str">
        <x:v>1999-01-04</x:v>
      </x:c>
      <x:c r="D346" s="41" t="str">
        <x:v>2026-05-22</x:v>
      </x:c>
      <x:c r="E346" s="41" t="n">
        <x:v>14.699292</x:v>
      </x:c>
      <x:c r="F346" s="41" t="n">
        <x:v>-36.817186</x:v>
      </x:c>
      <x:c r="G346" s="41" t="n">
        <x:v>4172.519623</x:v>
      </x:c>
      <x:c r="H346" s="41" t="n">
        <x:f>IFERROR(E346/ABS(F346),"")</x:f>
        <x:v>0.39925082813227497</x:v>
      </x:c>
      <x:c r="I346" s="41" t="n">
        <x:v>14.381101</x:v>
      </x:c>
      <x:c r="J346" s="41" t="n">
        <x:v>-31.230176</x:v>
      </x:c>
      <x:c r="K346" s="41" t="n">
        <x:v>3859.61472</x:v>
      </x:c>
      <x:c r="L346" s="41" t="n">
        <x:f>IFERROR(I346/ABS(J346),"")</x:f>
        <x:v>0.4604873504395236</x:v>
      </x:c>
      <x:c r="M346" s="41" t="n">
        <x:v>6.802475</x:v>
      </x:c>
      <x:c r="N346" s="41" t="n">
        <x:v>-56.473669</x:v>
      </x:c>
      <x:c r="O346" s="41" t="n">
        <x:v>506.057416</x:v>
      </x:c>
      <x:c r="P346" s="41" t="n">
        <x:f>IFERROR(M346/ABS(N346),"")</x:f>
        <x:v>0.12045392340278087</x:v>
      </x:c>
      <x:c r="Q346" s="41" t="str">
        <x:f>IF(L346&gt;=MAX(H346,P346),"Weekly",IF(H346&gt;=MAX(L346,P346),"No weekly","SPY"))</x:f>
        <x:v>Weekly</x:v>
      </x:c>
      <x:c r="R346" s="41" t="n">
        <x:f>IFERROR(L346-P346,"")</x:f>
        <x:v>0.3400334270367427</x:v>
      </x:c>
      <x:c r="S346" s="41" t="n">
        <x:f>IFERROR(H346-P346,"")</x:f>
        <x:v>0.2787969047294941</x:v>
      </x:c>
      <x:c r="T346" s="41" t="n">
        <x:f>IFERROR(I346-M346,"")</x:f>
        <x:v>7.578625999999999</x:v>
      </x:c>
      <x:c r="U346" s="41" t="n">
        <x:f>IFERROR(E346-M346,"")</x:f>
        <x:v>7.8968169999999995</x:v>
      </x:c>
      <x:c r="V346" s="41" t="str">
        <x:f>IF(AND(I346&gt;M346,J346&gt;N346),"Sí","No")</x:f>
        <x:v>Sí</x:v>
      </x:c>
      <x:c r="W346" s="41" t="str">
        <x:f>IF(AND(E346&gt;M346,F346&gt;N346),"Sí","No")</x:f>
        <x:v>Sí</x:v>
      </x:c>
      <x:c r="X346" s="41" t="str">
        <x:f>IF(L346&gt;=H346,"Weekly","No weekly")</x:f>
        <x:v>Weekly</x:v>
      </x:c>
      <x:c r="Y346" s="41" t="n">
        <x:f>IFERROR(I346-E346,"")</x:f>
        <x:v>-0.31819100000000056</x:v>
      </x:c>
      <x:c r="Z346" s="41" t="n">
        <x:f>IFERROR(J346-F346,"")</x:f>
        <x:v>5.587009999999999</x:v>
      </x:c>
      <x:c r="AA346" s="41" t="n">
        <x:v>10859</x:v>
      </x:c>
      <x:c r="AB346" s="41" t="n">
        <x:v>4716</x:v>
      </x:c>
    </x:row>
    <x:row r="347">
      <x:c r="A347" s="41" t="str">
        <x:v>HYP_REFINE_AUTO002_TOPN_6_V1_DDGRID_EXT_R12_C25_E75_CR50_REDD_RECOVERED_DD12_SL25</x:v>
      </x:c>
      <x:c r="B347" s="41" t="str">
        <x:v>dd_guard_grid</x:v>
      </x:c>
      <x:c r="C347" s="41" t="str">
        <x:v>1999-01-04</x:v>
      </x:c>
      <x:c r="D347" s="41" t="str">
        <x:v>2026-05-22</x:v>
      </x:c>
      <x:c r="E347" s="41" t="n">
        <x:v>14.404811</x:v>
      </x:c>
      <x:c r="F347" s="41" t="n">
        <x:v>-37.356829</x:v>
      </x:c>
      <x:c r="G347" s="41" t="n">
        <x:v>3882.148202</x:v>
      </x:c>
      <x:c r="H347" s="41" t="n">
        <x:f>IFERROR(E347/ABS(F347),"")</x:f>
        <x:v>0.3856004748154615</x:v>
      </x:c>
      <x:c r="I347" s="41" t="n">
        <x:v>14.684238</x:v>
      </x:c>
      <x:c r="J347" s="41" t="n">
        <x:v>-30.67675</x:v>
      </x:c>
      <x:c r="K347" s="41" t="n">
        <x:v>4157.193559</x:v>
      </x:c>
      <x:c r="L347" s="41" t="n">
        <x:f>IFERROR(I347/ABS(J347),"")</x:f>
        <x:v>0.4786764569258478</x:v>
      </x:c>
      <x:c r="M347" s="41" t="n">
        <x:v>6.802475</x:v>
      </x:c>
      <x:c r="N347" s="41" t="n">
        <x:v>-56.473669</x:v>
      </x:c>
      <x:c r="O347" s="41" t="n">
        <x:v>506.057416</x:v>
      </x:c>
      <x:c r="P347" s="41" t="n">
        <x:f>IFERROR(M347/ABS(N347),"")</x:f>
        <x:v>0.12045392340278087</x:v>
      </x:c>
      <x:c r="Q347" s="41" t="str">
        <x:f>IF(L347&gt;=MAX(H347,P347),"Weekly",IF(H347&gt;=MAX(L347,P347),"No weekly","SPY"))</x:f>
        <x:v>Weekly</x:v>
      </x:c>
      <x:c r="R347" s="41" t="n">
        <x:f>IFERROR(L347-P347,"")</x:f>
        <x:v>0.35822253352306693</x:v>
      </x:c>
      <x:c r="S347" s="41" t="n">
        <x:f>IFERROR(H347-P347,"")</x:f>
        <x:v>0.2651465514126806</x:v>
      </x:c>
      <x:c r="T347" s="41" t="n">
        <x:f>IFERROR(I347-M347,"")</x:f>
        <x:v>7.881763</x:v>
      </x:c>
      <x:c r="U347" s="41" t="n">
        <x:f>IFERROR(E347-M347,"")</x:f>
        <x:v>7.602336</x:v>
      </x:c>
      <x:c r="V347" s="41" t="str">
        <x:f>IF(AND(I347&gt;M347,J347&gt;N347),"Sí","No")</x:f>
        <x:v>Sí</x:v>
      </x:c>
      <x:c r="W347" s="41" t="str">
        <x:f>IF(AND(E347&gt;M347,F347&gt;N347),"Sí","No")</x:f>
        <x:v>Sí</x:v>
      </x:c>
      <x:c r="X347" s="41" t="str">
        <x:f>IF(L347&gt;=H347,"Weekly","No weekly")</x:f>
        <x:v>Weekly</x:v>
      </x:c>
      <x:c r="Y347" s="41" t="n">
        <x:f>IFERROR(I347-E347,"")</x:f>
        <x:v>0.2794270000000001</x:v>
      </x:c>
      <x:c r="Z347" s="41" t="n">
        <x:f>IFERROR(J347-F347,"")</x:f>
        <x:v>6.680078999999999</x:v>
      </x:c>
      <x:c r="AA347" s="41" t="n">
        <x:v>10173</x:v>
      </x:c>
      <x:c r="AB347" s="41" t="n">
        <x:v>5024</x:v>
      </x:c>
    </x:row>
    <x:row r="348">
      <x:c r="A348" s="41" t="str">
        <x:v>HYP_REFINE_AUTO002_TOPN_6_V1_DDGRID_EXT_R12_C25_E75_CR50_REDD_RECOVERED_DD12_SLNONE</x:v>
      </x:c>
      <x:c r="B348" s="41" t="str">
        <x:v>dd_guard_grid</x:v>
      </x:c>
      <x:c r="C348" s="41" t="str">
        <x:v>1999-01-04</x:v>
      </x:c>
      <x:c r="D348" s="41" t="str">
        <x:v>2026-05-22</x:v>
      </x:c>
      <x:c r="E348" s="41" t="n">
        <x:v>14.114642</x:v>
      </x:c>
      <x:c r="F348" s="41" t="n">
        <x:v>-37.64575</x:v>
      </x:c>
      <x:c r="G348" s="41" t="n">
        <x:v>3614.678438</x:v>
      </x:c>
      <x:c r="H348" s="41" t="n">
        <x:f>IFERROR(E348/ABS(F348),"")</x:f>
        <x:v>0.37493321291248016</x:v>
      </x:c>
      <x:c r="I348" s="41" t="n">
        <x:v>15.413287</x:v>
      </x:c>
      <x:c r="J348" s="41" t="n">
        <x:v>-29.816397</x:v>
      </x:c>
      <x:c r="K348" s="41" t="n">
        <x:v>4963.737308</x:v>
      </x:c>
      <x:c r="L348" s="41" t="n">
        <x:f>IFERROR(I348/ABS(J348),"")</x:f>
        <x:v>0.5169399575676431</x:v>
      </x:c>
      <x:c r="M348" s="41" t="n">
        <x:v>6.802475</x:v>
      </x:c>
      <x:c r="N348" s="41" t="n">
        <x:v>-56.473669</x:v>
      </x:c>
      <x:c r="O348" s="41" t="n">
        <x:v>506.057416</x:v>
      </x:c>
      <x:c r="P348" s="41" t="n">
        <x:f>IFERROR(M348/ABS(N348),"")</x:f>
        <x:v>0.12045392340278087</x:v>
      </x:c>
      <x:c r="Q348" s="41" t="str">
        <x:f>IF(L348&gt;=MAX(H348,P348),"Weekly",IF(H348&gt;=MAX(L348,P348),"No weekly","SPY"))</x:f>
        <x:v>Weekly</x:v>
      </x:c>
      <x:c r="R348" s="41" t="n">
        <x:f>IFERROR(L348-P348,"")</x:f>
        <x:v>0.3964860341648622</x:v>
      </x:c>
      <x:c r="S348" s="41" t="n">
        <x:f>IFERROR(H348-P348,"")</x:f>
        <x:v>0.2544792895096993</x:v>
      </x:c>
      <x:c r="T348" s="41" t="n">
        <x:f>IFERROR(I348-M348,"")</x:f>
        <x:v>8.610812</x:v>
      </x:c>
      <x:c r="U348" s="41" t="n">
        <x:f>IFERROR(E348-M348,"")</x:f>
        <x:v>7.312167</x:v>
      </x:c>
      <x:c r="V348" s="41" t="str">
        <x:f>IF(AND(I348&gt;M348,J348&gt;N348),"Sí","No")</x:f>
        <x:v>Sí</x:v>
      </x:c>
      <x:c r="W348" s="41" t="str">
        <x:f>IF(AND(E348&gt;M348,F348&gt;N348),"Sí","No")</x:f>
        <x:v>Sí</x:v>
      </x:c>
      <x:c r="X348" s="41" t="str">
        <x:f>IF(L348&gt;=H348,"Weekly","No weekly")</x:f>
        <x:v>Weekly</x:v>
      </x:c>
      <x:c r="Y348" s="41" t="n">
        <x:f>IFERROR(I348-E348,"")</x:f>
        <x:v>1.2986450000000005</x:v>
      </x:c>
      <x:c r="Z348" s="41" t="n">
        <x:f>IFERROR(J348-F348,"")</x:f>
        <x:v>7.829353000000001</x:v>
      </x:c>
      <x:c r="AA348" s="41" t="n">
        <x:v>10234</x:v>
      </x:c>
      <x:c r="AB348" s="41" t="n">
        <x:v>5164</x:v>
      </x:c>
    </x:row>
    <x:row r="349">
      <x:c r="A349" s="41" t="str">
        <x:v>HYP_REFINE_AUTO002_TOPN_6_V1_DDGRID_EXT_R12_C25_E75_CR50_REDD_RECOVERED_DD6_SL18</x:v>
      </x:c>
      <x:c r="B349" s="41" t="str">
        <x:v>dd_guard_grid</x:v>
      </x:c>
      <x:c r="C349" s="41" t="str">
        <x:v>1999-01-04</x:v>
      </x:c>
      <x:c r="D349" s="41" t="str">
        <x:v>2026-05-22</x:v>
      </x:c>
      <x:c r="E349" s="41" t="n">
        <x:v>14.389634</x:v>
      </x:c>
      <x:c r="F349" s="41" t="n">
        <x:v>-35.652721</x:v>
      </x:c>
      <x:c r="G349" s="41" t="n">
        <x:v>3867.710052</x:v>
      </x:c>
      <x:c r="H349" s="41" t="n">
        <x:f>IFERROR(E349/ABS(F349),"")</x:f>
        <x:v>0.4036054919903589</x:v>
      </x:c>
      <x:c r="I349" s="41" t="n">
        <x:v>14.621837</x:v>
      </x:c>
      <x:c r="J349" s="41" t="n">
        <x:v>-30.881589</x:v>
      </x:c>
      <x:c r="K349" s="41" t="n">
        <x:v>4094.227765</x:v>
      </x:c>
      <x:c r="L349" s="41" t="n">
        <x:f>IFERROR(I349/ABS(J349),"")</x:f>
        <x:v>0.47348072017926274</x:v>
      </x:c>
      <x:c r="M349" s="41" t="n">
        <x:v>6.802475</x:v>
      </x:c>
      <x:c r="N349" s="41" t="n">
        <x:v>-56.473669</x:v>
      </x:c>
      <x:c r="O349" s="41" t="n">
        <x:v>506.057416</x:v>
      </x:c>
      <x:c r="P349" s="41" t="n">
        <x:f>IFERROR(M349/ABS(N349),"")</x:f>
        <x:v>0.12045392340278087</x:v>
      </x:c>
      <x:c r="Q349" s="41" t="str">
        <x:f>IF(L349&gt;=MAX(H349,P349),"Weekly",IF(H349&gt;=MAX(L349,P349),"No weekly","SPY"))</x:f>
        <x:v>Weekly</x:v>
      </x:c>
      <x:c r="R349" s="41" t="n">
        <x:f>IFERROR(L349-P349,"")</x:f>
        <x:v>0.35302679677648185</x:v>
      </x:c>
      <x:c r="S349" s="41" t="n">
        <x:f>IFERROR(H349-P349,"")</x:f>
        <x:v>0.283151568587578</x:v>
      </x:c>
      <x:c r="T349" s="41" t="n">
        <x:f>IFERROR(I349-M349,"")</x:f>
        <x:v>7.819361999999999</x:v>
      </x:c>
      <x:c r="U349" s="41" t="n">
        <x:f>IFERROR(E349-M349,"")</x:f>
        <x:v>7.587158999999999</x:v>
      </x:c>
      <x:c r="V349" s="41" t="str">
        <x:f>IF(AND(I349&gt;M349,J349&gt;N349),"Sí","No")</x:f>
        <x:v>Sí</x:v>
      </x:c>
      <x:c r="W349" s="41" t="str">
        <x:f>IF(AND(E349&gt;M349,F349&gt;N349),"Sí","No")</x:f>
        <x:v>Sí</x:v>
      </x:c>
      <x:c r="X349" s="41" t="str">
        <x:f>IF(L349&gt;=H349,"Weekly","No weekly")</x:f>
        <x:v>Weekly</x:v>
      </x:c>
      <x:c r="Y349" s="41" t="n">
        <x:f>IFERROR(I349-E349,"")</x:f>
        <x:v>0.23220300000000016</x:v>
      </x:c>
      <x:c r="Z349" s="41" t="n">
        <x:f>IFERROR(J349-F349,"")</x:f>
        <x:v>4.771131999999998</x:v>
      </x:c>
      <x:c r="AA349" s="41" t="n">
        <x:v>11519</x:v>
      </x:c>
      <x:c r="AB349" s="41" t="n">
        <x:v>5271</x:v>
      </x:c>
    </x:row>
    <x:row r="350">
      <x:c r="A350" s="41" t="str">
        <x:v>HYP_REFINE_AUTO002_TOPN_6_V1_DDGRID_EXT_R12_C25_E75_CR50_REDD_RECOVERED_DD6_SL22</x:v>
      </x:c>
      <x:c r="B350" s="41" t="str">
        <x:v>dd_guard_grid</x:v>
      </x:c>
      <x:c r="C350" s="41" t="str">
        <x:v>1999-01-04</x:v>
      </x:c>
      <x:c r="D350" s="41" t="str">
        <x:v>2026-05-22</x:v>
      </x:c>
      <x:c r="E350" s="41" t="n">
        <x:v>14.125736</x:v>
      </x:c>
      <x:c r="F350" s="41" t="n">
        <x:v>-36.817186</x:v>
      </x:c>
      <x:c r="G350" s="41" t="n">
        <x:v>3624.578208</x:v>
      </x:c>
      <x:c r="H350" s="41" t="n">
        <x:f>IFERROR(E350/ABS(F350),"")</x:f>
        <x:v>0.38367234258479177</x:v>
      </x:c>
      <x:c r="I350" s="41" t="n">
        <x:v>14.71644</x:v>
      </x:c>
      <x:c r="J350" s="41" t="n">
        <x:v>-30.885162</x:v>
      </x:c>
      <x:c r="K350" s="41" t="n">
        <x:v>4190.043282</x:v>
      </x:c>
      <x:c r="L350" s="41" t="n">
        <x:f>IFERROR(I350/ABS(J350),"")</x:f>
        <x:v>0.4764890014175739</x:v>
      </x:c>
      <x:c r="M350" s="41" t="n">
        <x:v>6.802475</x:v>
      </x:c>
      <x:c r="N350" s="41" t="n">
        <x:v>-56.473669</x:v>
      </x:c>
      <x:c r="O350" s="41" t="n">
        <x:v>506.057416</x:v>
      </x:c>
      <x:c r="P350" s="41" t="n">
        <x:f>IFERROR(M350/ABS(N350),"")</x:f>
        <x:v>0.12045392340278087</x:v>
      </x:c>
      <x:c r="Q350" s="41" t="str">
        <x:f>IF(L350&gt;=MAX(H350,P350),"Weekly",IF(H350&gt;=MAX(L350,P350),"No weekly","SPY"))</x:f>
        <x:v>Weekly</x:v>
      </x:c>
      <x:c r="R350" s="41" t="n">
        <x:f>IFERROR(L350-P350,"")</x:f>
        <x:v>0.356035078014793</x:v>
      </x:c>
      <x:c r="S350" s="41" t="n">
        <x:f>IFERROR(H350-P350,"")</x:f>
        <x:v>0.2632184191820109</x:v>
      </x:c>
      <x:c r="T350" s="41" t="n">
        <x:f>IFERROR(I350-M350,"")</x:f>
        <x:v>7.913965</x:v>
      </x:c>
      <x:c r="U350" s="41" t="n">
        <x:f>IFERROR(E350-M350,"")</x:f>
        <x:v>7.323261</x:v>
      </x:c>
      <x:c r="V350" s="41" t="str">
        <x:f>IF(AND(I350&gt;M350,J350&gt;N350),"Sí","No")</x:f>
        <x:v>Sí</x:v>
      </x:c>
      <x:c r="W350" s="41" t="str">
        <x:f>IF(AND(E350&gt;M350,F350&gt;N350),"Sí","No")</x:f>
        <x:v>Sí</x:v>
      </x:c>
      <x:c r="X350" s="41" t="str">
        <x:f>IF(L350&gt;=H350,"Weekly","No weekly")</x:f>
        <x:v>Weekly</x:v>
      </x:c>
      <x:c r="Y350" s="41" t="n">
        <x:f>IFERROR(I350-E350,"")</x:f>
        <x:v>0.5907040000000006</x:v>
      </x:c>
      <x:c r="Z350" s="41" t="n">
        <x:f>IFERROR(J350-F350,"")</x:f>
        <x:v>5.932023999999998</x:v>
      </x:c>
      <x:c r="AA350" s="41" t="n">
        <x:v>11905</x:v>
      </x:c>
      <x:c r="AB350" s="41" t="n">
        <x:v>5675</x:v>
      </x:c>
    </x:row>
    <x:row r="351">
      <x:c r="A351" s="41" t="str">
        <x:v>HYP_REFINE_AUTO002_TOPN_6_V1_DDGRID_EXT_R12_C25_E75_CR50_REDD_RECOVERED_DD6_SL25</x:v>
      </x:c>
      <x:c r="B351" s="41" t="str">
        <x:v>dd_guard_grid</x:v>
      </x:c>
      <x:c r="C351" s="41" t="str">
        <x:v>1999-01-04</x:v>
      </x:c>
      <x:c r="D351" s="41" t="str">
        <x:v>2026-05-22</x:v>
      </x:c>
      <x:c r="E351" s="41" t="n">
        <x:v>14.025205</x:v>
      </x:c>
      <x:c r="F351" s="41" t="n">
        <x:v>-37.356829</x:v>
      </x:c>
      <x:c r="G351" s="41" t="n">
        <x:v>3535.787536</x:v>
      </x:c>
      <x:c r="H351" s="41" t="n">
        <x:f>IFERROR(E351/ABS(F351),"")</x:f>
        <x:v>0.3754388521573927</x:v>
      </x:c>
      <x:c r="I351" s="41" t="n">
        <x:v>14.327784</x:v>
      </x:c>
      <x:c r="J351" s="41" t="n">
        <x:v>-30.67675</x:v>
      </x:c>
      <x:c r="K351" s="41" t="n">
        <x:v>3809.390813</x:v>
      </x:c>
      <x:c r="L351" s="41" t="n">
        <x:f>IFERROR(I351/ABS(J351),"")</x:f>
        <x:v>0.46705677752695446</x:v>
      </x:c>
      <x:c r="M351" s="41" t="n">
        <x:v>6.802475</x:v>
      </x:c>
      <x:c r="N351" s="41" t="n">
        <x:v>-56.473669</x:v>
      </x:c>
      <x:c r="O351" s="41" t="n">
        <x:v>506.057416</x:v>
      </x:c>
      <x:c r="P351" s="41" t="n">
        <x:f>IFERROR(M351/ABS(N351),"")</x:f>
        <x:v>0.12045392340278087</x:v>
      </x:c>
      <x:c r="Q351" s="41" t="str">
        <x:f>IF(L351&gt;=MAX(H351,P351),"Weekly",IF(H351&gt;=MAX(L351,P351),"No weekly","SPY"))</x:f>
        <x:v>Weekly</x:v>
      </x:c>
      <x:c r="R351" s="41" t="n">
        <x:f>IFERROR(L351-P351,"")</x:f>
        <x:v>0.3466028541241736</x:v>
      </x:c>
      <x:c r="S351" s="41" t="n">
        <x:f>IFERROR(H351-P351,"")</x:f>
        <x:v>0.2549849287546118</x:v>
      </x:c>
      <x:c r="T351" s="41" t="n">
        <x:f>IFERROR(I351-M351,"")</x:f>
        <x:v>7.525308999999999</x:v>
      </x:c>
      <x:c r="U351" s="41" t="n">
        <x:f>IFERROR(E351-M351,"")</x:f>
        <x:v>7.222729999999999</x:v>
      </x:c>
      <x:c r="V351" s="41" t="str">
        <x:f>IF(AND(I351&gt;M351,J351&gt;N351),"Sí","No")</x:f>
        <x:v>Sí</x:v>
      </x:c>
      <x:c r="W351" s="41" t="str">
        <x:f>IF(AND(E351&gt;M351,F351&gt;N351),"Sí","No")</x:f>
        <x:v>Sí</x:v>
      </x:c>
      <x:c r="X351" s="41" t="str">
        <x:f>IF(L351&gt;=H351,"Weekly","No weekly")</x:f>
        <x:v>Weekly</x:v>
      </x:c>
      <x:c r="Y351" s="41" t="n">
        <x:f>IFERROR(I351-E351,"")</x:f>
        <x:v>0.3025789999999997</x:v>
      </x:c>
      <x:c r="Z351" s="41" t="n">
        <x:f>IFERROR(J351-F351,"")</x:f>
        <x:v>6.680078999999999</x:v>
      </x:c>
      <x:c r="AA351" s="41" t="n">
        <x:v>11772</x:v>
      </x:c>
      <x:c r="AB351" s="41" t="n">
        <x:v>6008</x:v>
      </x:c>
    </x:row>
    <x:row r="352">
      <x:c r="A352" s="41" t="str">
        <x:v>HYP_REFINE_AUTO002_TOPN_6_V1_DDGRID_EXT_R12_C25_E75_CR50_REDD_RECOVERED_DD6_SLNONE</x:v>
      </x:c>
      <x:c r="B352" s="41" t="str">
        <x:v>dd_guard_grid</x:v>
      </x:c>
      <x:c r="C352" s="41" t="str">
        <x:v>1999-01-04</x:v>
      </x:c>
      <x:c r="D352" s="41" t="str">
        <x:v>2026-05-22</x:v>
      </x:c>
      <x:c r="E352" s="41" t="n">
        <x:v>14.043884</x:v>
      </x:c>
      <x:c r="F352" s="41" t="n">
        <x:v>-37.64575</x:v>
      </x:c>
      <x:c r="G352" s="41" t="n">
        <x:v>3552.129907</x:v>
      </x:c>
      <x:c r="H352" s="41" t="n">
        <x:f>IFERROR(E352/ABS(F352),"")</x:f>
        <x:v>0.37305363819289034</x:v>
      </x:c>
      <x:c r="I352" s="41" t="n">
        <x:v>14.983437</x:v>
      </x:c>
      <x:c r="J352" s="41" t="n">
        <x:v>-29.816397</x:v>
      </x:c>
      <x:c r="K352" s="41" t="n">
        <x:v>4471.973328</x:v>
      </x:c>
      <x:c r="L352" s="41" t="n">
        <x:f>IFERROR(I352/ABS(J352),"")</x:f>
        <x:v>0.5025233934200702</x:v>
      </x:c>
      <x:c r="M352" s="41" t="n">
        <x:v>6.802475</x:v>
      </x:c>
      <x:c r="N352" s="41" t="n">
        <x:v>-56.473669</x:v>
      </x:c>
      <x:c r="O352" s="41" t="n">
        <x:v>506.057416</x:v>
      </x:c>
      <x:c r="P352" s="41" t="n">
        <x:f>IFERROR(M352/ABS(N352),"")</x:f>
        <x:v>0.12045392340278087</x:v>
      </x:c>
      <x:c r="Q352" s="41" t="str">
        <x:f>IF(L352&gt;=MAX(H352,P352),"Weekly",IF(H352&gt;=MAX(L352,P352),"No weekly","SPY"))</x:f>
        <x:v>Weekly</x:v>
      </x:c>
      <x:c r="R352" s="41" t="n">
        <x:f>IFERROR(L352-P352,"")</x:f>
        <x:v>0.38206947001728936</x:v>
      </x:c>
      <x:c r="S352" s="41" t="n">
        <x:f>IFERROR(H352-P352,"")</x:f>
        <x:v>0.25259971479010945</x:v>
      </x:c>
      <x:c r="T352" s="41" t="n">
        <x:f>IFERROR(I352-M352,"")</x:f>
        <x:v>8.180962000000001</x:v>
      </x:c>
      <x:c r="U352" s="41" t="n">
        <x:f>IFERROR(E352-M352,"")</x:f>
        <x:v>7.241409</x:v>
      </x:c>
      <x:c r="V352" s="41" t="str">
        <x:f>IF(AND(I352&gt;M352,J352&gt;N352),"Sí","No")</x:f>
        <x:v>Sí</x:v>
      </x:c>
      <x:c r="W352" s="41" t="str">
        <x:f>IF(AND(E352&gt;M352,F352&gt;N352),"Sí","No")</x:f>
        <x:v>Sí</x:v>
      </x:c>
      <x:c r="X352" s="41" t="str">
        <x:f>IF(L352&gt;=H352,"Weekly","No weekly")</x:f>
        <x:v>Weekly</x:v>
      </x:c>
      <x:c r="Y352" s="41" t="n">
        <x:f>IFERROR(I352-E352,"")</x:f>
        <x:v>0.9395530000000001</x:v>
      </x:c>
      <x:c r="Z352" s="41" t="n">
        <x:f>IFERROR(J352-F352,"")</x:f>
        <x:v>7.829353000000001</x:v>
      </x:c>
      <x:c r="AA352" s="41" t="n">
        <x:v>11832</x:v>
      </x:c>
      <x:c r="AB352" s="41" t="n">
        <x:v>6083</x:v>
      </x:c>
    </x:row>
    <x:row r="353">
      <x:c r="A353" s="41" t="str">
        <x:v>HYP_REFINE_AUTO002_TOPN_6_V1_DDGRID_EXT_R12_C25_E75_CR50_REDD_RECOVERED_DD8_SL25</x:v>
      </x:c>
      <x:c r="B353" s="41" t="str">
        <x:v>dd_guard_grid</x:v>
      </x:c>
      <x:c r="C353" s="41" t="str">
        <x:v>1999-01-04</x:v>
      </x:c>
      <x:c r="D353" s="41" t="str">
        <x:v>2026-05-22</x:v>
      </x:c>
      <x:c r="E353" s="41" t="n">
        <x:v>14.024213</x:v>
      </x:c>
      <x:c r="F353" s="41" t="n">
        <x:v>-37.356829</x:v>
      </x:c>
      <x:c r="G353" s="41" t="n">
        <x:v>3534.922329</x:v>
      </x:c>
      <x:c r="H353" s="41" t="n">
        <x:f>IFERROR(E353/ABS(F353),"")</x:f>
        <x:v>0.37541229744098464</x:v>
      </x:c>
      <x:c r="I353" s="41" t="n">
        <x:v>14.965899</x:v>
      </x:c>
      <x:c r="J353" s="41" t="n">
        <x:v>-30.67675</x:v>
      </x:c>
      <x:c r="K353" s="41" t="n">
        <x:v>4452.918594</x:v>
      </x:c>
      <x:c r="L353" s="41" t="n">
        <x:f>IFERROR(I353/ABS(J353),"")</x:f>
        <x:v>0.4878580358088781</x:v>
      </x:c>
      <x:c r="M353" s="41" t="n">
        <x:v>6.802475</x:v>
      </x:c>
      <x:c r="N353" s="41" t="n">
        <x:v>-56.473669</x:v>
      </x:c>
      <x:c r="O353" s="41" t="n">
        <x:v>506.057416</x:v>
      </x:c>
      <x:c r="P353" s="41" t="n">
        <x:f>IFERROR(M353/ABS(N353),"")</x:f>
        <x:v>0.12045392340278087</x:v>
      </x:c>
      <x:c r="Q353" s="41" t="str">
        <x:f>IF(L353&gt;=MAX(H353,P353),"Weekly",IF(H353&gt;=MAX(L353,P353),"No weekly","SPY"))</x:f>
        <x:v>Weekly</x:v>
      </x:c>
      <x:c r="R353" s="41" t="n">
        <x:f>IFERROR(L353-P353,"")</x:f>
        <x:v>0.3674041124060972</x:v>
      </x:c>
      <x:c r="S353" s="41" t="n">
        <x:f>IFERROR(H353-P353,"")</x:f>
        <x:v>0.25495837403820376</x:v>
      </x:c>
      <x:c r="T353" s="41" t="n">
        <x:f>IFERROR(I353-M353,"")</x:f>
        <x:v>8.163424</x:v>
      </x:c>
      <x:c r="U353" s="41" t="n">
        <x:f>IFERROR(E353-M353,"")</x:f>
        <x:v>7.221737999999999</x:v>
      </x:c>
      <x:c r="V353" s="41" t="str">
        <x:f>IF(AND(I353&gt;M353,J353&gt;N353),"Sí","No")</x:f>
        <x:v>Sí</x:v>
      </x:c>
      <x:c r="W353" s="41" t="str">
        <x:f>IF(AND(E353&gt;M353,F353&gt;N353),"Sí","No")</x:f>
        <x:v>Sí</x:v>
      </x:c>
      <x:c r="X353" s="41" t="str">
        <x:f>IF(L353&gt;=H353,"Weekly","No weekly")</x:f>
        <x:v>Weekly</x:v>
      </x:c>
      <x:c r="Y353" s="41" t="n">
        <x:f>IFERROR(I353-E353,"")</x:f>
        <x:v>0.9416860000000007</x:v>
      </x:c>
      <x:c r="Z353" s="41" t="n">
        <x:f>IFERROR(J353-F353,"")</x:f>
        <x:v>6.680078999999999</x:v>
      </x:c>
      <x:c r="AA353" s="41" t="n">
        <x:v>11187</x:v>
      </x:c>
      <x:c r="AB353" s="41" t="n">
        <x:v>5666</x:v>
      </x:c>
    </x:row>
    <x:row r="354">
      <x:c r="A354" s="41" t="str">
        <x:v>HYP_REFINE_AUTO002_TOPN_6_V1_DDGRID_EXT_R12_C26_E60_CR50_REDD_RECOVERED_DD8_SL18</x:v>
      </x:c>
      <x:c r="B354" s="41" t="str">
        <x:v>dd_guard_grid</x:v>
      </x:c>
      <x:c r="C354" s="41" t="str">
        <x:v>1999-01-04</x:v>
      </x:c>
      <x:c r="D354" s="41" t="str">
        <x:v>2026-05-22</x:v>
      </x:c>
      <x:c r="E354" s="41" t="n">
        <x:v>11.677084</x:v>
      </x:c>
      <x:c r="F354" s="41" t="n">
        <x:v>-33.35743</x:v>
      </x:c>
      <x:c r="G354" s="41" t="n">
        <x:v>1956.764479</x:v>
      </x:c>
      <x:c r="H354" s="41" t="n">
        <x:f>IFERROR(E354/ABS(F354),"")</x:f>
        <x:v>0.35005946201490945</x:v>
      </x:c>
      <x:c r="I354" s="41" t="n">
        <x:v>12.558331</x:v>
      </x:c>
      <x:c r="J354" s="41" t="n">
        <x:v>-28.933971</x:v>
      </x:c>
      <x:c r="K354" s="41" t="n">
        <x:v>2450.605406</x:v>
      </x:c>
      <x:c r="L354" s="41" t="n">
        <x:f>IFERROR(I354/ABS(J354),"")</x:f>
        <x:v>0.43403413240443217</x:v>
      </x:c>
      <x:c r="M354" s="41" t="n">
        <x:v>6.802475</x:v>
      </x:c>
      <x:c r="N354" s="41" t="n">
        <x:v>-56.473669</x:v>
      </x:c>
      <x:c r="O354" s="41" t="n">
        <x:v>506.057416</x:v>
      </x:c>
      <x:c r="P354" s="41" t="n">
        <x:f>IFERROR(M354/ABS(N354),"")</x:f>
        <x:v>0.12045392340278087</x:v>
      </x:c>
      <x:c r="Q354" s="41" t="str">
        <x:f>IF(L354&gt;=MAX(H354,P354),"Weekly",IF(H354&gt;=MAX(L354,P354),"No weekly","SPY"))</x:f>
        <x:v>Weekly</x:v>
      </x:c>
      <x:c r="R354" s="41" t="n">
        <x:f>IFERROR(L354-P354,"")</x:f>
        <x:v>0.3135802090016513</x:v>
      </x:c>
      <x:c r="S354" s="41" t="n">
        <x:f>IFERROR(H354-P354,"")</x:f>
        <x:v>0.22960553861212857</x:v>
      </x:c>
      <x:c r="T354" s="41" t="n">
        <x:f>IFERROR(I354-M354,"")</x:f>
        <x:v>5.7558560000000005</x:v>
      </x:c>
      <x:c r="U354" s="41" t="n">
        <x:f>IFERROR(E354-M354,"")</x:f>
        <x:v>4.874609</x:v>
      </x:c>
      <x:c r="V354" s="41" t="str">
        <x:f>IF(AND(I354&gt;M354,J354&gt;N354),"Sí","No")</x:f>
        <x:v>Sí</x:v>
      </x:c>
      <x:c r="W354" s="41" t="str">
        <x:f>IF(AND(E354&gt;M354,F354&gt;N354),"Sí","No")</x:f>
        <x:v>Sí</x:v>
      </x:c>
      <x:c r="X354" s="41" t="str">
        <x:f>IF(L354&gt;=H354,"Weekly","No weekly")</x:f>
        <x:v>Weekly</x:v>
      </x:c>
      <x:c r="Y354" s="41" t="n">
        <x:f>IFERROR(I354-E354,"")</x:f>
        <x:v>0.8812470000000001</x:v>
      </x:c>
      <x:c r="Z354" s="41" t="n">
        <x:f>IFERROR(J354-F354,"")</x:f>
        <x:v>4.423459000000001</x:v>
      </x:c>
      <x:c r="AA354" s="41" t="n">
        <x:v>11510</x:v>
      </x:c>
      <x:c r="AB354" s="41" t="n">
        <x:v>5720</x:v>
      </x:c>
    </x:row>
    <x:row r="355">
      <x:c r="A355" s="41" t="str">
        <x:v>HYP_REFINE_AUTO002_TOPN_6_V1_DDGRID_EXT_R12_C26_E60_CR50_REDD_RECOVERED_DD8_SL20</x:v>
      </x:c>
      <x:c r="B355" s="41" t="str">
        <x:v>dd_guard_grid</x:v>
      </x:c>
      <x:c r="C355" s="41" t="str">
        <x:v>1999-01-04</x:v>
      </x:c>
      <x:c r="D355" s="41" t="str">
        <x:v>2026-05-22</x:v>
      </x:c>
      <x:c r="E355" s="41" t="n">
        <x:v>11.669633</x:v>
      </x:c>
      <x:c r="F355" s="41" t="n">
        <x:v>-34.052946</x:v>
      </x:c>
      <x:c r="G355" s="41" t="n">
        <x:v>1953.010474</x:v>
      </x:c>
      <x:c r="H355" s="41" t="n">
        <x:f>IFERROR(E355/ABS(F355),"")</x:f>
        <x:v>0.3426908497138544</x:v>
      </x:c>
      <x:c r="I355" s="41" t="n">
        <x:v>13.719263</x:v>
      </x:c>
      <x:c r="J355" s="41" t="n">
        <x:v>-28.792535</x:v>
      </x:c>
      <x:c r="K355" s="41" t="n">
        <x:v>3277.945363</x:v>
      </x:c>
      <x:c r="L355" s="41" t="n">
        <x:f>IFERROR(I355/ABS(J355),"")</x:f>
        <x:v>0.4764868046526643</x:v>
      </x:c>
      <x:c r="M355" s="41" t="n">
        <x:v>6.802475</x:v>
      </x:c>
      <x:c r="N355" s="41" t="n">
        <x:v>-56.473669</x:v>
      </x:c>
      <x:c r="O355" s="41" t="n">
        <x:v>506.057416</x:v>
      </x:c>
      <x:c r="P355" s="41" t="n">
        <x:f>IFERROR(M355/ABS(N355),"")</x:f>
        <x:v>0.12045392340278087</x:v>
      </x:c>
      <x:c r="Q355" s="41" t="str">
        <x:f>IF(L355&gt;=MAX(H355,P355),"Weekly",IF(H355&gt;=MAX(L355,P355),"No weekly","SPY"))</x:f>
        <x:v>Weekly</x:v>
      </x:c>
      <x:c r="R355" s="41" t="n">
        <x:f>IFERROR(L355-P355,"")</x:f>
        <x:v>0.3560328812498834</x:v>
      </x:c>
      <x:c r="S355" s="41" t="n">
        <x:f>IFERROR(H355-P355,"")</x:f>
        <x:v>0.2222369263110735</x:v>
      </x:c>
      <x:c r="T355" s="41" t="n">
        <x:f>IFERROR(I355-M355,"")</x:f>
        <x:v>6.9167879999999995</x:v>
      </x:c>
      <x:c r="U355" s="41" t="n">
        <x:f>IFERROR(E355-M355,"")</x:f>
        <x:v>4.867157999999999</x:v>
      </x:c>
      <x:c r="V355" s="41" t="str">
        <x:f>IF(AND(I355&gt;M355,J355&gt;N355),"Sí","No")</x:f>
        <x:v>Sí</x:v>
      </x:c>
      <x:c r="W355" s="41" t="str">
        <x:f>IF(AND(E355&gt;M355,F355&gt;N355),"Sí","No")</x:f>
        <x:v>Sí</x:v>
      </x:c>
      <x:c r="X355" s="41" t="str">
        <x:f>IF(L355&gt;=H355,"Weekly","No weekly")</x:f>
        <x:v>Weekly</x:v>
      </x:c>
      <x:c r="Y355" s="41" t="n">
        <x:f>IFERROR(I355-E355,"")</x:f>
        <x:v>2.0496300000000005</x:v>
      </x:c>
      <x:c r="Z355" s="41" t="n">
        <x:f>IFERROR(J355-F355,"")</x:f>
        <x:v>5.260410999999998</x:v>
      </x:c>
      <x:c r="AA355" s="41" t="n">
        <x:v>11502</x:v>
      </x:c>
      <x:c r="AB355" s="41" t="n">
        <x:v>5770</x:v>
      </x:c>
    </x:row>
    <x:row r="356">
      <x:c r="A356" s="41" t="str">
        <x:v>HYP_REFINE_AUTO002_TOPN_6_V1_DDGRID_EXT_R12_C26_E60_CR50_REDD_RECOVERED_DD8_SL22</x:v>
      </x:c>
      <x:c r="B356" s="41" t="str">
        <x:v>dd_guard_grid</x:v>
      </x:c>
      <x:c r="C356" s="41" t="str">
        <x:v>1999-01-04</x:v>
      </x:c>
      <x:c r="D356" s="41" t="str">
        <x:v>2026-05-22</x:v>
      </x:c>
      <x:c r="E356" s="41" t="n">
        <x:v>11.593486</x:v>
      </x:c>
      <x:c r="F356" s="41" t="n">
        <x:v>-34.767505</x:v>
      </x:c>
      <x:c r="G356" s="41" t="n">
        <x:v>1915.025133</x:v>
      </x:c>
      <x:c r="H356" s="41" t="n">
        <x:f>IFERROR(E356/ABS(F356),"")</x:f>
        <x:v>0.3334575201758079</x:v>
      </x:c>
      <x:c r="I356" s="41" t="n">
        <x:v>13.613566</x:v>
      </x:c>
      <x:c r="J356" s="41" t="n">
        <x:v>-28.737464</x:v>
      </x:c>
      <x:c r="K356" s="41" t="n">
        <x:v>3193.031618</x:v>
      </x:c>
      <x:c r="L356" s="41" t="n">
        <x:f>IFERROR(I356/ABS(J356),"")</x:f>
        <x:v>0.4737218983554012</x:v>
      </x:c>
      <x:c r="M356" s="41" t="n">
        <x:v>6.802475</x:v>
      </x:c>
      <x:c r="N356" s="41" t="n">
        <x:v>-56.473669</x:v>
      </x:c>
      <x:c r="O356" s="41" t="n">
        <x:v>506.057416</x:v>
      </x:c>
      <x:c r="P356" s="41" t="n">
        <x:f>IFERROR(M356/ABS(N356),"")</x:f>
        <x:v>0.12045392340278087</x:v>
      </x:c>
      <x:c r="Q356" s="41" t="str">
        <x:f>IF(L356&gt;=MAX(H356,P356),"Weekly",IF(H356&gt;=MAX(L356,P356),"No weekly","SPY"))</x:f>
        <x:v>Weekly</x:v>
      </x:c>
      <x:c r="R356" s="41" t="n">
        <x:f>IFERROR(L356-P356,"")</x:f>
        <x:v>0.3532679749526203</x:v>
      </x:c>
      <x:c r="S356" s="41" t="n">
        <x:f>IFERROR(H356-P356,"")</x:f>
        <x:v>0.213003596773027</x:v>
      </x:c>
      <x:c r="T356" s="41" t="n">
        <x:f>IFERROR(I356-M356,"")</x:f>
        <x:v>6.811091</x:v>
      </x:c>
      <x:c r="U356" s="41" t="n">
        <x:f>IFERROR(E356-M356,"")</x:f>
        <x:v>4.791011</x:v>
      </x:c>
      <x:c r="V356" s="41" t="str">
        <x:f>IF(AND(I356&gt;M356,J356&gt;N356),"Sí","No")</x:f>
        <x:v>Sí</x:v>
      </x:c>
      <x:c r="W356" s="41" t="str">
        <x:f>IF(AND(E356&gt;M356,F356&gt;N356),"Sí","No")</x:f>
        <x:v>Sí</x:v>
      </x:c>
      <x:c r="X356" s="41" t="str">
        <x:f>IF(L356&gt;=H356,"Weekly","No weekly")</x:f>
        <x:v>Weekly</x:v>
      </x:c>
      <x:c r="Y356" s="41" t="n">
        <x:f>IFERROR(I356-E356,"")</x:f>
        <x:v>2.02008</x:v>
      </x:c>
      <x:c r="Z356" s="41" t="n">
        <x:f>IFERROR(J356-F356,"")</x:f>
        <x:v>6.030041000000001</x:v>
      </x:c>
      <x:c r="AA356" s="41" t="n">
        <x:v>11610</x:v>
      </x:c>
      <x:c r="AB356" s="41" t="n">
        <x:v>5976</x:v>
      </x:c>
    </x:row>
    <x:row r="357">
      <x:c r="A357" s="41" t="str">
        <x:v>HYP_REFINE_AUTO002_TOPN_6_V1_DDGRID_EXT_R12_C26_E66_CR40_REDD_RECOVERED_DD8_SL18</x:v>
      </x:c>
      <x:c r="B357" s="41" t="str">
        <x:v>dd_guard_grid</x:v>
      </x:c>
      <x:c r="C357" s="41" t="str">
        <x:v>1999-01-04</x:v>
      </x:c>
      <x:c r="D357" s="41" t="str">
        <x:v>2026-05-22</x:v>
      </x:c>
      <x:c r="E357" s="41" t="n">
        <x:v>12.823595</x:v>
      </x:c>
      <x:c r="F357" s="41" t="n">
        <x:v>-33.590777</x:v>
      </x:c>
      <x:c r="G357" s="41" t="n">
        <x:v>2620.39492</x:v>
      </x:c>
      <x:c r="H357" s="41" t="n">
        <x:f>IFERROR(E357/ABS(F357),"")</x:f>
        <x:v>0.38175940377919804</x:v>
      </x:c>
      <x:c r="I357" s="41" t="n">
        <x:v>13.754282</x:v>
      </x:c>
      <x:c r="J357" s="41" t="n">
        <x:v>-30.051882</x:v>
      </x:c>
      <x:c r="K357" s="41" t="n">
        <x:v>3306.540746</x:v>
      </x:c>
      <x:c r="L357" s="41" t="n">
        <x:f>IFERROR(I357/ABS(J357),"")</x:f>
        <x:v>0.45768454701106576</x:v>
      </x:c>
      <x:c r="M357" s="41" t="n">
        <x:v>6.802475</x:v>
      </x:c>
      <x:c r="N357" s="41" t="n">
        <x:v>-56.473669</x:v>
      </x:c>
      <x:c r="O357" s="41" t="n">
        <x:v>506.057416</x:v>
      </x:c>
      <x:c r="P357" s="41" t="n">
        <x:f>IFERROR(M357/ABS(N357),"")</x:f>
        <x:v>0.12045392340278087</x:v>
      </x:c>
      <x:c r="Q357" s="41" t="str">
        <x:f>IF(L357&gt;=MAX(H357,P357),"Weekly",IF(H357&gt;=MAX(L357,P357),"No weekly","SPY"))</x:f>
        <x:v>Weekly</x:v>
      </x:c>
      <x:c r="R357" s="41" t="n">
        <x:f>IFERROR(L357-P357,"")</x:f>
        <x:v>0.3372306236082849</x:v>
      </x:c>
      <x:c r="S357" s="41" t="n">
        <x:f>IFERROR(H357-P357,"")</x:f>
        <x:v>0.26130548037641715</x:v>
      </x:c>
      <x:c r="T357" s="41" t="n">
        <x:f>IFERROR(I357-M357,"")</x:f>
        <x:v>6.951807</x:v>
      </x:c>
      <x:c r="U357" s="41" t="n">
        <x:f>IFERROR(E357-M357,"")</x:f>
        <x:v>6.021119999999999</x:v>
      </x:c>
      <x:c r="V357" s="41" t="str">
        <x:f>IF(AND(I357&gt;M357,J357&gt;N357),"Sí","No")</x:f>
        <x:v>Sí</x:v>
      </x:c>
      <x:c r="W357" s="41" t="str">
        <x:f>IF(AND(E357&gt;M357,F357&gt;N357),"Sí","No")</x:f>
        <x:v>Sí</x:v>
      </x:c>
      <x:c r="X357" s="41" t="str">
        <x:f>IF(L357&gt;=H357,"Weekly","No weekly")</x:f>
        <x:v>Weekly</x:v>
      </x:c>
      <x:c r="Y357" s="41" t="n">
        <x:f>IFERROR(I357-E357,"")</x:f>
        <x:v>0.9306870000000007</x:v>
      </x:c>
      <x:c r="Z357" s="41" t="n">
        <x:f>IFERROR(J357-F357,"")</x:f>
        <x:v>3.5388950000000037</x:v>
      </x:c>
      <x:c r="AA357" s="41" t="n">
        <x:v>11595</x:v>
      </x:c>
      <x:c r="AB357" s="41" t="n">
        <x:v>5697</x:v>
      </x:c>
    </x:row>
    <x:row r="358">
      <x:c r="A358" s="41" t="str">
        <x:v>HYP_REFINE_AUTO002_TOPN_6_V1_DDGRID_EXT_R12_C26_E66_CR40_REDD_RECOVERED_DD8_SL20</x:v>
      </x:c>
      <x:c r="B358" s="41" t="str">
        <x:v>dd_guard_grid</x:v>
      </x:c>
      <x:c r="C358" s="41" t="str">
        <x:v>1999-01-04</x:v>
      </x:c>
      <x:c r="D358" s="41" t="str">
        <x:v>2026-05-22</x:v>
      </x:c>
      <x:c r="E358" s="41" t="n">
        <x:v>13.768187</x:v>
      </x:c>
      <x:c r="F358" s="41" t="n">
        <x:v>-35.42664</x:v>
      </x:c>
      <x:c r="G358" s="41" t="n">
        <x:v>3317.959693</x:v>
      </x:c>
      <x:c r="H358" s="41" t="n">
        <x:f>IFERROR(E358/ABS(F358),"")</x:f>
        <x:v>0.3886393685655766</x:v>
      </x:c>
      <x:c r="I358" s="41" t="n">
        <x:v>14.785159</x:v>
      </x:c>
      <x:c r="J358" s="41" t="n">
        <x:v>-30.112771</x:v>
      </x:c>
      <x:c r="K358" s="41" t="n">
        <x:v>4260.961168</x:v>
      </x:c>
      <x:c r="L358" s="41" t="n">
        <x:f>IFERROR(I358/ABS(J358),"")</x:f>
        <x:v>0.4909929743762207</x:v>
      </x:c>
      <x:c r="M358" s="41" t="n">
        <x:v>6.802475</x:v>
      </x:c>
      <x:c r="N358" s="41" t="n">
        <x:v>-56.473669</x:v>
      </x:c>
      <x:c r="O358" s="41" t="n">
        <x:v>506.057416</x:v>
      </x:c>
      <x:c r="P358" s="41" t="n">
        <x:f>IFERROR(M358/ABS(N358),"")</x:f>
        <x:v>0.12045392340278087</x:v>
      </x:c>
      <x:c r="Q358" s="41" t="str">
        <x:f>IF(L358&gt;=MAX(H358,P358),"Weekly",IF(H358&gt;=MAX(L358,P358),"No weekly","SPY"))</x:f>
        <x:v>Weekly</x:v>
      </x:c>
      <x:c r="R358" s="41" t="n">
        <x:f>IFERROR(L358-P358,"")</x:f>
        <x:v>0.3705390509734398</x:v>
      </x:c>
      <x:c r="S358" s="41" t="n">
        <x:f>IFERROR(H358-P358,"")</x:f>
        <x:v>0.26818544516279574</x:v>
      </x:c>
      <x:c r="T358" s="41" t="n">
        <x:f>IFERROR(I358-M358,"")</x:f>
        <x:v>7.982684</x:v>
      </x:c>
      <x:c r="U358" s="41" t="n">
        <x:f>IFERROR(E358-M358,"")</x:f>
        <x:v>6.965711999999999</x:v>
      </x:c>
      <x:c r="V358" s="41" t="str">
        <x:f>IF(AND(I358&gt;M358,J358&gt;N358),"Sí","No")</x:f>
        <x:v>Sí</x:v>
      </x:c>
      <x:c r="W358" s="41" t="str">
        <x:f>IF(AND(E358&gt;M358,F358&gt;N358),"Sí","No")</x:f>
        <x:v>Sí</x:v>
      </x:c>
      <x:c r="X358" s="41" t="str">
        <x:f>IF(L358&gt;=H358,"Weekly","No weekly")</x:f>
        <x:v>Weekly</x:v>
      </x:c>
      <x:c r="Y358" s="41" t="n">
        <x:f>IFERROR(I358-E358,"")</x:f>
        <x:v>1.0169720000000009</x:v>
      </x:c>
      <x:c r="Z358" s="41" t="n">
        <x:f>IFERROR(J358-F358,"")</x:f>
        <x:v>5.313869</x:v>
      </x:c>
      <x:c r="AA358" s="41" t="n">
        <x:v>11505</x:v>
      </x:c>
      <x:c r="AB358" s="41" t="n">
        <x:v>5445</x:v>
      </x:c>
    </x:row>
    <x:row r="359">
      <x:c r="A359" s="41" t="str">
        <x:v>HYP_REFINE_AUTO002_TOPN_6_V1_DDGRID_EXT_R12_C26_E66_CR40_REDD_RECOVERED_DD8_SL22</x:v>
      </x:c>
      <x:c r="B359" s="41" t="str">
        <x:v>dd_guard_grid</x:v>
      </x:c>
      <x:c r="C359" s="41" t="str">
        <x:v>1999-01-04</x:v>
      </x:c>
      <x:c r="D359" s="41" t="str">
        <x:v>2026-05-22</x:v>
      </x:c>
      <x:c r="E359" s="41" t="n">
        <x:v>13.310974</x:v>
      </x:c>
      <x:c r="F359" s="41" t="n">
        <x:v>-35.596338</x:v>
      </x:c>
      <x:c r="G359" s="41" t="n">
        <x:v>2961.157528</x:v>
      </x:c>
      <x:c r="H359" s="41" t="n">
        <x:f>IFERROR(E359/ABS(F359),"")</x:f>
        <x:v>0.37394222967542334</x:v>
      </x:c>
      <x:c r="I359" s="41" t="n">
        <x:v>12.363281</x:v>
      </x:c>
      <x:c r="J359" s="41" t="n">
        <x:v>-32.167969</x:v>
      </x:c>
      <x:c r="K359" s="41" t="n">
        <x:v>2332.320696</x:v>
      </x:c>
      <x:c r="L359" s="41" t="n">
        <x:f>IFERROR(I359/ABS(J359),"")</x:f>
        <x:v>0.3843351440683122</x:v>
      </x:c>
      <x:c r="M359" s="41" t="n">
        <x:v>6.802475</x:v>
      </x:c>
      <x:c r="N359" s="41" t="n">
        <x:v>-56.473669</x:v>
      </x:c>
      <x:c r="O359" s="41" t="n">
        <x:v>506.057416</x:v>
      </x:c>
      <x:c r="P359" s="41" t="n">
        <x:f>IFERROR(M359/ABS(N359),"")</x:f>
        <x:v>0.12045392340278087</x:v>
      </x:c>
      <x:c r="Q359" s="41" t="str">
        <x:f>IF(L359&gt;=MAX(H359,P359),"Weekly",IF(H359&gt;=MAX(L359,P359),"No weekly","SPY"))</x:f>
        <x:v>Weekly</x:v>
      </x:c>
      <x:c r="R359" s="41" t="n">
        <x:f>IFERROR(L359-P359,"")</x:f>
        <x:v>0.2638812206655313</x:v>
      </x:c>
      <x:c r="S359" s="41" t="n">
        <x:f>IFERROR(H359-P359,"")</x:f>
        <x:v>0.25348830627264246</x:v>
      </x:c>
      <x:c r="T359" s="41" t="n">
        <x:f>IFERROR(I359-M359,"")</x:f>
        <x:v>5.560806</x:v>
      </x:c>
      <x:c r="U359" s="41" t="n">
        <x:f>IFERROR(E359-M359,"")</x:f>
        <x:v>6.508499</x:v>
      </x:c>
      <x:c r="V359" s="41" t="str">
        <x:f>IF(AND(I359&gt;M359,J359&gt;N359),"Sí","No")</x:f>
        <x:v>Sí</x:v>
      </x:c>
      <x:c r="W359" s="41" t="str">
        <x:f>IF(AND(E359&gt;M359,F359&gt;N359),"Sí","No")</x:f>
        <x:v>Sí</x:v>
      </x:c>
      <x:c r="X359" s="41" t="str">
        <x:f>IF(L359&gt;=H359,"Weekly","No weekly")</x:f>
        <x:v>Weekly</x:v>
      </x:c>
      <x:c r="Y359" s="41" t="n">
        <x:f>IFERROR(I359-E359,"")</x:f>
        <x:v>-0.9476929999999992</x:v>
      </x:c>
      <x:c r="Z359" s="41" t="n">
        <x:f>IFERROR(J359-F359,"")</x:f>
        <x:v>3.4283690000000036</x:v>
      </x:c>
      <x:c r="AA359" s="41" t="n">
        <x:v>12427</x:v>
      </x:c>
      <x:c r="AB359" s="41" t="n">
        <x:v>5554</x:v>
      </x:c>
    </x:row>
    <x:row r="360">
      <x:c r="A360" s="41" t="str">
        <x:v>HYP_REFINE_AUTO002_TOPN_6_V1_DDGRID_EXT_R12_C26_E66_CR50_REDD_RECOVERED_DD10_SL18</x:v>
      </x:c>
      <x:c r="B360" s="41" t="str">
        <x:v>dd_guard_grid</x:v>
      </x:c>
      <x:c r="C360" s="41" t="str">
        <x:v>1999-01-04</x:v>
      </x:c>
      <x:c r="D360" s="41" t="str">
        <x:v>2026-05-22</x:v>
      </x:c>
      <x:c r="E360" s="41" t="n">
        <x:v>12.265304</x:v>
      </x:c>
      <x:c r="F360" s="41" t="n">
        <x:v>-34.451423</x:v>
      </x:c>
      <x:c r="G360" s="41" t="n">
        <x:v>2274.91671</x:v>
      </x:c>
      <x:c r="H360" s="41" t="n">
        <x:f>IFERROR(E360/ABS(F360),"")</x:f>
        <x:v>0.3560173407060719</x:v>
      </x:c>
      <x:c r="I360" s="41" t="n">
        <x:v>13.947543</x:v>
      </x:c>
      <x:c r="J360" s="41" t="n">
        <x:v>-30.90997</x:v>
      </x:c>
      <x:c r="K360" s="41" t="n">
        <x:v>3468.595275</x:v>
      </x:c>
      <x:c r="L360" s="41" t="n">
        <x:f>IFERROR(I360/ABS(J360),"")</x:f>
        <x:v>0.4512312046889725</x:v>
      </x:c>
      <x:c r="M360" s="41" t="n">
        <x:v>6.802475</x:v>
      </x:c>
      <x:c r="N360" s="41" t="n">
        <x:v>-56.473669</x:v>
      </x:c>
      <x:c r="O360" s="41" t="n">
        <x:v>506.057416</x:v>
      </x:c>
      <x:c r="P360" s="41" t="n">
        <x:f>IFERROR(M360/ABS(N360),"")</x:f>
        <x:v>0.12045392340278087</x:v>
      </x:c>
      <x:c r="Q360" s="41" t="str">
        <x:f>IF(L360&gt;=MAX(H360,P360),"Weekly",IF(H360&gt;=MAX(L360,P360),"No weekly","SPY"))</x:f>
        <x:v>Weekly</x:v>
      </x:c>
      <x:c r="R360" s="41" t="n">
        <x:f>IFERROR(L360-P360,"")</x:f>
        <x:v>0.3307772812861916</x:v>
      </x:c>
      <x:c r="S360" s="41" t="n">
        <x:f>IFERROR(H360-P360,"")</x:f>
        <x:v>0.235563417303291</x:v>
      </x:c>
      <x:c r="T360" s="41" t="n">
        <x:f>IFERROR(I360-M360,"")</x:f>
        <x:v>7.145067999999999</x:v>
      </x:c>
      <x:c r="U360" s="41" t="n">
        <x:f>IFERROR(E360-M360,"")</x:f>
        <x:v>5.462829</x:v>
      </x:c>
      <x:c r="V360" s="41" t="str">
        <x:f>IF(AND(I360&gt;M360,J360&gt;N360),"Sí","No")</x:f>
        <x:v>Sí</x:v>
      </x:c>
      <x:c r="W360" s="41" t="str">
        <x:f>IF(AND(E360&gt;M360,F360&gt;N360),"Sí","No")</x:f>
        <x:v>Sí</x:v>
      </x:c>
      <x:c r="X360" s="41" t="str">
        <x:f>IF(L360&gt;=H360,"Weekly","No weekly")</x:f>
        <x:v>Weekly</x:v>
      </x:c>
      <x:c r="Y360" s="41" t="n">
        <x:f>IFERROR(I360-E360,"")</x:f>
        <x:v>1.6822389999999992</x:v>
      </x:c>
      <x:c r="Z360" s="41" t="n">
        <x:f>IFERROR(J360-F360,"")</x:f>
        <x:v>3.541452999999997</x:v>
      </x:c>
      <x:c r="AA360" s="41" t="n">
        <x:v>11034</x:v>
      </x:c>
      <x:c r="AB360" s="41" t="n">
        <x:v>5189</x:v>
      </x:c>
    </x:row>
    <x:row r="361">
      <x:c r="A361" s="41" t="str">
        <x:v>HYP_REFINE_AUTO002_TOPN_6_V1_DDGRID_EXT_R12_C26_E66_CR50_REDD_RECOVERED_DD10_SL20</x:v>
      </x:c>
      <x:c r="B361" s="41" t="str">
        <x:v>dd_guard_grid</x:v>
      </x:c>
      <x:c r="C361" s="41" t="str">
        <x:v>1999-01-04</x:v>
      </x:c>
      <x:c r="D361" s="41" t="str">
        <x:v>2026-05-22</x:v>
      </x:c>
      <x:c r="E361" s="41" t="n">
        <x:v>13.431495</x:v>
      </x:c>
      <x:c r="F361" s="41" t="n">
        <x:v>-35.686273</x:v>
      </x:c>
      <x:c r="G361" s="41" t="n">
        <x:v>3051.561578</x:v>
      </x:c>
      <x:c r="H361" s="41" t="n">
        <x:f>IFERROR(E361/ABS(F361),"")</x:f>
        <x:v>0.37637707361595313</x:v>
      </x:c>
      <x:c r="I361" s="41" t="n">
        <x:v>15.252656</x:v>
      </x:c>
      <x:c r="J361" s="41" t="n">
        <x:v>-30.713048</x:v>
      </x:c>
      <x:c r="K361" s="41" t="n">
        <x:v>4774.283995</x:v>
      </x:c>
      <x:c r="L361" s="41" t="n">
        <x:f>IFERROR(I361/ABS(J361),"")</x:f>
        <x:v>0.49661811488068525</x:v>
      </x:c>
      <x:c r="M361" s="41" t="n">
        <x:v>6.802475</x:v>
      </x:c>
      <x:c r="N361" s="41" t="n">
        <x:v>-56.473669</x:v>
      </x:c>
      <x:c r="O361" s="41" t="n">
        <x:v>506.057416</x:v>
      </x:c>
      <x:c r="P361" s="41" t="n">
        <x:f>IFERROR(M361/ABS(N361),"")</x:f>
        <x:v>0.12045392340278087</x:v>
      </x:c>
      <x:c r="Q361" s="41" t="str">
        <x:f>IF(L361&gt;=MAX(H361,P361),"Weekly",IF(H361&gt;=MAX(L361,P361),"No weekly","SPY"))</x:f>
        <x:v>Weekly</x:v>
      </x:c>
      <x:c r="R361" s="41" t="n">
        <x:f>IFERROR(L361-P361,"")</x:f>
        <x:v>0.37616419147790436</x:v>
      </x:c>
      <x:c r="S361" s="41" t="n">
        <x:f>IFERROR(H361-P361,"")</x:f>
        <x:v>0.25592315021317225</x:v>
      </x:c>
      <x:c r="T361" s="41" t="n">
        <x:f>IFERROR(I361-M361,"")</x:f>
        <x:v>8.450181</x:v>
      </x:c>
      <x:c r="U361" s="41" t="n">
        <x:f>IFERROR(E361-M361,"")</x:f>
        <x:v>6.62902</x:v>
      </x:c>
      <x:c r="V361" s="41" t="str">
        <x:f>IF(AND(I361&gt;M361,J361&gt;N361),"Sí","No")</x:f>
        <x:v>Sí</x:v>
      </x:c>
      <x:c r="W361" s="41" t="str">
        <x:f>IF(AND(E361&gt;M361,F361&gt;N361),"Sí","No")</x:f>
        <x:v>Sí</x:v>
      </x:c>
      <x:c r="X361" s="41" t="str">
        <x:f>IF(L361&gt;=H361,"Weekly","No weekly")</x:f>
        <x:v>Weekly</x:v>
      </x:c>
      <x:c r="Y361" s="41" t="n">
        <x:f>IFERROR(I361-E361,"")</x:f>
        <x:v>1.821161</x:v>
      </x:c>
      <x:c r="Z361" s="41" t="n">
        <x:f>IFERROR(J361-F361,"")</x:f>
        <x:v>4.973224999999999</x:v>
      </x:c>
      <x:c r="AA361" s="41" t="n">
        <x:v>10875</x:v>
      </x:c>
      <x:c r="AB361" s="41" t="n">
        <x:v>5192</x:v>
      </x:c>
    </x:row>
    <x:row r="362">
      <x:c r="A362" s="41" t="str">
        <x:v>HYP_REFINE_AUTO002_TOPN_6_V1_DDGRID_EXT_R12_C26_E66_CR50_REDD_RECOVERED_DD10_SL22</x:v>
      </x:c>
      <x:c r="B362" s="41" t="str">
        <x:v>dd_guard_grid</x:v>
      </x:c>
      <x:c r="C362" s="41" t="str">
        <x:v>1999-01-04</x:v>
      </x:c>
      <x:c r="D362" s="41" t="str">
        <x:v>2026-05-22</x:v>
      </x:c>
      <x:c r="E362" s="41" t="n">
        <x:v>13.046529</x:v>
      </x:c>
      <x:c r="F362" s="41" t="n">
        <x:v>-36.127441</x:v>
      </x:c>
      <x:c r="G362" s="41" t="n">
        <x:v>2771.464917</x:v>
      </x:c>
      <x:c r="H362" s="41" t="n">
        <x:f>IFERROR(E362/ABS(F362),"")</x:f>
        <x:v>0.36112519012902133</x:v>
      </x:c>
      <x:c r="I362" s="41" t="n">
        <x:v>15.18869</x:v>
      </x:c>
      <x:c r="J362" s="41" t="n">
        <x:v>-30.106033</x:v>
      </x:c>
      <x:c r="K362" s="41" t="n">
        <x:v>4700.757717</x:v>
      </x:c>
      <x:c r="L362" s="41" t="n">
        <x:f>IFERROR(I362/ABS(J362),"")</x:f>
        <x:v>0.5045065219984313</x:v>
      </x:c>
      <x:c r="M362" s="41" t="n">
        <x:v>6.802475</x:v>
      </x:c>
      <x:c r="N362" s="41" t="n">
        <x:v>-56.473669</x:v>
      </x:c>
      <x:c r="O362" s="41" t="n">
        <x:v>506.057416</x:v>
      </x:c>
      <x:c r="P362" s="41" t="n">
        <x:f>IFERROR(M362/ABS(N362),"")</x:f>
        <x:v>0.12045392340278087</x:v>
      </x:c>
      <x:c r="Q362" s="41" t="str">
        <x:f>IF(L362&gt;=MAX(H362,P362),"Weekly",IF(H362&gt;=MAX(L362,P362),"No weekly","SPY"))</x:f>
        <x:v>Weekly</x:v>
      </x:c>
      <x:c r="R362" s="41" t="n">
        <x:f>IFERROR(L362-P362,"")</x:f>
        <x:v>0.3840525985956504</x:v>
      </x:c>
      <x:c r="S362" s="41" t="n">
        <x:f>IFERROR(H362-P362,"")</x:f>
        <x:v>0.24067126672624045</x:v>
      </x:c>
      <x:c r="T362" s="41" t="n">
        <x:f>IFERROR(I362-M362,"")</x:f>
        <x:v>8.386215</x:v>
      </x:c>
      <x:c r="U362" s="41" t="n">
        <x:f>IFERROR(E362-M362,"")</x:f>
        <x:v>6.244053999999999</x:v>
      </x:c>
      <x:c r="V362" s="41" t="str">
        <x:f>IF(AND(I362&gt;M362,J362&gt;N362),"Sí","No")</x:f>
        <x:v>Sí</x:v>
      </x:c>
      <x:c r="W362" s="41" t="str">
        <x:f>IF(AND(E362&gt;M362,F362&gt;N362),"Sí","No")</x:f>
        <x:v>Sí</x:v>
      </x:c>
      <x:c r="X362" s="41" t="str">
        <x:f>IF(L362&gt;=H362,"Weekly","No weekly")</x:f>
        <x:v>Weekly</x:v>
      </x:c>
      <x:c r="Y362" s="41" t="n">
        <x:f>IFERROR(I362-E362,"")</x:f>
        <x:v>2.1421609999999998</x:v>
      </x:c>
      <x:c r="Z362" s="41" t="n">
        <x:f>IFERROR(J362-F362,"")</x:f>
        <x:v>6.021407999999997</x:v>
      </x:c>
      <x:c r="AA362" s="41" t="n">
        <x:v>11022</x:v>
      </x:c>
      <x:c r="AB362" s="41" t="n">
        <x:v>5048</x:v>
      </x:c>
    </x:row>
    <x:row r="363">
      <x:c r="A363" s="41" t="str">
        <x:v>HYP_REFINE_AUTO002_TOPN_6_V1_DDGRID_EXT_R12_C26_E66_CR50_REDD_RECOVERED_DD12_SL20</x:v>
      </x:c>
      <x:c r="B363" s="41" t="str">
        <x:v>dd_guard_grid</x:v>
      </x:c>
      <x:c r="C363" s="41" t="str">
        <x:v>1999-01-04</x:v>
      </x:c>
      <x:c r="D363" s="41" t="str">
        <x:v>2026-05-22</x:v>
      </x:c>
      <x:c r="E363" s="41" t="n">
        <x:v>13.319319</x:v>
      </x:c>
      <x:c r="F363" s="41" t="n">
        <x:v>-35.686273</x:v>
      </x:c>
      <x:c r="G363" s="41" t="n">
        <x:v>2967.33568</x:v>
      </x:c>
      <x:c r="H363" s="41" t="n">
        <x:f>IFERROR(E363/ABS(F363),"")</x:f>
        <x:v>0.37323368007637</x:v>
      </x:c>
      <x:c r="I363" s="41" t="n">
        <x:v>14.907772</x:v>
      </x:c>
      <x:c r="J363" s="41" t="n">
        <x:v>-30.713048</x:v>
      </x:c>
      <x:c r="K363" s="41" t="n">
        <x:v>4390.313502</x:v>
      </x:c>
      <x:c r="L363" s="41" t="n">
        <x:f>IFERROR(I363/ABS(J363),"")</x:f>
        <x:v>0.4853888809733244</x:v>
      </x:c>
      <x:c r="M363" s="41" t="n">
        <x:v>6.802475</x:v>
      </x:c>
      <x:c r="N363" s="41" t="n">
        <x:v>-56.473669</x:v>
      </x:c>
      <x:c r="O363" s="41" t="n">
        <x:v>506.057416</x:v>
      </x:c>
      <x:c r="P363" s="41" t="n">
        <x:f>IFERROR(M363/ABS(N363),"")</x:f>
        <x:v>0.12045392340278087</x:v>
      </x:c>
      <x:c r="Q363" s="41" t="str">
        <x:f>IF(L363&gt;=MAX(H363,P363),"Weekly",IF(H363&gt;=MAX(L363,P363),"No weekly","SPY"))</x:f>
        <x:v>Weekly</x:v>
      </x:c>
      <x:c r="R363" s="41" t="n">
        <x:f>IFERROR(L363-P363,"")</x:f>
        <x:v>0.3649349575705435</x:v>
      </x:c>
      <x:c r="S363" s="41" t="n">
        <x:f>IFERROR(H363-P363,"")</x:f>
        <x:v>0.2527797566735891</x:v>
      </x:c>
      <x:c r="T363" s="41" t="n">
        <x:f>IFERROR(I363-M363,"")</x:f>
        <x:v>8.105297</x:v>
      </x:c>
      <x:c r="U363" s="41" t="n">
        <x:f>IFERROR(E363-M363,"")</x:f>
        <x:v>6.516844</x:v>
      </x:c>
      <x:c r="V363" s="41" t="str">
        <x:f>IF(AND(I363&gt;M363,J363&gt;N363),"Sí","No")</x:f>
        <x:v>Sí</x:v>
      </x:c>
      <x:c r="W363" s="41" t="str">
        <x:f>IF(AND(E363&gt;M363,F363&gt;N363),"Sí","No")</x:f>
        <x:v>Sí</x:v>
      </x:c>
      <x:c r="X363" s="41" t="str">
        <x:f>IF(L363&gt;=H363,"Weekly","No weekly")</x:f>
        <x:v>Weekly</x:v>
      </x:c>
      <x:c r="Y363" s="41" t="n">
        <x:f>IFERROR(I363-E363,"")</x:f>
        <x:v>1.5884529999999994</x:v>
      </x:c>
      <x:c r="Z363" s="41" t="n">
        <x:f>IFERROR(J363-F363,"")</x:f>
        <x:v>4.973224999999999</x:v>
      </x:c>
      <x:c r="AA363" s="41" t="n">
        <x:v>10366</x:v>
      </x:c>
      <x:c r="AB363" s="41" t="n">
        <x:v>4816</x:v>
      </x:c>
    </x:row>
    <x:row r="364">
      <x:c r="A364" s="41" t="str">
        <x:v>HYP_REFINE_AUTO002_TOPN_6_V1_DDGRID_EXT_R12_C26_E66_CR50_REDD_RECOVERED_DD6_SL18</x:v>
      </x:c>
      <x:c r="B364" s="41" t="str">
        <x:v>dd_guard_grid</x:v>
      </x:c>
      <x:c r="C364" s="41" t="str">
        <x:v>1999-01-04</x:v>
      </x:c>
      <x:c r="D364" s="41" t="str">
        <x:v>2026-05-22</x:v>
      </x:c>
      <x:c r="E364" s="41" t="n">
        <x:v>13.321391</x:v>
      </x:c>
      <x:c r="F364" s="41" t="n">
        <x:v>-34.005237</x:v>
      </x:c>
      <x:c r="G364" s="41" t="n">
        <x:v>2968.871322</x:v>
      </x:c>
      <x:c r="H364" s="41" t="n">
        <x:f>IFERROR(E364/ABS(F364),"")</x:f>
        <x:v>0.39174527735242665</x:v>
      </x:c>
      <x:c r="I364" s="41" t="n">
        <x:v>13.163823</x:v>
      </x:c>
      <x:c r="J364" s="41" t="n">
        <x:v>-30.90997</x:v>
      </x:c>
      <x:c r="K364" s="41" t="n">
        <x:v>2854.1618</x:v>
      </x:c>
      <x:c r="L364" s="41" t="n">
        <x:f>IFERROR(I364/ABS(J364),"")</x:f>
        <x:v>0.4258762787540719</x:v>
      </x:c>
      <x:c r="M364" s="41" t="n">
        <x:v>6.802475</x:v>
      </x:c>
      <x:c r="N364" s="41" t="n">
        <x:v>-56.473669</x:v>
      </x:c>
      <x:c r="O364" s="41" t="n">
        <x:v>506.057416</x:v>
      </x:c>
      <x:c r="P364" s="41" t="n">
        <x:f>IFERROR(M364/ABS(N364),"")</x:f>
        <x:v>0.12045392340278087</x:v>
      </x:c>
      <x:c r="Q364" s="41" t="str">
        <x:f>IF(L364&gt;=MAX(H364,P364),"Weekly",IF(H364&gt;=MAX(L364,P364),"No weekly","SPY"))</x:f>
        <x:v>Weekly</x:v>
      </x:c>
      <x:c r="R364" s="41" t="n">
        <x:f>IFERROR(L364-P364,"")</x:f>
        <x:v>0.30542235535129103</x:v>
      </x:c>
      <x:c r="S364" s="41" t="n">
        <x:f>IFERROR(H364-P364,"")</x:f>
        <x:v>0.27129135394964576</x:v>
      </x:c>
      <x:c r="T364" s="41" t="n">
        <x:f>IFERROR(I364-M364,"")</x:f>
        <x:v>6.3613480000000004</x:v>
      </x:c>
      <x:c r="U364" s="41" t="n">
        <x:f>IFERROR(E364-M364,"")</x:f>
        <x:v>6.518916</x:v>
      </x:c>
      <x:c r="V364" s="41" t="str">
        <x:f>IF(AND(I364&gt;M364,J364&gt;N364),"Sí","No")</x:f>
        <x:v>Sí</x:v>
      </x:c>
      <x:c r="W364" s="41" t="str">
        <x:f>IF(AND(E364&gt;M364,F364&gt;N364),"Sí","No")</x:f>
        <x:v>Sí</x:v>
      </x:c>
      <x:c r="X364" s="41" t="str">
        <x:f>IF(L364&gt;=H364,"Weekly","No weekly")</x:f>
        <x:v>Weekly</x:v>
      </x:c>
      <x:c r="Y364" s="41" t="n">
        <x:f>IFERROR(I364-E364,"")</x:f>
        <x:v>-0.1575679999999995</x:v>
      </x:c>
      <x:c r="Z364" s="41" t="n">
        <x:f>IFERROR(J364-F364,"")</x:f>
        <x:v>3.0952669999999998</x:v>
      </x:c>
      <x:c r="AA364" s="41" t="n">
        <x:v>11679</x:v>
      </x:c>
      <x:c r="AB364" s="41" t="n">
        <x:v>5910</x:v>
      </x:c>
    </x:row>
    <x:row r="365">
      <x:c r="A365" s="41" t="str">
        <x:v>HYP_REFINE_AUTO002_TOPN_6_V1_DDGRID_EXT_R12_C26_E66_CR50_REDD_RECOVERED_DD6_SL20</x:v>
      </x:c>
      <x:c r="B365" s="41" t="str">
        <x:v>dd_guard_grid</x:v>
      </x:c>
      <x:c r="C365" s="41" t="str">
        <x:v>1999-01-04</x:v>
      </x:c>
      <x:c r="D365" s="41" t="str">
        <x:v>2026-05-22</x:v>
      </x:c>
      <x:c r="E365" s="41" t="n">
        <x:v>13.288417</x:v>
      </x:c>
      <x:c r="F365" s="41" t="n">
        <x:v>-35.686273</x:v>
      </x:c>
      <x:c r="G365" s="41" t="n">
        <x:v>2944.517075</x:v>
      </x:c>
      <x:c r="H365" s="41" t="n">
        <x:f>IFERROR(E365/ABS(F365),"")</x:f>
        <x:v>0.3723677448748991</x:v>
      </x:c>
      <x:c r="I365" s="41" t="n">
        <x:v>14.207382</x:v>
      </x:c>
      <x:c r="J365" s="41" t="n">
        <x:v>-30.713048</x:v>
      </x:c>
      <x:c r="K365" s="41" t="n">
        <x:v>3698.222905</x:v>
      </x:c>
      <x:c r="L365" s="41" t="n">
        <x:f>IFERROR(I365/ABS(J365),"")</x:f>
        <x:v>0.46258456666365383</x:v>
      </x:c>
      <x:c r="M365" s="41" t="n">
        <x:v>6.802475</x:v>
      </x:c>
      <x:c r="N365" s="41" t="n">
        <x:v>-56.473669</x:v>
      </x:c>
      <x:c r="O365" s="41" t="n">
        <x:v>506.057416</x:v>
      </x:c>
      <x:c r="P365" s="41" t="n">
        <x:f>IFERROR(M365/ABS(N365),"")</x:f>
        <x:v>0.12045392340278087</x:v>
      </x:c>
      <x:c r="Q365" s="41" t="str">
        <x:f>IF(L365&gt;=MAX(H365,P365),"Weekly",IF(H365&gt;=MAX(L365,P365),"No weekly","SPY"))</x:f>
        <x:v>Weekly</x:v>
      </x:c>
      <x:c r="R365" s="41" t="n">
        <x:f>IFERROR(L365-P365,"")</x:f>
        <x:v>0.34213064326087295</x:v>
      </x:c>
      <x:c r="S365" s="41" t="n">
        <x:f>IFERROR(H365-P365,"")</x:f>
        <x:v>0.2519138214721182</x:v>
      </x:c>
      <x:c r="T365" s="41" t="n">
        <x:f>IFERROR(I365-M365,"")</x:f>
        <x:v>7.404907000000001</x:v>
      </x:c>
      <x:c r="U365" s="41" t="n">
        <x:f>IFERROR(E365-M365,"")</x:f>
        <x:v>6.4859420000000005</x:v>
      </x:c>
      <x:c r="V365" s="41" t="str">
        <x:f>IF(AND(I365&gt;M365,J365&gt;N365),"Sí","No")</x:f>
        <x:v>Sí</x:v>
      </x:c>
      <x:c r="W365" s="41" t="str">
        <x:f>IF(AND(E365&gt;M365,F365&gt;N365),"Sí","No")</x:f>
        <x:v>Sí</x:v>
      </x:c>
      <x:c r="X365" s="41" t="str">
        <x:f>IF(L365&gt;=H365,"Weekly","No weekly")</x:f>
        <x:v>Weekly</x:v>
      </x:c>
      <x:c r="Y365" s="41" t="n">
        <x:f>IFERROR(I365-E365,"")</x:f>
        <x:v>0.918965</x:v>
      </x:c>
      <x:c r="Z365" s="41" t="n">
        <x:f>IFERROR(J365-F365,"")</x:f>
        <x:v>4.973224999999999</x:v>
      </x:c>
      <x:c r="AA365" s="41" t="n">
        <x:v>11659</x:v>
      </x:c>
      <x:c r="AB365" s="41" t="n">
        <x:v>6050</x:v>
      </x:c>
    </x:row>
    <x:row r="366">
      <x:c r="A366" s="41" t="str">
        <x:v>HYP_REFINE_AUTO002_TOPN_6_V1_DDGRID_EXT_R12_C26_E66_CR50_REDD_RECOVERED_DD6_SL22</x:v>
      </x:c>
      <x:c r="B366" s="41" t="str">
        <x:v>dd_guard_grid</x:v>
      </x:c>
      <x:c r="C366" s="41" t="str">
        <x:v>1999-01-04</x:v>
      </x:c>
      <x:c r="D366" s="41" t="str">
        <x:v>2026-05-22</x:v>
      </x:c>
      <x:c r="E366" s="41" t="n">
        <x:v>13.230307</x:v>
      </x:c>
      <x:c r="F366" s="41" t="n">
        <x:v>-35.777754</x:v>
      </x:c>
      <x:c r="G366" s="41" t="n">
        <x:v>2902.048915</x:v>
      </x:c>
      <x:c r="H366" s="41" t="n">
        <x:f>IFERROR(E366/ABS(F366),"")</x:f>
        <x:v>0.3697914352030035</x:v>
      </x:c>
      <x:c r="I366" s="41" t="n">
        <x:v>14.041961</x:v>
      </x:c>
      <x:c r="J366" s="41" t="n">
        <x:v>-30.106033</x:v>
      </x:c>
      <x:c r="K366" s="41" t="n">
        <x:v>3550.443748</x:v>
      </x:c>
      <x:c r="L366" s="41" t="n">
        <x:f>IFERROR(I366/ABS(J366),"")</x:f>
        <x:v>0.46641684741393863</x:v>
      </x:c>
      <x:c r="M366" s="41" t="n">
        <x:v>6.802475</x:v>
      </x:c>
      <x:c r="N366" s="41" t="n">
        <x:v>-56.473669</x:v>
      </x:c>
      <x:c r="O366" s="41" t="n">
        <x:v>506.057416</x:v>
      </x:c>
      <x:c r="P366" s="41" t="n">
        <x:f>IFERROR(M366/ABS(N366),"")</x:f>
        <x:v>0.12045392340278087</x:v>
      </x:c>
      <x:c r="Q366" s="41" t="str">
        <x:f>IF(L366&gt;=MAX(H366,P366),"Weekly",IF(H366&gt;=MAX(L366,P366),"No weekly","SPY"))</x:f>
        <x:v>Weekly</x:v>
      </x:c>
      <x:c r="R366" s="41" t="n">
        <x:f>IFERROR(L366-P366,"")</x:f>
        <x:v>0.34596292401115775</x:v>
      </x:c>
      <x:c r="S366" s="41" t="n">
        <x:f>IFERROR(H366-P366,"")</x:f>
        <x:v>0.24933751180022262</x:v>
      </x:c>
      <x:c r="T366" s="41" t="n">
        <x:f>IFERROR(I366-M366,"")</x:f>
        <x:v>7.239486</x:v>
      </x:c>
      <x:c r="U366" s="41" t="n">
        <x:f>IFERROR(E366-M366,"")</x:f>
        <x:v>6.4278319999999995</x:v>
      </x:c>
      <x:c r="V366" s="41" t="str">
        <x:f>IF(AND(I366&gt;M366,J366&gt;N366),"Sí","No")</x:f>
        <x:v>Sí</x:v>
      </x:c>
      <x:c r="W366" s="41" t="str">
        <x:f>IF(AND(E366&gt;M366,F366&gt;N366),"Sí","No")</x:f>
        <x:v>Sí</x:v>
      </x:c>
      <x:c r="X366" s="41" t="str">
        <x:f>IF(L366&gt;=H366,"Weekly","No weekly")</x:f>
        <x:v>Weekly</x:v>
      </x:c>
      <x:c r="Y366" s="41" t="n">
        <x:f>IFERROR(I366-E366,"")</x:f>
        <x:v>0.8116540000000008</x:v>
      </x:c>
      <x:c r="Z366" s="41" t="n">
        <x:f>IFERROR(J366-F366,"")</x:f>
        <x:v>5.671721000000002</x:v>
      </x:c>
      <x:c r="AA366" s="41" t="n">
        <x:v>11874</x:v>
      </x:c>
      <x:c r="AB366" s="41" t="n">
        <x:v>5942</x:v>
      </x:c>
    </x:row>
    <x:row r="367">
      <x:c r="A367" s="41" t="str">
        <x:v>HYP_REFINE_AUTO002_TOPN_6_V1_DDGRID_EXT_R12_C26_E66_CR50_REDD_RECOVERED_DD8_SL18</x:v>
      </x:c>
      <x:c r="B367" s="41" t="str">
        <x:v>dd_guard_grid</x:v>
      </x:c>
      <x:c r="C367" s="41" t="str">
        <x:v>1999-01-04</x:v>
      </x:c>
      <x:c r="D367" s="41" t="str">
        <x:v>2026-05-22</x:v>
      </x:c>
      <x:c r="E367" s="41" t="n">
        <x:v>13.278814</x:v>
      </x:c>
      <x:c r="F367" s="41" t="n">
        <x:v>-34.466153</x:v>
      </x:c>
      <x:c r="G367" s="41" t="n">
        <x:v>2937.459195</x:v>
      </x:c>
      <x:c r="H367" s="41" t="n">
        <x:f>IFERROR(E367/ABS(F367),"")</x:f>
        <x:v>0.38527113832518534</x:v>
      </x:c>
      <x:c r="I367" s="41" t="n">
        <x:v>13.876497</x:v>
      </x:c>
      <x:c r="J367" s="41" t="n">
        <x:v>-30.90997</x:v>
      </x:c>
      <x:c r="K367" s="41" t="n">
        <x:v>3408.176693</x:v>
      </x:c>
      <x:c r="L367" s="41" t="n">
        <x:f>IFERROR(I367/ABS(J367),"")</x:f>
        <x:v>0.44893272300167225</x:v>
      </x:c>
      <x:c r="M367" s="41" t="n">
        <x:v>6.802475</x:v>
      </x:c>
      <x:c r="N367" s="41" t="n">
        <x:v>-56.473669</x:v>
      </x:c>
      <x:c r="O367" s="41" t="n">
        <x:v>506.057416</x:v>
      </x:c>
      <x:c r="P367" s="41" t="n">
        <x:f>IFERROR(M367/ABS(N367),"")</x:f>
        <x:v>0.12045392340278087</x:v>
      </x:c>
      <x:c r="Q367" s="41" t="str">
        <x:f>IF(L367&gt;=MAX(H367,P367),"Weekly",IF(H367&gt;=MAX(L367,P367),"No weekly","SPY"))</x:f>
        <x:v>Weekly</x:v>
      </x:c>
      <x:c r="R367" s="41" t="n">
        <x:f>IFERROR(L367-P367,"")</x:f>
        <x:v>0.32847879959889137</x:v>
      </x:c>
      <x:c r="S367" s="41" t="n">
        <x:f>IFERROR(H367-P367,"")</x:f>
        <x:v>0.26481721492240445</x:v>
      </x:c>
      <x:c r="T367" s="41" t="n">
        <x:f>IFERROR(I367-M367,"")</x:f>
        <x:v>7.074022</x:v>
      </x:c>
      <x:c r="U367" s="41" t="n">
        <x:f>IFERROR(E367-M367,"")</x:f>
        <x:v>6.476339</x:v>
      </x:c>
      <x:c r="V367" s="41" t="str">
        <x:f>IF(AND(I367&gt;M367,J367&gt;N367),"Sí","No")</x:f>
        <x:v>Sí</x:v>
      </x:c>
      <x:c r="W367" s="41" t="str">
        <x:f>IF(AND(E367&gt;M367,F367&gt;N367),"Sí","No")</x:f>
        <x:v>Sí</x:v>
      </x:c>
      <x:c r="X367" s="41" t="str">
        <x:f>IF(L367&gt;=H367,"Weekly","No weekly")</x:f>
        <x:v>Weekly</x:v>
      </x:c>
      <x:c r="Y367" s="41" t="n">
        <x:f>IFERROR(I367-E367,"")</x:f>
        <x:v>0.597683</x:v>
      </x:c>
      <x:c r="Z367" s="41" t="n">
        <x:f>IFERROR(J367-F367,"")</x:f>
        <x:v>3.556182999999997</x:v>
      </x:c>
      <x:c r="AA367" s="41" t="n">
        <x:v>11200</x:v>
      </x:c>
      <x:c r="AB367" s="41" t="n">
        <x:v>5577</x:v>
      </x:c>
    </x:row>
    <x:row r="368">
      <x:c r="A368" s="41" t="str">
        <x:v>HYP_REFINE_AUTO002_TOPN_6_V1_DDGRID_EXT_R12_C26_E66_CR50_REDD_RECOVERED_DD8_SL20</x:v>
      </x:c>
      <x:c r="B368" s="41" t="str">
        <x:v>dd_guard_grid</x:v>
      </x:c>
      <x:c r="C368" s="41" t="str">
        <x:v>1999-01-04</x:v>
      </x:c>
      <x:c r="D368" s="41" t="str">
        <x:v>2026-05-22</x:v>
      </x:c>
      <x:c r="E368" s="41" t="n">
        <x:v>13.846209</x:v>
      </x:c>
      <x:c r="F368" s="41" t="n">
        <x:v>-35.686273</x:v>
      </x:c>
      <x:c r="G368" s="41" t="n">
        <x:v>3382.719848</x:v>
      </x:c>
      <x:c r="H368" s="41" t="n">
        <x:f>IFERROR(E368/ABS(F368),"")</x:f>
        <x:v>0.38799818070102193</x:v>
      </x:c>
      <x:c r="I368" s="41" t="n">
        <x:v>14.939982</x:v>
      </x:c>
      <x:c r="J368" s="41" t="n">
        <x:v>-30.713048</x:v>
      </x:c>
      <x:c r="K368" s="41" t="n">
        <x:v>4424.901655</x:v>
      </x:c>
      <x:c r="L368" s="41" t="n">
        <x:f>IFERROR(I368/ABS(J368),"")</x:f>
        <x:v>0.4864376209095235</x:v>
      </x:c>
      <x:c r="M368" s="41" t="n">
        <x:v>6.802475</x:v>
      </x:c>
      <x:c r="N368" s="41" t="n">
        <x:v>-56.473669</x:v>
      </x:c>
      <x:c r="O368" s="41" t="n">
        <x:v>506.057416</x:v>
      </x:c>
      <x:c r="P368" s="41" t="n">
        <x:f>IFERROR(M368/ABS(N368),"")</x:f>
        <x:v>0.12045392340278087</x:v>
      </x:c>
      <x:c r="Q368" s="41" t="str">
        <x:f>IF(L368&gt;=MAX(H368,P368),"Weekly",IF(H368&gt;=MAX(L368,P368),"No weekly","SPY"))</x:f>
        <x:v>Weekly</x:v>
      </x:c>
      <x:c r="R368" s="41" t="n">
        <x:f>IFERROR(L368-P368,"")</x:f>
        <x:v>0.36598369750674264</x:v>
      </x:c>
      <x:c r="S368" s="41" t="n">
        <x:f>IFERROR(H368-P368,"")</x:f>
        <x:v>0.26754425729824105</x:v>
      </x:c>
      <x:c r="T368" s="41" t="n">
        <x:f>IFERROR(I368-M368,"")</x:f>
        <x:v>8.137507</x:v>
      </x:c>
      <x:c r="U368" s="41" t="n">
        <x:f>IFERROR(E368-M368,"")</x:f>
        <x:v>7.043734</x:v>
      </x:c>
      <x:c r="V368" s="41" t="str">
        <x:f>IF(AND(I368&gt;M368,J368&gt;N368),"Sí","No")</x:f>
        <x:v>Sí</x:v>
      </x:c>
      <x:c r="W368" s="41" t="str">
        <x:f>IF(AND(E368&gt;M368,F368&gt;N368),"Sí","No")</x:f>
        <x:v>Sí</x:v>
      </x:c>
      <x:c r="X368" s="41" t="str">
        <x:f>IF(L368&gt;=H368,"Weekly","No weekly")</x:f>
        <x:v>Weekly</x:v>
      </x:c>
      <x:c r="Y368" s="41" t="n">
        <x:f>IFERROR(I368-E368,"")</x:f>
        <x:v>1.0937730000000006</x:v>
      </x:c>
      <x:c r="Z368" s="41" t="n">
        <x:f>IFERROR(J368-F368,"")</x:f>
        <x:v>4.973224999999999</x:v>
      </x:c>
      <x:c r="AA368" s="41" t="n">
        <x:v>11381</x:v>
      </x:c>
      <x:c r="AB368" s="41" t="n">
        <x:v>5582</x:v>
      </x:c>
    </x:row>
    <x:row r="369">
      <x:c r="A369" s="41" t="str">
        <x:v>HYP_REFINE_AUTO002_TOPN_6_V1_DDGRID_EXT_R12_C26_E66_CR50_REDD_RECOVERED_DD8_SL22</x:v>
      </x:c>
      <x:c r="B369" s="41" t="str">
        <x:v>dd_guard_grid</x:v>
      </x:c>
      <x:c r="C369" s="41" t="str">
        <x:v>1999-01-04</x:v>
      </x:c>
      <x:c r="D369" s="41" t="str">
        <x:v>2026-05-22</x:v>
      </x:c>
      <x:c r="E369" s="41" t="n">
        <x:v>13.533038</x:v>
      </x:c>
      <x:c r="F369" s="41" t="n">
        <x:v>-35.618095</x:v>
      </x:c>
      <x:c r="G369" s="41" t="n">
        <x:v>3129.722754</x:v>
      </x:c>
      <x:c r="H369" s="41" t="n">
        <x:f>IFERROR(E369/ABS(F369),"")</x:f>
        <x:v>0.3799483942080564</x:v>
      </x:c>
      <x:c r="I369" s="41" t="n">
        <x:v>14.399395</x:v>
      </x:c>
      <x:c r="J369" s="41" t="n">
        <x:v>-30.106033</x:v>
      </x:c>
      <x:c r="K369" s="41" t="n">
        <x:v>3876.989748</x:v>
      </x:c>
      <x:c r="L369" s="41" t="n">
        <x:f>IFERROR(I369/ABS(J369),"")</x:f>
        <x:v>0.4782893515063908</x:v>
      </x:c>
      <x:c r="M369" s="41" t="n">
        <x:v>6.802475</x:v>
      </x:c>
      <x:c r="N369" s="41" t="n">
        <x:v>-56.473669</x:v>
      </x:c>
      <x:c r="O369" s="41" t="n">
        <x:v>506.057416</x:v>
      </x:c>
      <x:c r="P369" s="41" t="n">
        <x:f>IFERROR(M369/ABS(N369),"")</x:f>
        <x:v>0.12045392340278087</x:v>
      </x:c>
      <x:c r="Q369" s="41" t="str">
        <x:f>IF(L369&gt;=MAX(H369,P369),"Weekly",IF(H369&gt;=MAX(L369,P369),"No weekly","SPY"))</x:f>
        <x:v>Weekly</x:v>
      </x:c>
      <x:c r="R369" s="41" t="n">
        <x:f>IFERROR(L369-P369,"")</x:f>
        <x:v>0.3578354281036099</x:v>
      </x:c>
      <x:c r="S369" s="41" t="n">
        <x:f>IFERROR(H369-P369,"")</x:f>
        <x:v>0.2594944708052755</x:v>
      </x:c>
      <x:c r="T369" s="41" t="n">
        <x:f>IFERROR(I369-M369,"")</x:f>
        <x:v>7.59692</x:v>
      </x:c>
      <x:c r="U369" s="41" t="n">
        <x:f>IFERROR(E369-M369,"")</x:f>
        <x:v>6.730562999999999</x:v>
      </x:c>
      <x:c r="V369" s="41" t="str">
        <x:f>IF(AND(I369&gt;M369,J369&gt;N369),"Sí","No")</x:f>
        <x:v>Sí</x:v>
      </x:c>
      <x:c r="W369" s="41" t="str">
        <x:f>IF(AND(E369&gt;M369,F369&gt;N369),"Sí","No")</x:f>
        <x:v>Sí</x:v>
      </x:c>
      <x:c r="X369" s="41" t="str">
        <x:f>IF(L369&gt;=H369,"Weekly","No weekly")</x:f>
        <x:v>Weekly</x:v>
      </x:c>
      <x:c r="Y369" s="41" t="n">
        <x:f>IFERROR(I369-E369,"")</x:f>
        <x:v>0.8663570000000007</x:v>
      </x:c>
      <x:c r="Z369" s="41" t="n">
        <x:f>IFERROR(J369-F369,"")</x:f>
        <x:v>5.512061999999997</x:v>
      </x:c>
      <x:c r="AA369" s="41" t="n">
        <x:v>11539</x:v>
      </x:c>
      <x:c r="AB369" s="41" t="n">
        <x:v>5394</x:v>
      </x:c>
    </x:row>
    <x:row r="370">
      <x:c r="A370" s="41" t="str">
        <x:v>HYP_REFINE_AUTO002_TOPN_6_V1_DDGRID_EXT_R12_C26_E66_CR50_REDD_RECOVERED_DD8_SL25</x:v>
      </x:c>
      <x:c r="B370" s="41" t="str">
        <x:v>dd_guard_grid</x:v>
      </x:c>
      <x:c r="C370" s="41" t="str">
        <x:v>1999-01-04</x:v>
      </x:c>
      <x:c r="D370" s="41" t="str">
        <x:v>2026-05-22</x:v>
      </x:c>
      <x:c r="E370" s="41" t="n">
        <x:v>12.970682</x:v>
      </x:c>
      <x:c r="F370" s="41" t="n">
        <x:v>-36.077094</x:v>
      </x:c>
      <x:c r="G370" s="41" t="n">
        <x:v>2719.182635</x:v>
      </x:c>
      <x:c r="H370" s="41" t="n">
        <x:f>IFERROR(E370/ABS(F370),"")</x:f>
        <x:v>0.3595267955894674</x:v>
      </x:c>
      <x:c r="I370" s="41" t="n">
        <x:v>14.853224</x:v>
      </x:c>
      <x:c r="J370" s="41" t="n">
        <x:v>-30.103214</x:v>
      </x:c>
      <x:c r="K370" s="41" t="n">
        <x:v>4332.316633</x:v>
      </x:c>
      <x:c r="L370" s="41" t="n">
        <x:f>IFERROR(I370/ABS(J370),"")</x:f>
        <x:v>0.49340990633093196</x:v>
      </x:c>
      <x:c r="M370" s="41" t="n">
        <x:v>6.802475</x:v>
      </x:c>
      <x:c r="N370" s="41" t="n">
        <x:v>-56.473669</x:v>
      </x:c>
      <x:c r="O370" s="41" t="n">
        <x:v>506.057416</x:v>
      </x:c>
      <x:c r="P370" s="41" t="n">
        <x:f>IFERROR(M370/ABS(N370),"")</x:f>
        <x:v>0.12045392340278087</x:v>
      </x:c>
      <x:c r="Q370" s="41" t="str">
        <x:f>IF(L370&gt;=MAX(H370,P370),"Weekly",IF(H370&gt;=MAX(L370,P370),"No weekly","SPY"))</x:f>
        <x:v>Weekly</x:v>
      </x:c>
      <x:c r="R370" s="41" t="n">
        <x:f>IFERROR(L370-P370,"")</x:f>
        <x:v>0.3729559829281511</x:v>
      </x:c>
      <x:c r="S370" s="41" t="n">
        <x:f>IFERROR(H370-P370,"")</x:f>
        <x:v>0.2390728721866865</x:v>
      </x:c>
      <x:c r="T370" s="41" t="n">
        <x:f>IFERROR(I370-M370,"")</x:f>
        <x:v>8.050749</x:v>
      </x:c>
      <x:c r="U370" s="41" t="n">
        <x:f>IFERROR(E370-M370,"")</x:f>
        <x:v>6.168207</x:v>
      </x:c>
      <x:c r="V370" s="41" t="str">
        <x:f>IF(AND(I370&gt;M370,J370&gt;N370),"Sí","No")</x:f>
        <x:v>Sí</x:v>
      </x:c>
      <x:c r="W370" s="41" t="str">
        <x:f>IF(AND(E370&gt;M370,F370&gt;N370),"Sí","No")</x:f>
        <x:v>Sí</x:v>
      </x:c>
      <x:c r="X370" s="41" t="str">
        <x:f>IF(L370&gt;=H370,"Weekly","No weekly")</x:f>
        <x:v>Weekly</x:v>
      </x:c>
      <x:c r="Y370" s="41" t="n">
        <x:f>IFERROR(I370-E370,"")</x:f>
        <x:v>1.8825420000000008</x:v>
      </x:c>
      <x:c r="Z370" s="41" t="n">
        <x:f>IFERROR(J370-F370,"")</x:f>
        <x:v>5.973880000000001</x:v>
      </x:c>
      <x:c r="AA370" s="41" t="n">
        <x:v>11534</x:v>
      </x:c>
      <x:c r="AB370" s="41" t="n">
        <x:v>5806</x:v>
      </x:c>
    </x:row>
    <x:row r="371">
      <x:c r="A371" s="41" t="str">
        <x:v>HYP_REFINE_AUTO002_TOPN_6_V1_DDGRID_EXT_R12_C26_E66_CR50_REDD_RECOVERED_DD8_SLNONE</x:v>
      </x:c>
      <x:c r="B371" s="41" t="str">
        <x:v>dd_guard_grid</x:v>
      </x:c>
      <x:c r="C371" s="41" t="str">
        <x:v>1999-01-04</x:v>
      </x:c>
      <x:c r="D371" s="41" t="str">
        <x:v>2026-05-22</x:v>
      </x:c>
      <x:c r="E371" s="41" t="n">
        <x:v>13.561454</x:v>
      </x:c>
      <x:c r="F371" s="41" t="n">
        <x:v>-35.341008</x:v>
      </x:c>
      <x:c r="G371" s="41" t="n">
        <x:v>3151.927304</x:v>
      </x:c>
      <x:c r="H371" s="41" t="n">
        <x:f>IFERROR(E371/ABS(F371),"")</x:f>
        <x:v>0.3837313864958237</x:v>
      </x:c>
      <x:c r="I371" s="41" t="n">
        <x:v>14.786111</x:v>
      </x:c>
      <x:c r="J371" s="41" t="n">
        <x:v>-29.622824</x:v>
      </x:c>
      <x:c r="K371" s="41" t="n">
        <x:v>4261.951543</x:v>
      </x:c>
      <x:c r="L371" s="41" t="n">
        <x:f>IFERROR(I371/ABS(J371),"")</x:f>
        <x:v>0.4991458950706388</x:v>
      </x:c>
      <x:c r="M371" s="41" t="n">
        <x:v>6.802475</x:v>
      </x:c>
      <x:c r="N371" s="41" t="n">
        <x:v>-56.473669</x:v>
      </x:c>
      <x:c r="O371" s="41" t="n">
        <x:v>506.057416</x:v>
      </x:c>
      <x:c r="P371" s="41" t="n">
        <x:f>IFERROR(M371/ABS(N371),"")</x:f>
        <x:v>0.12045392340278087</x:v>
      </x:c>
      <x:c r="Q371" s="41" t="str">
        <x:f>IF(L371&gt;=MAX(H371,P371),"Weekly",IF(H371&gt;=MAX(L371,P371),"No weekly","SPY"))</x:f>
        <x:v>Weekly</x:v>
      </x:c>
      <x:c r="R371" s="41" t="n">
        <x:f>IFERROR(L371-P371,"")</x:f>
        <x:v>0.3786919716678579</x:v>
      </x:c>
      <x:c r="S371" s="41" t="n">
        <x:f>IFERROR(H371-P371,"")</x:f>
        <x:v>0.26327746309304284</x:v>
      </x:c>
      <x:c r="T371" s="41" t="n">
        <x:f>IFERROR(I371-M371,"")</x:f>
        <x:v>7.983636</x:v>
      </x:c>
      <x:c r="U371" s="41" t="n">
        <x:f>IFERROR(E371-M371,"")</x:f>
        <x:v>6.758978999999999</x:v>
      </x:c>
      <x:c r="V371" s="41" t="str">
        <x:f>IF(AND(I371&gt;M371,J371&gt;N371),"Sí","No")</x:f>
        <x:v>Sí</x:v>
      </x:c>
      <x:c r="W371" s="41" t="str">
        <x:f>IF(AND(E371&gt;M371,F371&gt;N371),"Sí","No")</x:f>
        <x:v>Sí</x:v>
      </x:c>
      <x:c r="X371" s="41" t="str">
        <x:f>IF(L371&gt;=H371,"Weekly","No weekly")</x:f>
        <x:v>Weekly</x:v>
      </x:c>
      <x:c r="Y371" s="41" t="n">
        <x:f>IFERROR(I371-E371,"")</x:f>
        <x:v>1.2246570000000006</x:v>
      </x:c>
      <x:c r="Z371" s="41" t="n">
        <x:f>IFERROR(J371-F371,"")</x:f>
        <x:v>5.718184000000001</x:v>
      </x:c>
      <x:c r="AA371" s="41" t="n">
        <x:v>11684</x:v>
      </x:c>
      <x:c r="AB371" s="41" t="n">
        <x:v>5884</x:v>
      </x:c>
    </x:row>
    <x:row r="372">
      <x:c r="A372" s="41" t="str">
        <x:v>HYP_REFINE_AUTO002_TOPN_6_V1_DDGRID_EXT_R12_C26_E75_CR25_REDD_RECOVERED_DD8_SL20</x:v>
      </x:c>
      <x:c r="B372" s="41" t="str">
        <x:v>dd_guard_grid</x:v>
      </x:c>
      <x:c r="C372" s="41" t="str">
        <x:v>1999-01-04</x:v>
      </x:c>
      <x:c r="D372" s="41" t="str">
        <x:v>2026-05-22</x:v>
      </x:c>
      <x:c r="E372" s="41" t="n">
        <x:v>12.27167</x:v>
      </x:c>
      <x:c r="F372" s="41" t="n">
        <x:v>-32.108106</x:v>
      </x:c>
      <x:c r="G372" s="41" t="n">
        <x:v>2278.606663</x:v>
      </x:c>
      <x:c r="H372" s="41" t="n">
        <x:f>IFERROR(E372/ABS(F372),"")</x:f>
        <x:v>0.38219850152481744</x:v>
      </x:c>
      <x:c r="I372" s="41" t="n">
        <x:v>12.558642</x:v>
      </x:c>
      <x:c r="J372" s="41" t="n">
        <x:v>-31.105286</x:v>
      </x:c>
      <x:c r="K372" s="41" t="n">
        <x:v>2450.798439</x:v>
      </x:c>
      <x:c r="L372" s="41" t="n">
        <x:f>IFERROR(I372/ABS(J372),"")</x:f>
        <x:v>0.4037462314283174</x:v>
      </x:c>
      <x:c r="M372" s="41" t="n">
        <x:v>6.802475</x:v>
      </x:c>
      <x:c r="N372" s="41" t="n">
        <x:v>-56.473669</x:v>
      </x:c>
      <x:c r="O372" s="41" t="n">
        <x:v>506.057416</x:v>
      </x:c>
      <x:c r="P372" s="41" t="n">
        <x:f>IFERROR(M372/ABS(N372),"")</x:f>
        <x:v>0.12045392340278087</x:v>
      </x:c>
      <x:c r="Q372" s="41" t="str">
        <x:f>IF(L372&gt;=MAX(H372,P372),"Weekly",IF(H372&gt;=MAX(L372,P372),"No weekly","SPY"))</x:f>
        <x:v>Weekly</x:v>
      </x:c>
      <x:c r="R372" s="41" t="n">
        <x:f>IFERROR(L372-P372,"")</x:f>
        <x:v>0.2832923080255365</x:v>
      </x:c>
      <x:c r="S372" s="41" t="n">
        <x:f>IFERROR(H372-P372,"")</x:f>
        <x:v>0.26174457812203655</x:v>
      </x:c>
      <x:c r="T372" s="41" t="n">
        <x:f>IFERROR(I372-M372,"")</x:f>
        <x:v>5.7561670000000005</x:v>
      </x:c>
      <x:c r="U372" s="41" t="n">
        <x:f>IFERROR(E372-M372,"")</x:f>
        <x:v>5.469195</x:v>
      </x:c>
      <x:c r="V372" s="41" t="str">
        <x:f>IF(AND(I372&gt;M372,J372&gt;N372),"Sí","No")</x:f>
        <x:v>Sí</x:v>
      </x:c>
      <x:c r="W372" s="41" t="str">
        <x:f>IF(AND(E372&gt;M372,F372&gt;N372),"Sí","No")</x:f>
        <x:v>Sí</x:v>
      </x:c>
      <x:c r="X372" s="41" t="str">
        <x:f>IF(L372&gt;=H372,"Weekly","No weekly")</x:f>
        <x:v>Weekly</x:v>
      </x:c>
      <x:c r="Y372" s="41" t="n">
        <x:f>IFERROR(I372-E372,"")</x:f>
        <x:v>0.28697200000000045</x:v>
      </x:c>
      <x:c r="Z372" s="41" t="n">
        <x:f>IFERROR(J372-F372,"")</x:f>
        <x:v>1.0028199999999998</x:v>
      </x:c>
      <x:c r="AA372" s="41" t="n">
        <x:v>12263</x:v>
      </x:c>
      <x:c r="AB372" s="41" t="n">
        <x:v>5914</x:v>
      </x:c>
    </x:row>
    <x:row r="373">
      <x:c r="A373" s="41" t="str">
        <x:v>HYP_REFINE_AUTO002_TOPN_6_V1_DDGRID_EXT_R12_C26_E75_CR33_REDD_RECOVERED_DD10_SL20</x:v>
      </x:c>
      <x:c r="B373" s="41" t="str">
        <x:v>dd_guard_grid</x:v>
      </x:c>
      <x:c r="C373" s="41" t="str">
        <x:v>1999-01-04</x:v>
      </x:c>
      <x:c r="D373" s="41" t="str">
        <x:v>2026-05-22</x:v>
      </x:c>
      <x:c r="E373" s="41" t="n">
        <x:v>12.754541</x:v>
      </x:c>
      <x:c r="F373" s="41" t="n">
        <x:v>-33.934237</x:v>
      </x:c>
      <x:c r="G373" s="41" t="n">
        <x:v>2575.175204</x:v>
      </x:c>
      <x:c r="H373" s="41" t="n">
        <x:f>IFERROR(E373/ABS(F373),"")</x:f>
        <x:v>0.3758605505112727</x:v>
      </x:c>
      <x:c r="I373" s="41" t="n">
        <x:v>12.611485</x:v>
      </x:c>
      <x:c r="J373" s="41" t="n">
        <x:v>-32.174133</x:v>
      </x:c>
      <x:c r="K373" s="41" t="n">
        <x:v>2483.788681</x:v>
      </x:c>
      <x:c r="L373" s="41" t="n">
        <x:f>IFERROR(I373/ABS(J373),"")</x:f>
        <x:v>0.3919759080998391</x:v>
      </x:c>
      <x:c r="M373" s="41" t="n">
        <x:v>6.802475</x:v>
      </x:c>
      <x:c r="N373" s="41" t="n">
        <x:v>-56.473669</x:v>
      </x:c>
      <x:c r="O373" s="41" t="n">
        <x:v>506.057416</x:v>
      </x:c>
      <x:c r="P373" s="41" t="n">
        <x:f>IFERROR(M373/ABS(N373),"")</x:f>
        <x:v>0.12045392340278087</x:v>
      </x:c>
      <x:c r="Q373" s="41" t="str">
        <x:f>IF(L373&gt;=MAX(H373,P373),"Weekly",IF(H373&gt;=MAX(L373,P373),"No weekly","SPY"))</x:f>
        <x:v>Weekly</x:v>
      </x:c>
      <x:c r="R373" s="41" t="n">
        <x:f>IFERROR(L373-P373,"")</x:f>
        <x:v>0.27152198469705824</x:v>
      </x:c>
      <x:c r="S373" s="41" t="n">
        <x:f>IFERROR(H373-P373,"")</x:f>
        <x:v>0.2554066271084918</x:v>
      </x:c>
      <x:c r="T373" s="41" t="n">
        <x:f>IFERROR(I373-M373,"")</x:f>
        <x:v>5.80901</x:v>
      </x:c>
      <x:c r="U373" s="41" t="n">
        <x:f>IFERROR(E373-M373,"")</x:f>
        <x:v>5.952065999999999</x:v>
      </x:c>
      <x:c r="V373" s="41" t="str">
        <x:f>IF(AND(I373&gt;M373,J373&gt;N373),"Sí","No")</x:f>
        <x:v>Sí</x:v>
      </x:c>
      <x:c r="W373" s="41" t="str">
        <x:f>IF(AND(E373&gt;M373,F373&gt;N373),"Sí","No")</x:f>
        <x:v>Sí</x:v>
      </x:c>
      <x:c r="X373" s="41" t="str">
        <x:f>IF(L373&gt;=H373,"Weekly","No weekly")</x:f>
        <x:v>Weekly</x:v>
      </x:c>
      <x:c r="Y373" s="41" t="n">
        <x:f>IFERROR(I373-E373,"")</x:f>
        <x:v>-0.14305599999999963</x:v>
      </x:c>
      <x:c r="Z373" s="41" t="n">
        <x:f>IFERROR(J373-F373,"")</x:f>
        <x:v>1.7601040000000054</x:v>
      </x:c>
      <x:c r="AA373" s="41" t="n">
        <x:v>12163</x:v>
      </x:c>
      <x:c r="AB373" s="41" t="n">
        <x:v>5382</x:v>
      </x:c>
    </x:row>
    <x:row r="374">
      <x:c r="A374" s="41" t="str">
        <x:v>HYP_REFINE_AUTO002_TOPN_6_V1_DDGRID_EXT_R12_C26_E75_CR33_REDD_RECOVERED_DD6_SL20</x:v>
      </x:c>
      <x:c r="B374" s="41" t="str">
        <x:v>dd_guard_grid</x:v>
      </x:c>
      <x:c r="C374" s="41" t="str">
        <x:v>1999-01-04</x:v>
      </x:c>
      <x:c r="D374" s="41" t="str">
        <x:v>2026-05-22</x:v>
      </x:c>
      <x:c r="E374" s="41" t="n">
        <x:v>12.634726</x:v>
      </x:c>
      <x:c r="F374" s="41" t="n">
        <x:v>-33.934237</x:v>
      </x:c>
      <x:c r="G374" s="41" t="n">
        <x:v>2498.427737</x:v>
      </x:c>
      <x:c r="H374" s="41" t="n">
        <x:f>IFERROR(E374/ABS(F374),"")</x:f>
        <x:v>0.372329750629136</x:v>
      </x:c>
      <x:c r="I374" s="41" t="n">
        <x:v>12.521981</x:v>
      </x:c>
      <x:c r="J374" s="41" t="n">
        <x:v>-32.174133</x:v>
      </x:c>
      <x:c r="K374" s="41" t="n">
        <x:v>2428.149262</x:v>
      </x:c>
      <x:c r="L374" s="41" t="n">
        <x:f>IFERROR(I374/ABS(J374),"")</x:f>
        <x:v>0.3891940460369204</x:v>
      </x:c>
      <x:c r="M374" s="41" t="n">
        <x:v>6.802475</x:v>
      </x:c>
      <x:c r="N374" s="41" t="n">
        <x:v>-56.473669</x:v>
      </x:c>
      <x:c r="O374" s="41" t="n">
        <x:v>506.057416</x:v>
      </x:c>
      <x:c r="P374" s="41" t="n">
        <x:f>IFERROR(M374/ABS(N374),"")</x:f>
        <x:v>0.12045392340278087</x:v>
      </x:c>
      <x:c r="Q374" s="41" t="str">
        <x:f>IF(L374&gt;=MAX(H374,P374),"Weekly",IF(H374&gt;=MAX(L374,P374),"No weekly","SPY"))</x:f>
        <x:v>Weekly</x:v>
      </x:c>
      <x:c r="R374" s="41" t="n">
        <x:f>IFERROR(L374-P374,"")</x:f>
        <x:v>0.26874012263413954</x:v>
      </x:c>
      <x:c r="S374" s="41" t="n">
        <x:f>IFERROR(H374-P374,"")</x:f>
        <x:v>0.2518758272263551</x:v>
      </x:c>
      <x:c r="T374" s="41" t="n">
        <x:f>IFERROR(I374-M374,"")</x:f>
        <x:v>5.719506</x:v>
      </x:c>
      <x:c r="U374" s="41" t="n">
        <x:f>IFERROR(E374-M374,"")</x:f>
        <x:v>5.832251</x:v>
      </x:c>
      <x:c r="V374" s="41" t="str">
        <x:f>IF(AND(I374&gt;M374,J374&gt;N374),"Sí","No")</x:f>
        <x:v>Sí</x:v>
      </x:c>
      <x:c r="W374" s="41" t="str">
        <x:f>IF(AND(E374&gt;M374,F374&gt;N374),"Sí","No")</x:f>
        <x:v>Sí</x:v>
      </x:c>
      <x:c r="X374" s="41" t="str">
        <x:f>IF(L374&gt;=H374,"Weekly","No weekly")</x:f>
        <x:v>Weekly</x:v>
      </x:c>
      <x:c r="Y374" s="41" t="n">
        <x:f>IFERROR(I374-E374,"")</x:f>
        <x:v>-0.11274500000000032</x:v>
      </x:c>
      <x:c r="Z374" s="41" t="n">
        <x:f>IFERROR(J374-F374,"")</x:f>
        <x:v>1.7601040000000054</x:v>
      </x:c>
      <x:c r="AA374" s="41" t="n">
        <x:v>12577</x:v>
      </x:c>
      <x:c r="AB374" s="41" t="n">
        <x:v>5923</x:v>
      </x:c>
    </x:row>
    <x:row r="375">
      <x:c r="A375" s="41" t="str">
        <x:v>HYP_REFINE_AUTO002_TOPN_6_V1_DDGRID_EXT_R12_C26_E75_CR33_REDD_RECOVERED_DD8_SL18</x:v>
      </x:c>
      <x:c r="B375" s="41" t="str">
        <x:v>dd_guard_grid</x:v>
      </x:c>
      <x:c r="C375" s="41" t="str">
        <x:v>1999-01-04</x:v>
      </x:c>
      <x:c r="D375" s="41" t="str">
        <x:v>2026-05-22</x:v>
      </x:c>
      <x:c r="E375" s="41" t="n">
        <x:v>12.161538</x:v>
      </x:c>
      <x:c r="F375" s="41" t="n">
        <x:v>-33.599275</x:v>
      </x:c>
      <x:c r="G375" s="41" t="n">
        <x:v>2215.544792</x:v>
      </x:c>
      <x:c r="H375" s="41" t="n">
        <x:f>IFERROR(E375/ABS(F375),"")</x:f>
        <x:v>0.36195834582740255</x:v>
      </x:c>
      <x:c r="I375" s="41" t="n">
        <x:v>12.029973</x:v>
      </x:c>
      <x:c r="J375" s="41" t="n">
        <x:v>-32.131284</x:v>
      </x:c>
      <x:c r="K375" s="41" t="n">
        <x:v>2142.320219</x:v>
      </x:c>
      <x:c r="L375" s="41" t="n">
        <x:f>IFERROR(I375/ABS(J375),"")</x:f>
        <x:v>0.3744006308618106</x:v>
      </x:c>
      <x:c r="M375" s="41" t="n">
        <x:v>6.802475</x:v>
      </x:c>
      <x:c r="N375" s="41" t="n">
        <x:v>-56.473669</x:v>
      </x:c>
      <x:c r="O375" s="41" t="n">
        <x:v>506.057416</x:v>
      </x:c>
      <x:c r="P375" s="41" t="n">
        <x:f>IFERROR(M375/ABS(N375),"")</x:f>
        <x:v>0.12045392340278087</x:v>
      </x:c>
      <x:c r="Q375" s="41" t="str">
        <x:f>IF(L375&gt;=MAX(H375,P375),"Weekly",IF(H375&gt;=MAX(L375,P375),"No weekly","SPY"))</x:f>
        <x:v>Weekly</x:v>
      </x:c>
      <x:c r="R375" s="41" t="n">
        <x:f>IFERROR(L375-P375,"")</x:f>
        <x:v>0.2539467074590297</x:v>
      </x:c>
      <x:c r="S375" s="41" t="n">
        <x:f>IFERROR(H375-P375,"")</x:f>
        <x:v>0.24150442242462167</x:v>
      </x:c>
      <x:c r="T375" s="41" t="n">
        <x:f>IFERROR(I375-M375,"")</x:f>
        <x:v>5.227498</x:v>
      </x:c>
      <x:c r="U375" s="41" t="n">
        <x:f>IFERROR(E375-M375,"")</x:f>
        <x:v>5.359063</x:v>
      </x:c>
      <x:c r="V375" s="41" t="str">
        <x:f>IF(AND(I375&gt;M375,J375&gt;N375),"Sí","No")</x:f>
        <x:v>Sí</x:v>
      </x:c>
      <x:c r="W375" s="41" t="str">
        <x:f>IF(AND(E375&gt;M375,F375&gt;N375),"Sí","No")</x:f>
        <x:v>Sí</x:v>
      </x:c>
      <x:c r="X375" s="41" t="str">
        <x:f>IF(L375&gt;=H375,"Weekly","No weekly")</x:f>
        <x:v>Weekly</x:v>
      </x:c>
      <x:c r="Y375" s="41" t="n">
        <x:f>IFERROR(I375-E375,"")</x:f>
        <x:v>-0.13156500000000015</x:v>
      </x:c>
      <x:c r="Z375" s="41" t="n">
        <x:f>IFERROR(J375-F375,"")</x:f>
        <x:v>1.4679909999999978</x:v>
      </x:c>
      <x:c r="AA375" s="41" t="n">
        <x:v>12511</x:v>
      </x:c>
      <x:c r="AB375" s="41" t="n">
        <x:v>5545</x:v>
      </x:c>
    </x:row>
    <x:row r="376">
      <x:c r="A376" s="41" t="str">
        <x:v>HYP_REFINE_AUTO002_TOPN_6_V1_DDGRID_EXT_R12_C26_E75_CR33_REDD_RECOVERED_DD8_SL20</x:v>
      </x:c>
      <x:c r="B376" s="41" t="str">
        <x:v>dd_guard_grid</x:v>
      </x:c>
      <x:c r="C376" s="41" t="str">
        <x:v>1999-01-04</x:v>
      </x:c>
      <x:c r="D376" s="41" t="str">
        <x:v>2026-05-22</x:v>
      </x:c>
      <x:c r="E376" s="41" t="n">
        <x:v>12.908455</x:v>
      </x:c>
      <x:c r="F376" s="41" t="n">
        <x:v>-33.934237</x:v>
      </x:c>
      <x:c r="G376" s="41" t="n">
        <x:v>2676.974599</x:v>
      </x:c>
      <x:c r="H376" s="41" t="n">
        <x:f>IFERROR(E376/ABS(F376),"")</x:f>
        <x:v>0.3803962057552671</x:v>
      </x:c>
      <x:c r="I376" s="41" t="n">
        <x:v>12.825563</x:v>
      </x:c>
      <x:c r="J376" s="41" t="n">
        <x:v>-32.174133</x:v>
      </x:c>
      <x:c r="K376" s="41" t="n">
        <x:v>2621.694446</x:v>
      </x:c>
      <x:c r="L376" s="41" t="n">
        <x:f>IFERROR(I376/ABS(J376),"")</x:f>
        <x:v>0.3986296382873783</x:v>
      </x:c>
      <x:c r="M376" s="41" t="n">
        <x:v>6.802475</x:v>
      </x:c>
      <x:c r="N376" s="41" t="n">
        <x:v>-56.473669</x:v>
      </x:c>
      <x:c r="O376" s="41" t="n">
        <x:v>506.057416</x:v>
      </x:c>
      <x:c r="P376" s="41" t="n">
        <x:f>IFERROR(M376/ABS(N376),"")</x:f>
        <x:v>0.12045392340278087</x:v>
      </x:c>
      <x:c r="Q376" s="41" t="str">
        <x:f>IF(L376&gt;=MAX(H376,P376),"Weekly",IF(H376&gt;=MAX(L376,P376),"No weekly","SPY"))</x:f>
        <x:v>Weekly</x:v>
      </x:c>
      <x:c r="R376" s="41" t="n">
        <x:f>IFERROR(L376-P376,"")</x:f>
        <x:v>0.2781757148845974</x:v>
      </x:c>
      <x:c r="S376" s="41" t="n">
        <x:f>IFERROR(H376-P376,"")</x:f>
        <x:v>0.25994228235248623</x:v>
      </x:c>
      <x:c r="T376" s="41" t="n">
        <x:f>IFERROR(I376-M376,"")</x:f>
        <x:v>6.023088</x:v>
      </x:c>
      <x:c r="U376" s="41" t="n">
        <x:f>IFERROR(E376-M376,"")</x:f>
        <x:v>6.10598</x:v>
      </x:c>
      <x:c r="V376" s="41" t="str">
        <x:f>IF(AND(I376&gt;M376,J376&gt;N376),"Sí","No")</x:f>
        <x:v>Sí</x:v>
      </x:c>
      <x:c r="W376" s="41" t="str">
        <x:f>IF(AND(E376&gt;M376,F376&gt;N376),"Sí","No")</x:f>
        <x:v>Sí</x:v>
      </x:c>
      <x:c r="X376" s="41" t="str">
        <x:f>IF(L376&gt;=H376,"Weekly","No weekly")</x:f>
        <x:v>Weekly</x:v>
      </x:c>
      <x:c r="Y376" s="41" t="n">
        <x:f>IFERROR(I376-E376,"")</x:f>
        <x:v>-0.0828919999999993</x:v>
      </x:c>
      <x:c r="Z376" s="41" t="n">
        <x:f>IFERROR(J376-F376,"")</x:f>
        <x:v>1.7601040000000054</x:v>
      </x:c>
      <x:c r="AA376" s="41" t="n">
        <x:v>12384</x:v>
      </x:c>
      <x:c r="AB376" s="41" t="n">
        <x:v>5620</x:v>
      </x:c>
    </x:row>
    <x:row r="377">
      <x:c r="A377" s="41" t="str">
        <x:v>HYP_REFINE_AUTO002_TOPN_6_V1_DDGRID_EXT_R12_C26_E75_CR33_REDD_RECOVERED_DD8_SL22</x:v>
      </x:c>
      <x:c r="B377" s="41" t="str">
        <x:v>dd_guard_grid</x:v>
      </x:c>
      <x:c r="C377" s="41" t="str">
        <x:v>1999-01-04</x:v>
      </x:c>
      <x:c r="D377" s="41" t="str">
        <x:v>2026-05-22</x:v>
      </x:c>
      <x:c r="E377" s="41" t="n">
        <x:v>12.596799</x:v>
      </x:c>
      <x:c r="F377" s="41" t="n">
        <x:v>-34.514294</x:v>
      </x:c>
      <x:c r="G377" s="41" t="n">
        <x:v>2474.579117</x:v>
      </x:c>
      <x:c r="H377" s="41" t="n">
        <x:f>IFERROR(E377/ABS(F377),"")</x:f>
        <x:v>0.3649733933424801</x:v>
      </x:c>
      <x:c r="I377" s="41" t="n">
        <x:v>12.873247</x:v>
      </x:c>
      <x:c r="J377" s="41" t="n">
        <x:v>-32.267962</x:v>
      </x:c>
      <x:c r="K377" s="41" t="n">
        <x:v>2653.363608</x:v>
      </x:c>
      <x:c r="L377" s="41" t="n">
        <x:f>IFERROR(I377/ABS(J377),"")</x:f>
        <x:v>0.39894825089976244</x:v>
      </x:c>
      <x:c r="M377" s="41" t="n">
        <x:v>6.802475</x:v>
      </x:c>
      <x:c r="N377" s="41" t="n">
        <x:v>-56.473669</x:v>
      </x:c>
      <x:c r="O377" s="41" t="n">
        <x:v>506.057416</x:v>
      </x:c>
      <x:c r="P377" s="41" t="n">
        <x:f>IFERROR(M377/ABS(N377),"")</x:f>
        <x:v>0.12045392340278087</x:v>
      </x:c>
      <x:c r="Q377" s="41" t="str">
        <x:f>IF(L377&gt;=MAX(H377,P377),"Weekly",IF(H377&gt;=MAX(L377,P377),"No weekly","SPY"))</x:f>
        <x:v>Weekly</x:v>
      </x:c>
      <x:c r="R377" s="41" t="n">
        <x:f>IFERROR(L377-P377,"")</x:f>
        <x:v>0.27849432749698155</x:v>
      </x:c>
      <x:c r="S377" s="41" t="n">
        <x:f>IFERROR(H377-P377,"")</x:f>
        <x:v>0.2445194699396992</x:v>
      </x:c>
      <x:c r="T377" s="41" t="n">
        <x:f>IFERROR(I377-M377,"")</x:f>
        <x:v>6.070771999999999</x:v>
      </x:c>
      <x:c r="U377" s="41" t="n">
        <x:f>IFERROR(E377-M377,"")</x:f>
        <x:v>5.7943240000000005</x:v>
      </x:c>
      <x:c r="V377" s="41" t="str">
        <x:f>IF(AND(I377&gt;M377,J377&gt;N377),"Sí","No")</x:f>
        <x:v>Sí</x:v>
      </x:c>
      <x:c r="W377" s="41" t="str">
        <x:f>IF(AND(E377&gt;M377,F377&gt;N377),"Sí","No")</x:f>
        <x:v>Sí</x:v>
      </x:c>
      <x:c r="X377" s="41" t="str">
        <x:f>IF(L377&gt;=H377,"Weekly","No weekly")</x:f>
        <x:v>Weekly</x:v>
      </x:c>
      <x:c r="Y377" s="41" t="n">
        <x:f>IFERROR(I377-E377,"")</x:f>
        <x:v>0.2764479999999985</x:v>
      </x:c>
      <x:c r="Z377" s="41" t="n">
        <x:f>IFERROR(J377-F377,"")</x:f>
        <x:v>2.2463320000000024</x:v>
      </x:c>
      <x:c r="AA377" s="41" t="n">
        <x:v>12249</x:v>
      </x:c>
      <x:c r="AB377" s="41" t="n">
        <x:v>5720</x:v>
      </x:c>
    </x:row>
    <x:row r="378">
      <x:c r="A378" s="41" t="str">
        <x:v>HYP_REFINE_AUTO002_TOPN_6_V1_DDGRID_EXT_R12_C26_E75_CR40_REDD_RECOVERED_DD10_SL18</x:v>
      </x:c>
      <x:c r="B378" s="41" t="str">
        <x:v>dd_guard_grid</x:v>
      </x:c>
      <x:c r="C378" s="41" t="str">
        <x:v>1999-01-04</x:v>
      </x:c>
      <x:c r="D378" s="41" t="str">
        <x:v>2026-05-22</x:v>
      </x:c>
      <x:c r="E378" s="41" t="n">
        <x:v>11.266739</x:v>
      </x:c>
      <x:c r="F378" s="41" t="n">
        <x:v>-35.45642</x:v>
      </x:c>
      <x:c r="G378" s="41" t="n">
        <x:v>1759.577673</x:v>
      </x:c>
      <x:c r="H378" s="41" t="n">
        <x:f>IFERROR(E378/ABS(F378),"")</x:f>
        <x:v>0.31776301724765216</x:v>
      </x:c>
      <x:c r="I378" s="41" t="n">
        <x:v>13.708387</x:v>
      </x:c>
      <x:c r="J378" s="41" t="n">
        <x:v>-30.915209</x:v>
      </x:c>
      <x:c r="K378" s="41" t="n">
        <x:v>3269.111539</x:v>
      </x:c>
      <x:c r="L378" s="41" t="n">
        <x:f>IFERROR(I378/ABS(J378),"")</x:f>
        <x:v>0.4434188686869301</x:v>
      </x:c>
      <x:c r="M378" s="41" t="n">
        <x:v>6.802475</x:v>
      </x:c>
      <x:c r="N378" s="41" t="n">
        <x:v>-56.473669</x:v>
      </x:c>
      <x:c r="O378" s="41" t="n">
        <x:v>506.057416</x:v>
      </x:c>
      <x:c r="P378" s="41" t="n">
        <x:f>IFERROR(M378/ABS(N378),"")</x:f>
        <x:v>0.12045392340278087</x:v>
      </x:c>
      <x:c r="Q378" s="41" t="str">
        <x:f>IF(L378&gt;=MAX(H378,P378),"Weekly",IF(H378&gt;=MAX(L378,P378),"No weekly","SPY"))</x:f>
        <x:v>Weekly</x:v>
      </x:c>
      <x:c r="R378" s="41" t="n">
        <x:f>IFERROR(L378-P378,"")</x:f>
        <x:v>0.3229649452841492</x:v>
      </x:c>
      <x:c r="S378" s="41" t="n">
        <x:f>IFERROR(H378-P378,"")</x:f>
        <x:v>0.19730909384487128</x:v>
      </x:c>
      <x:c r="T378" s="41" t="n">
        <x:f>IFERROR(I378-M378,"")</x:f>
        <x:v>6.905912</x:v>
      </x:c>
      <x:c r="U378" s="41" t="n">
        <x:f>IFERROR(E378-M378,"")</x:f>
        <x:v>4.464263999999999</x:v>
      </x:c>
      <x:c r="V378" s="41" t="str">
        <x:f>IF(AND(I378&gt;M378,J378&gt;N378),"Sí","No")</x:f>
        <x:v>Sí</x:v>
      </x:c>
      <x:c r="W378" s="41" t="str">
        <x:f>IF(AND(E378&gt;M378,F378&gt;N378),"Sí","No")</x:f>
        <x:v>Sí</x:v>
      </x:c>
      <x:c r="X378" s="41" t="str">
        <x:f>IF(L378&gt;=H378,"Weekly","No weekly")</x:f>
        <x:v>Weekly</x:v>
      </x:c>
      <x:c r="Y378" s="41" t="n">
        <x:f>IFERROR(I378-E378,"")</x:f>
        <x:v>2.4416480000000007</x:v>
      </x:c>
      <x:c r="Z378" s="41" t="n">
        <x:f>IFERROR(J378-F378,"")</x:f>
        <x:v>4.5412110000000006</x:v>
      </x:c>
      <x:c r="AA378" s="41" t="n">
        <x:v>10963</x:v>
      </x:c>
      <x:c r="AB378" s="41" t="n">
        <x:v>5458</x:v>
      </x:c>
    </x:row>
    <x:row r="379">
      <x:c r="A379" s="41" t="str">
        <x:v>HYP_REFINE_AUTO002_TOPN_6_V1_DDGRID_EXT_R12_C26_E75_CR40_REDD_RECOVERED_DD10_SL20</x:v>
      </x:c>
      <x:c r="B379" s="41" t="str">
        <x:v>dd_guard_grid</x:v>
      </x:c>
      <x:c r="C379" s="41" t="str">
        <x:v>1999-01-04</x:v>
      </x:c>
      <x:c r="D379" s="41" t="str">
        <x:v>2026-05-22</x:v>
      </x:c>
      <x:c r="E379" s="41" t="n">
        <x:v>14.322606</x:v>
      </x:c>
      <x:c r="F379" s="41" t="n">
        <x:v>-35.504565</x:v>
      </x:c>
      <x:c r="G379" s="41" t="n">
        <x:v>3804.546341</x:v>
      </x:c>
      <x:c r="H379" s="41" t="n">
        <x:f>IFERROR(E379/ABS(F379),"")</x:f>
        <x:v>0.4034018160763271</x:v>
      </x:c>
      <x:c r="I379" s="41" t="n">
        <x:v>15.35265</x:v>
      </x:c>
      <x:c r="J379" s="41" t="n">
        <x:v>-30.730195</x:v>
      </x:c>
      <x:c r="K379" s="41" t="n">
        <x:v>4891.401773</x:v>
      </x:c>
      <x:c r="L379" s="41" t="n">
        <x:f>IFERROR(I379/ABS(J379),"")</x:f>
        <x:v>0.4995949423685727</x:v>
      </x:c>
      <x:c r="M379" s="41" t="n">
        <x:v>6.802475</x:v>
      </x:c>
      <x:c r="N379" s="41" t="n">
        <x:v>-56.473669</x:v>
      </x:c>
      <x:c r="O379" s="41" t="n">
        <x:v>506.057416</x:v>
      </x:c>
      <x:c r="P379" s="41" t="n">
        <x:f>IFERROR(M379/ABS(N379),"")</x:f>
        <x:v>0.12045392340278087</x:v>
      </x:c>
      <x:c r="Q379" s="41" t="str">
        <x:f>IF(L379&gt;=MAX(H379,P379),"Weekly",IF(H379&gt;=MAX(L379,P379),"No weekly","SPY"))</x:f>
        <x:v>Weekly</x:v>
      </x:c>
      <x:c r="R379" s="41" t="n">
        <x:f>IFERROR(L379-P379,"")</x:f>
        <x:v>0.37914101896579183</x:v>
      </x:c>
      <x:c r="S379" s="41" t="n">
        <x:f>IFERROR(H379-P379,"")</x:f>
        <x:v>0.2829478926735462</x:v>
      </x:c>
      <x:c r="T379" s="41" t="n">
        <x:f>IFERROR(I379-M379,"")</x:f>
        <x:v>8.550175</x:v>
      </x:c>
      <x:c r="U379" s="41" t="n">
        <x:f>IFERROR(E379-M379,"")</x:f>
        <x:v>7.520131</x:v>
      </x:c>
      <x:c r="V379" s="41" t="str">
        <x:f>IF(AND(I379&gt;M379,J379&gt;N379),"Sí","No")</x:f>
        <x:v>Sí</x:v>
      </x:c>
      <x:c r="W379" s="41" t="str">
        <x:f>IF(AND(E379&gt;M379,F379&gt;N379),"Sí","No")</x:f>
        <x:v>Sí</x:v>
      </x:c>
      <x:c r="X379" s="41" t="str">
        <x:f>IF(L379&gt;=H379,"Weekly","No weekly")</x:f>
        <x:v>Weekly</x:v>
      </x:c>
      <x:c r="Y379" s="41" t="n">
        <x:f>IFERROR(I379-E379,"")</x:f>
        <x:v>1.0300440000000002</x:v>
      </x:c>
      <x:c r="Z379" s="41" t="n">
        <x:f>IFERROR(J379-F379,"")</x:f>
        <x:v>4.774370000000001</x:v>
      </x:c>
      <x:c r="AA379" s="41" t="n">
        <x:v>10872</x:v>
      </x:c>
      <x:c r="AB379" s="41" t="n">
        <x:v>4997</x:v>
      </x:c>
    </x:row>
    <x:row r="380">
      <x:c r="A380" s="41" t="str">
        <x:v>HYP_REFINE_AUTO002_TOPN_6_V1_DDGRID_EXT_R12_C26_E75_CR40_REDD_RECOVERED_DD6_SL18</x:v>
      </x:c>
      <x:c r="B380" s="41" t="str">
        <x:v>dd_guard_grid</x:v>
      </x:c>
      <x:c r="C380" s="41" t="str">
        <x:v>1999-01-04</x:v>
      </x:c>
      <x:c r="D380" s="41" t="str">
        <x:v>2026-05-22</x:v>
      </x:c>
      <x:c r="E380" s="41" t="n">
        <x:v>11.505205</x:v>
      </x:c>
      <x:c r="F380" s="41" t="n">
        <x:v>-35.45642</x:v>
      </x:c>
      <x:c r="G380" s="41" t="n">
        <x:v>1871.834047</x:v>
      </x:c>
      <x:c r="H380" s="41" t="n">
        <x:f>IFERROR(E380/ABS(F380),"")</x:f>
        <x:v>0.32448862575522286</x:v>
      </x:c>
      <x:c r="I380" s="41" t="n">
        <x:v>13.370303</x:v>
      </x:c>
      <x:c r="J380" s="41" t="n">
        <x:v>-30.915209</x:v>
      </x:c>
      <x:c r="K380" s="41" t="n">
        <x:v>3005.343926</x:v>
      </x:c>
      <x:c r="L380" s="41" t="n">
        <x:f>IFERROR(I380/ABS(J380),"")</x:f>
        <x:v>0.432483021544509</x:v>
      </x:c>
      <x:c r="M380" s="41" t="n">
        <x:v>6.802475</x:v>
      </x:c>
      <x:c r="N380" s="41" t="n">
        <x:v>-56.473669</x:v>
      </x:c>
      <x:c r="O380" s="41" t="n">
        <x:v>506.057416</x:v>
      </x:c>
      <x:c r="P380" s="41" t="n">
        <x:f>IFERROR(M380/ABS(N380),"")</x:f>
        <x:v>0.12045392340278087</x:v>
      </x:c>
      <x:c r="Q380" s="41" t="str">
        <x:f>IF(L380&gt;=MAX(H380,P380),"Weekly",IF(H380&gt;=MAX(L380,P380),"No weekly","SPY"))</x:f>
        <x:v>Weekly</x:v>
      </x:c>
      <x:c r="R380" s="41" t="n">
        <x:f>IFERROR(L380-P380,"")</x:f>
        <x:v>0.31202909814172813</x:v>
      </x:c>
      <x:c r="S380" s="41" t="n">
        <x:f>IFERROR(H380-P380,"")</x:f>
        <x:v>0.20403470235244198</x:v>
      </x:c>
      <x:c r="T380" s="41" t="n">
        <x:f>IFERROR(I380-M380,"")</x:f>
        <x:v>6.5678279999999996</x:v>
      </x:c>
      <x:c r="U380" s="41" t="n">
        <x:f>IFERROR(E380-M380,"")</x:f>
        <x:v>4.70273</x:v>
      </x:c>
      <x:c r="V380" s="41" t="str">
        <x:f>IF(AND(I380&gt;M380,J380&gt;N380),"Sí","No")</x:f>
        <x:v>Sí</x:v>
      </x:c>
      <x:c r="W380" s="41" t="str">
        <x:f>IF(AND(E380&gt;M380,F380&gt;N380),"Sí","No")</x:f>
        <x:v>Sí</x:v>
      </x:c>
      <x:c r="X380" s="41" t="str">
        <x:f>IF(L380&gt;=H380,"Weekly","No weekly")</x:f>
        <x:v>Weekly</x:v>
      </x:c>
      <x:c r="Y380" s="41" t="n">
        <x:f>IFERROR(I380-E380,"")</x:f>
        <x:v>1.8650979999999997</x:v>
      </x:c>
      <x:c r="Z380" s="41" t="n">
        <x:f>IFERROR(J380-F380,"")</x:f>
        <x:v>4.5412110000000006</x:v>
      </x:c>
      <x:c r="AA380" s="41" t="n">
        <x:v>11811</x:v>
      </x:c>
      <x:c r="AB380" s="41" t="n">
        <x:v>5838</x:v>
      </x:c>
    </x:row>
    <x:row r="381">
      <x:c r="A381" s="41" t="str">
        <x:v>HYP_REFINE_AUTO002_TOPN_6_V1_DDGRID_EXT_R12_C26_E75_CR40_REDD_RECOVERED_DD6_SL20</x:v>
      </x:c>
      <x:c r="B381" s="41" t="str">
        <x:v>dd_guard_grid</x:v>
      </x:c>
      <x:c r="C381" s="41" t="str">
        <x:v>1999-01-04</x:v>
      </x:c>
      <x:c r="D381" s="41" t="str">
        <x:v>2026-05-22</x:v>
      </x:c>
      <x:c r="E381" s="41" t="n">
        <x:v>14.719646</x:v>
      </x:c>
      <x:c r="F381" s="41" t="n">
        <x:v>-35.504565</x:v>
      </x:c>
      <x:c r="G381" s="41" t="n">
        <x:v>4193.326793</x:v>
      </x:c>
      <x:c r="H381" s="41" t="n">
        <x:f>IFERROR(E381/ABS(F381),"")</x:f>
        <x:v>0.4145846034164902</x:v>
      </x:c>
      <x:c r="I381" s="41" t="n">
        <x:v>15.44226</x:v>
      </x:c>
      <x:c r="J381" s="41" t="n">
        <x:v>-30.730195</x:v>
      </x:c>
      <x:c r="K381" s="41" t="n">
        <x:v>4998.65631</x:v>
      </x:c>
      <x:c r="L381" s="41" t="n">
        <x:f>IFERROR(I381/ABS(J381),"")</x:f>
        <x:v>0.5025109668194425</x:v>
      </x:c>
      <x:c r="M381" s="41" t="n">
        <x:v>6.802475</x:v>
      </x:c>
      <x:c r="N381" s="41" t="n">
        <x:v>-56.473669</x:v>
      </x:c>
      <x:c r="O381" s="41" t="n">
        <x:v>506.057416</x:v>
      </x:c>
      <x:c r="P381" s="41" t="n">
        <x:f>IFERROR(M381/ABS(N381),"")</x:f>
        <x:v>0.12045392340278087</x:v>
      </x:c>
      <x:c r="Q381" s="41" t="str">
        <x:f>IF(L381&gt;=MAX(H381,P381),"Weekly",IF(H381&gt;=MAX(L381,P381),"No weekly","SPY"))</x:f>
        <x:v>Weekly</x:v>
      </x:c>
      <x:c r="R381" s="41" t="n">
        <x:f>IFERROR(L381-P381,"")</x:f>
        <x:v>0.38205704341666163</x:v>
      </x:c>
      <x:c r="S381" s="41" t="n">
        <x:f>IFERROR(H381-P381,"")</x:f>
        <x:v>0.29413068001370934</x:v>
      </x:c>
      <x:c r="T381" s="41" t="n">
        <x:f>IFERROR(I381-M381,"")</x:f>
        <x:v>8.639785</x:v>
      </x:c>
      <x:c r="U381" s="41" t="n">
        <x:f>IFERROR(E381-M381,"")</x:f>
        <x:v>7.917170999999999</x:v>
      </x:c>
      <x:c r="V381" s="41" t="str">
        <x:f>IF(AND(I381&gt;M381,J381&gt;N381),"Sí","No")</x:f>
        <x:v>Sí</x:v>
      </x:c>
      <x:c r="W381" s="41" t="str">
        <x:f>IF(AND(E381&gt;M381,F381&gt;N381),"Sí","No")</x:f>
        <x:v>Sí</x:v>
      </x:c>
      <x:c r="X381" s="41" t="str">
        <x:f>IF(L381&gt;=H381,"Weekly","No weekly")</x:f>
        <x:v>Weekly</x:v>
      </x:c>
      <x:c r="Y381" s="41" t="n">
        <x:f>IFERROR(I381-E381,"")</x:f>
        <x:v>0.7226140000000001</x:v>
      </x:c>
      <x:c r="Z381" s="41" t="n">
        <x:f>IFERROR(J381-F381,"")</x:f>
        <x:v>4.774370000000001</x:v>
      </x:c>
      <x:c r="AA381" s="41" t="n">
        <x:v>11567</x:v>
      </x:c>
      <x:c r="AB381" s="41" t="n">
        <x:v>5553</x:v>
      </x:c>
    </x:row>
    <x:row r="382">
      <x:c r="A382" s="41" t="str">
        <x:v>HYP_REFINE_AUTO002_TOPN_6_V1_DDGRID_EXT_R12_C26_E75_CR40_REDD_RECOVERED_DD8_SL18</x:v>
      </x:c>
      <x:c r="B382" s="41" t="str">
        <x:v>dd_guard_grid</x:v>
      </x:c>
      <x:c r="C382" s="41" t="str">
        <x:v>1999-01-04</x:v>
      </x:c>
      <x:c r="D382" s="41" t="str">
        <x:v>2026-05-22</x:v>
      </x:c>
      <x:c r="E382" s="41" t="n">
        <x:v>11.379663</x:v>
      </x:c>
      <x:c r="F382" s="41" t="n">
        <x:v>-35.45642</x:v>
      </x:c>
      <x:c r="G382" s="41" t="n">
        <x:v>1811.94645</x:v>
      </x:c>
      <x:c r="H382" s="41" t="n">
        <x:f>IFERROR(E382/ABS(F382),"")</x:f>
        <x:v>0.3209478847554265</x:v>
      </x:c>
      <x:c r="I382" s="41" t="n">
        <x:v>13.810331</x:v>
      </x:c>
      <x:c r="J382" s="41" t="n">
        <x:v>-30.915209</x:v>
      </x:c>
      <x:c r="K382" s="41" t="n">
        <x:v>3352.794275</x:v>
      </x:c>
      <x:c r="L382" s="41" t="n">
        <x:f>IFERROR(I382/ABS(J382),"")</x:f>
        <x:v>0.44671640421386116</x:v>
      </x:c>
      <x:c r="M382" s="41" t="n">
        <x:v>6.802475</x:v>
      </x:c>
      <x:c r="N382" s="41" t="n">
        <x:v>-56.473669</x:v>
      </x:c>
      <x:c r="O382" s="41" t="n">
        <x:v>506.057416</x:v>
      </x:c>
      <x:c r="P382" s="41" t="n">
        <x:f>IFERROR(M382/ABS(N382),"")</x:f>
        <x:v>0.12045392340278087</x:v>
      </x:c>
      <x:c r="Q382" s="41" t="str">
        <x:f>IF(L382&gt;=MAX(H382,P382),"Weekly",IF(H382&gt;=MAX(L382,P382),"No weekly","SPY"))</x:f>
        <x:v>Weekly</x:v>
      </x:c>
      <x:c r="R382" s="41" t="n">
        <x:f>IFERROR(L382-P382,"")</x:f>
        <x:v>0.3262624808110803</x:v>
      </x:c>
      <x:c r="S382" s="41" t="n">
        <x:f>IFERROR(H382-P382,"")</x:f>
        <x:v>0.20049396135264563</x:v>
      </x:c>
      <x:c r="T382" s="41" t="n">
        <x:f>IFERROR(I382-M382,"")</x:f>
        <x:v>7.007855999999999</x:v>
      </x:c>
      <x:c r="U382" s="41" t="n">
        <x:f>IFERROR(E382-M382,"")</x:f>
        <x:v>4.5771880000000005</x:v>
      </x:c>
      <x:c r="V382" s="41" t="str">
        <x:f>IF(AND(I382&gt;M382,J382&gt;N382),"Sí","No")</x:f>
        <x:v>Sí</x:v>
      </x:c>
      <x:c r="W382" s="41" t="str">
        <x:f>IF(AND(E382&gt;M382,F382&gt;N382),"Sí","No")</x:f>
        <x:v>Sí</x:v>
      </x:c>
      <x:c r="X382" s="41" t="str">
        <x:f>IF(L382&gt;=H382,"Weekly","No weekly")</x:f>
        <x:v>Weekly</x:v>
      </x:c>
      <x:c r="Y382" s="41" t="n">
        <x:f>IFERROR(I382-E382,"")</x:f>
        <x:v>2.430667999999999</x:v>
      </x:c>
      <x:c r="Z382" s="41" t="n">
        <x:f>IFERROR(J382-F382,"")</x:f>
        <x:v>4.5412110000000006</x:v>
      </x:c>
      <x:c r="AA382" s="41" t="n">
        <x:v>11330</x:v>
      </x:c>
      <x:c r="AB382" s="41" t="n">
        <x:v>5730</x:v>
      </x:c>
    </x:row>
    <x:row r="383">
      <x:c r="A383" s="41" t="str">
        <x:v>HYP_REFINE_AUTO002_TOPN_6_V1_DDGRID_EXT_R12_C26_E75_CR40_REDD_RECOVERED_DD8_SL20</x:v>
      </x:c>
      <x:c r="B383" s="41" t="str">
        <x:v>dd_guard_grid</x:v>
      </x:c>
      <x:c r="C383" s="41" t="str">
        <x:v>1999-01-04</x:v>
      </x:c>
      <x:c r="D383" s="41" t="str">
        <x:v>2026-05-22</x:v>
      </x:c>
      <x:c r="E383" s="41" t="n">
        <x:v>14.575834</x:v>
      </x:c>
      <x:c r="F383" s="41" t="n">
        <x:v>-35.504565</x:v>
      </x:c>
      <x:c r="G383" s="41" t="n">
        <x:v>4048.383456</x:v>
      </x:c>
      <x:c r="H383" s="41" t="n">
        <x:f>IFERROR(E383/ABS(F383),"")</x:f>
        <x:v>0.4105340820257902</x:v>
      </x:c>
      <x:c r="I383" s="41" t="n">
        <x:v>15.382009</x:v>
      </x:c>
      <x:c r="J383" s="41" t="n">
        <x:v>-30.730195</x:v>
      </x:c>
      <x:c r="K383" s="41" t="n">
        <x:v>4926.298981</x:v>
      </x:c>
      <x:c r="L383" s="41" t="n">
        <x:f>IFERROR(I383/ABS(J383),"")</x:f>
        <x:v>0.5005503219227864</x:v>
      </x:c>
      <x:c r="M383" s="41" t="n">
        <x:v>6.802475</x:v>
      </x:c>
      <x:c r="N383" s="41" t="n">
        <x:v>-56.473669</x:v>
      </x:c>
      <x:c r="O383" s="41" t="n">
        <x:v>506.057416</x:v>
      </x:c>
      <x:c r="P383" s="41" t="n">
        <x:f>IFERROR(M383/ABS(N383),"")</x:f>
        <x:v>0.12045392340278087</x:v>
      </x:c>
      <x:c r="Q383" s="41" t="str">
        <x:f>IF(L383&gt;=MAX(H383,P383),"Weekly",IF(H383&gt;=MAX(L383,P383),"No weekly","SPY"))</x:f>
        <x:v>Weekly</x:v>
      </x:c>
      <x:c r="R383" s="41" t="n">
        <x:f>IFERROR(L383-P383,"")</x:f>
        <x:v>0.3800963985200055</x:v>
      </x:c>
      <x:c r="S383" s="41" t="n">
        <x:f>IFERROR(H383-P383,"")</x:f>
        <x:v>0.29008015862300934</x:v>
      </x:c>
      <x:c r="T383" s="41" t="n">
        <x:f>IFERROR(I383-M383,"")</x:f>
        <x:v>8.579533999999999</x:v>
      </x:c>
      <x:c r="U383" s="41" t="n">
        <x:f>IFERROR(E383-M383,"")</x:f>
        <x:v>7.773359</x:v>
      </x:c>
      <x:c r="V383" s="41" t="str">
        <x:f>IF(AND(I383&gt;M383,J383&gt;N383),"Sí","No")</x:f>
        <x:v>Sí</x:v>
      </x:c>
      <x:c r="W383" s="41" t="str">
        <x:f>IF(AND(E383&gt;M383,F383&gt;N383),"Sí","No")</x:f>
        <x:v>Sí</x:v>
      </x:c>
      <x:c r="X383" s="41" t="str">
        <x:f>IF(L383&gt;=H383,"Weekly","No weekly")</x:f>
        <x:v>Weekly</x:v>
      </x:c>
      <x:c r="Y383" s="41" t="n">
        <x:f>IFERROR(I383-E383,"")</x:f>
        <x:v>0.8061749999999996</x:v>
      </x:c>
      <x:c r="Z383" s="41" t="n">
        <x:f>IFERROR(J383-F383,"")</x:f>
        <x:v>4.774370000000001</x:v>
      </x:c>
      <x:c r="AA383" s="41" t="n">
        <x:v>11176</x:v>
      </x:c>
      <x:c r="AB383" s="41" t="n">
        <x:v>5184</x:v>
      </x:c>
    </x:row>
    <x:row r="384">
      <x:c r="A384" s="41" t="str">
        <x:v>HYP_REFINE_AUTO002_TOPN_6_V1_DDGRID_EXT_R12_C26_E75_CR40_REDD_RECOVERED_DD8_SL22</x:v>
      </x:c>
      <x:c r="B384" s="41" t="str">
        <x:v>dd_guard_grid</x:v>
      </x:c>
      <x:c r="C384" s="41" t="str">
        <x:v>1999-01-04</x:v>
      </x:c>
      <x:c r="D384" s="41" t="str">
        <x:v>2026-05-22</x:v>
      </x:c>
      <x:c r="E384" s="41" t="n">
        <x:v>12.74426</x:v>
      </x:c>
      <x:c r="F384" s="41" t="n">
        <x:v>-36.098522</x:v>
      </x:c>
      <x:c r="G384" s="41" t="n">
        <x:v>2568.505266</x:v>
      </x:c>
      <x:c r="H384" s="41" t="n">
        <x:f>IFERROR(E384/ABS(F384),"")</x:f>
        <x:v>0.3530410469436948</x:v>
      </x:c>
      <x:c r="I384" s="41" t="n">
        <x:v>13.927028</x:v>
      </x:c>
      <x:c r="J384" s="41" t="n">
        <x:v>-30.612881</x:v>
      </x:c>
      <x:c r="K384" s="41" t="n">
        <x:v>3451.047325</x:v>
      </x:c>
      <x:c r="L384" s="41" t="n">
        <x:f>IFERROR(I384/ABS(J384),"")</x:f>
        <x:v>0.4549401279807673</x:v>
      </x:c>
      <x:c r="M384" s="41" t="n">
        <x:v>6.802475</x:v>
      </x:c>
      <x:c r="N384" s="41" t="n">
        <x:v>-56.473669</x:v>
      </x:c>
      <x:c r="O384" s="41" t="n">
        <x:v>506.057416</x:v>
      </x:c>
      <x:c r="P384" s="41" t="n">
        <x:f>IFERROR(M384/ABS(N384),"")</x:f>
        <x:v>0.12045392340278087</x:v>
      </x:c>
      <x:c r="Q384" s="41" t="str">
        <x:f>IF(L384&gt;=MAX(H384,P384),"Weekly",IF(H384&gt;=MAX(L384,P384),"No weekly","SPY"))</x:f>
        <x:v>Weekly</x:v>
      </x:c>
      <x:c r="R384" s="41" t="n">
        <x:f>IFERROR(L384-P384,"")</x:f>
        <x:v>0.3344862045779864</x:v>
      </x:c>
      <x:c r="S384" s="41" t="n">
        <x:f>IFERROR(H384-P384,"")</x:f>
        <x:v>0.23258712354091393</x:v>
      </x:c>
      <x:c r="T384" s="41" t="n">
        <x:f>IFERROR(I384-M384,"")</x:f>
        <x:v>7.124553</x:v>
      </x:c>
      <x:c r="U384" s="41" t="n">
        <x:f>IFERROR(E384-M384,"")</x:f>
        <x:v>5.941785</x:v>
      </x:c>
      <x:c r="V384" s="41" t="str">
        <x:f>IF(AND(I384&gt;M384,J384&gt;N384),"Sí","No")</x:f>
        <x:v>Sí</x:v>
      </x:c>
      <x:c r="W384" s="41" t="str">
        <x:f>IF(AND(E384&gt;M384,F384&gt;N384),"Sí","No")</x:f>
        <x:v>Sí</x:v>
      </x:c>
      <x:c r="X384" s="41" t="str">
        <x:f>IF(L384&gt;=H384,"Weekly","No weekly")</x:f>
        <x:v>Weekly</x:v>
      </x:c>
      <x:c r="Y384" s="41" t="n">
        <x:f>IFERROR(I384-E384,"")</x:f>
        <x:v>1.1827679999999994</x:v>
      </x:c>
      <x:c r="Z384" s="41" t="n">
        <x:f>IFERROR(J384-F384,"")</x:f>
        <x:v>5.485641000000001</x:v>
      </x:c>
      <x:c r="AA384" s="41" t="n">
        <x:v>11441</x:v>
      </x:c>
      <x:c r="AB384" s="41" t="n">
        <x:v>5747</x:v>
      </x:c>
    </x:row>
    <x:row r="385">
      <x:c r="A385" s="41" t="str">
        <x:v>HYP_REFINE_AUTO002_TOPN_6_V1_DDGRID_EXT_R12_C26_E75_CR40_REDD_RECOVERED_DD8_SL25</x:v>
      </x:c>
      <x:c r="B385" s="41" t="str">
        <x:v>dd_guard_grid</x:v>
      </x:c>
      <x:c r="C385" s="41" t="str">
        <x:v>1999-01-04</x:v>
      </x:c>
      <x:c r="D385" s="41" t="str">
        <x:v>2026-05-22</x:v>
      </x:c>
      <x:c r="E385" s="41" t="n">
        <x:v>12.610405</x:v>
      </x:c>
      <x:c r="F385" s="41" t="n">
        <x:v>-36.038046</x:v>
      </x:c>
      <x:c r="G385" s="41" t="n">
        <x:v>2483.110465</x:v>
      </x:c>
      <x:c r="H385" s="41" t="n">
        <x:f>IFERROR(E385/ABS(F385),"")</x:f>
        <x:v>0.34991922148054305</x:v>
      </x:c>
      <x:c r="I385" s="41" t="n">
        <x:v>14.286579</x:v>
      </x:c>
      <x:c r="J385" s="41" t="n">
        <x:v>-31.035745</x:v>
      </x:c>
      <x:c r="K385" s="41" t="n">
        <x:v>3770.998396</x:v>
      </x:c>
      <x:c r="L385" s="41" t="n">
        <x:f>IFERROR(I385/ABS(J385),"")</x:f>
        <x:v>0.4603266008275297</x:v>
      </x:c>
      <x:c r="M385" s="41" t="n">
        <x:v>6.802475</x:v>
      </x:c>
      <x:c r="N385" s="41" t="n">
        <x:v>-56.473669</x:v>
      </x:c>
      <x:c r="O385" s="41" t="n">
        <x:v>506.057416</x:v>
      </x:c>
      <x:c r="P385" s="41" t="n">
        <x:f>IFERROR(M385/ABS(N385),"")</x:f>
        <x:v>0.12045392340278087</x:v>
      </x:c>
      <x:c r="Q385" s="41" t="str">
        <x:f>IF(L385&gt;=MAX(H385,P385),"Weekly",IF(H385&gt;=MAX(L385,P385),"No weekly","SPY"))</x:f>
        <x:v>Weekly</x:v>
      </x:c>
      <x:c r="R385" s="41" t="n">
        <x:f>IFERROR(L385-P385,"")</x:f>
        <x:v>0.3398726774247488</x:v>
      </x:c>
      <x:c r="S385" s="41" t="n">
        <x:f>IFERROR(H385-P385,"")</x:f>
        <x:v>0.22946529807776217</x:v>
      </x:c>
      <x:c r="T385" s="41" t="n">
        <x:f>IFERROR(I385-M385,"")</x:f>
        <x:v>7.484103999999999</x:v>
      </x:c>
      <x:c r="U385" s="41" t="n">
        <x:f>IFERROR(E385-M385,"")</x:f>
        <x:v>5.80793</x:v>
      </x:c>
      <x:c r="V385" s="41" t="str">
        <x:f>IF(AND(I385&gt;M385,J385&gt;N385),"Sí","No")</x:f>
        <x:v>Sí</x:v>
      </x:c>
      <x:c r="W385" s="41" t="str">
        <x:f>IF(AND(E385&gt;M385,F385&gt;N385),"Sí","No")</x:f>
        <x:v>Sí</x:v>
      </x:c>
      <x:c r="X385" s="41" t="str">
        <x:f>IF(L385&gt;=H385,"Weekly","No weekly")</x:f>
        <x:v>Weekly</x:v>
      </x:c>
      <x:c r="Y385" s="41" t="n">
        <x:f>IFERROR(I385-E385,"")</x:f>
        <x:v>1.6761739999999996</x:v>
      </x:c>
      <x:c r="Z385" s="41" t="n">
        <x:f>IFERROR(J385-F385,"")</x:f>
        <x:v>5.002301000000003</x:v>
      </x:c>
      <x:c r="AA385" s="41" t="n">
        <x:v>11366</x:v>
      </x:c>
      <x:c r="AB385" s="41" t="n">
        <x:v>5875</x:v>
      </x:c>
    </x:row>
    <x:row r="386">
      <x:c r="A386" s="41" t="str">
        <x:v>HYP_REFINE_AUTO002_TOPN_6_V1_DDGRID_EXT_R12_C26_E75_CR40_REDD_RECOVERED_DD8_SLNONE</x:v>
      </x:c>
      <x:c r="B386" s="41" t="str">
        <x:v>dd_guard_grid</x:v>
      </x:c>
      <x:c r="C386" s="41" t="str">
        <x:v>1999-01-04</x:v>
      </x:c>
      <x:c r="D386" s="41" t="str">
        <x:v>2026-05-22</x:v>
      </x:c>
      <x:c r="E386" s="41" t="n">
        <x:v>12.757719</x:v>
      </x:c>
      <x:c r="F386" s="41" t="n">
        <x:v>-36.788097</x:v>
      </x:c>
      <x:c r="G386" s="41" t="n">
        <x:v>2577.240812</x:v>
      </x:c>
      <x:c r="H386" s="41" t="n">
        <x:f>IFERROR(E386/ABS(F386),"")</x:f>
        <x:v>0.34678931612037445</x:v>
      </x:c>
      <x:c r="I386" s="41" t="n">
        <x:v>13.777842</x:v>
      </x:c>
      <x:c r="J386" s="41" t="n">
        <x:v>-30.319473</x:v>
      </x:c>
      <x:c r="K386" s="41" t="n">
        <x:v>3325.910328</x:v>
      </x:c>
      <x:c r="L386" s="41" t="n">
        <x:f>IFERROR(I386/ABS(J386),"")</x:f>
        <x:v>0.4544222124177422</x:v>
      </x:c>
      <x:c r="M386" s="41" t="n">
        <x:v>6.802475</x:v>
      </x:c>
      <x:c r="N386" s="41" t="n">
        <x:v>-56.473669</x:v>
      </x:c>
      <x:c r="O386" s="41" t="n">
        <x:v>506.057416</x:v>
      </x:c>
      <x:c r="P386" s="41" t="n">
        <x:f>IFERROR(M386/ABS(N386),"")</x:f>
        <x:v>0.12045392340278087</x:v>
      </x:c>
      <x:c r="Q386" s="41" t="str">
        <x:f>IF(L386&gt;=MAX(H386,P386),"Weekly",IF(H386&gt;=MAX(L386,P386),"No weekly","SPY"))</x:f>
        <x:v>Weekly</x:v>
      </x:c>
      <x:c r="R386" s="41" t="n">
        <x:f>IFERROR(L386-P386,"")</x:f>
        <x:v>0.33396828901496134</x:v>
      </x:c>
      <x:c r="S386" s="41" t="n">
        <x:f>IFERROR(H386-P386,"")</x:f>
        <x:v>0.22633539271759356</x:v>
      </x:c>
      <x:c r="T386" s="41" t="n">
        <x:f>IFERROR(I386-M386,"")</x:f>
        <x:v>6.975366999999999</x:v>
      </x:c>
      <x:c r="U386" s="41" t="n">
        <x:f>IFERROR(E386-M386,"")</x:f>
        <x:v>5.9552439999999995</x:v>
      </x:c>
      <x:c r="V386" s="41" t="str">
        <x:f>IF(AND(I386&gt;M386,J386&gt;N386),"Sí","No")</x:f>
        <x:v>Sí</x:v>
      </x:c>
      <x:c r="W386" s="41" t="str">
        <x:f>IF(AND(E386&gt;M386,F386&gt;N386),"Sí","No")</x:f>
        <x:v>Sí</x:v>
      </x:c>
      <x:c r="X386" s="41" t="str">
        <x:f>IF(L386&gt;=H386,"Weekly","No weekly")</x:f>
        <x:v>Weekly</x:v>
      </x:c>
      <x:c r="Y386" s="41" t="n">
        <x:f>IFERROR(I386-E386,"")</x:f>
        <x:v>1.020123</x:v>
      </x:c>
      <x:c r="Z386" s="41" t="n">
        <x:f>IFERROR(J386-F386,"")</x:f>
        <x:v>6.468624000000002</x:v>
      </x:c>
      <x:c r="AA386" s="41" t="n">
        <x:v>11730</x:v>
      </x:c>
      <x:c r="AB386" s="41" t="n">
        <x:v>6196</x:v>
      </x:c>
    </x:row>
    <x:row r="387">
      <x:c r="A387" s="41" t="str">
        <x:v>HYP_REFINE_AUTO002_TOPN_6_V1_DDGRID_EXT_R12_C26_E75_CR50_REDD_RECOVERED_DD10_SL18</x:v>
      </x:c>
      <x:c r="B387" s="41" t="str">
        <x:v>dd_guard_grid</x:v>
      </x:c>
      <x:c r="C387" s="41" t="str">
        <x:v>1999-01-04</x:v>
      </x:c>
      <x:c r="D387" s="41" t="str">
        <x:v>2026-05-22</x:v>
      </x:c>
      <x:c r="E387" s="41" t="n">
        <x:v>13.797675</x:v>
      </x:c>
      <x:c r="F387" s="41" t="n">
        <x:v>-36.956781</x:v>
      </x:c>
      <x:c r="G387" s="41" t="n">
        <x:v>3342.297489</x:v>
      </x:c>
      <x:c r="H387" s="41" t="n">
        <x:f>IFERROR(E387/ABS(F387),"")</x:f>
        <x:v>0.3733462338075386</x:v>
      </x:c>
      <x:c r="I387" s="41" t="n">
        <x:v>14.914445</x:v>
      </x:c>
      <x:c r="J387" s="41" t="n">
        <x:v>-31.037779</x:v>
      </x:c>
      <x:c r="K387" s="41" t="n">
        <x:v>4397.458174</x:v>
      </x:c>
      <x:c r="L387" s="41" t="n">
        <x:f>IFERROR(I387/ABS(J387),"")</x:f>
        <x:v>0.4805255234274334</x:v>
      </x:c>
      <x:c r="M387" s="41" t="n">
        <x:v>6.802475</x:v>
      </x:c>
      <x:c r="N387" s="41" t="n">
        <x:v>-56.473669</x:v>
      </x:c>
      <x:c r="O387" s="41" t="n">
        <x:v>506.057416</x:v>
      </x:c>
      <x:c r="P387" s="41" t="n">
        <x:f>IFERROR(M387/ABS(N387),"")</x:f>
        <x:v>0.12045392340278087</x:v>
      </x:c>
      <x:c r="Q387" s="41" t="str">
        <x:f>IF(L387&gt;=MAX(H387,P387),"Weekly",IF(H387&gt;=MAX(L387,P387),"No weekly","SPY"))</x:f>
        <x:v>Weekly</x:v>
      </x:c>
      <x:c r="R387" s="41" t="n">
        <x:f>IFERROR(L387-P387,"")</x:f>
        <x:v>0.3600716000246525</x:v>
      </x:c>
      <x:c r="S387" s="41" t="n">
        <x:f>IFERROR(H387-P387,"")</x:f>
        <x:v>0.25289231040475774</x:v>
      </x:c>
      <x:c r="T387" s="41" t="n">
        <x:f>IFERROR(I387-M387,"")</x:f>
        <x:v>8.11197</x:v>
      </x:c>
      <x:c r="U387" s="41" t="n">
        <x:f>IFERROR(E387-M387,"")</x:f>
        <x:v>6.9952</x:v>
      </x:c>
      <x:c r="V387" s="41" t="str">
        <x:f>IF(AND(I387&gt;M387,J387&gt;N387),"Sí","No")</x:f>
        <x:v>Sí</x:v>
      </x:c>
      <x:c r="W387" s="41" t="str">
        <x:f>IF(AND(E387&gt;M387,F387&gt;N387),"Sí","No")</x:f>
        <x:v>Sí</x:v>
      </x:c>
      <x:c r="X387" s="41" t="str">
        <x:f>IF(L387&gt;=H387,"Weekly","No weekly")</x:f>
        <x:v>Weekly</x:v>
      </x:c>
      <x:c r="Y387" s="41" t="n">
        <x:f>IFERROR(I387-E387,"")</x:f>
        <x:v>1.1167700000000007</x:v>
      </x:c>
      <x:c r="Z387" s="41" t="n">
        <x:f>IFERROR(J387-F387,"")</x:f>
        <x:v>5.919001999999999</x:v>
      </x:c>
      <x:c r="AA387" s="41" t="n">
        <x:v>10781</x:v>
      </x:c>
      <x:c r="AB387" s="41" t="n">
        <x:v>4906</x:v>
      </x:c>
    </x:row>
    <x:row r="388">
      <x:c r="A388" s="41" t="str">
        <x:v>HYP_REFINE_AUTO002_TOPN_6_V1_DDGRID_EXT_R12_C26_E75_CR50_REDD_RECOVERED_DD10_SL20</x:v>
      </x:c>
      <x:c r="B388" s="41" t="str">
        <x:v>dd_guard_grid</x:v>
      </x:c>
      <x:c r="C388" s="41" t="str">
        <x:v>1999-01-04</x:v>
      </x:c>
      <x:c r="D388" s="41" t="str">
        <x:v>2026-05-22</x:v>
      </x:c>
      <x:c r="E388" s="41" t="n">
        <x:v>14.690246</x:v>
      </x:c>
      <x:c r="F388" s="41" t="n">
        <x:v>-37.017024</x:v>
      </x:c>
      <x:c r="G388" s="41" t="n">
        <x:v>4163.304662</x:v>
      </x:c>
      <x:c r="H388" s="41" t="n">
        <x:f>IFERROR(E388/ABS(F388),"")</x:f>
        <x:v>0.39685108127546936</x:v>
      </x:c>
      <x:c r="I388" s="41" t="n">
        <x:v>16.186348</x:v>
      </x:c>
      <x:c r="J388" s="41" t="n">
        <x:v>-31.078635</x:v>
      </x:c>
      <x:c r="K388" s="41" t="n">
        <x:v>5979.242338</x:v>
      </x:c>
      <x:c r="L388" s="41" t="n">
        <x:f>IFERROR(I388/ABS(J388),"")</x:f>
        <x:v>0.520819141509915</x:v>
      </x:c>
      <x:c r="M388" s="41" t="n">
        <x:v>6.802475</x:v>
      </x:c>
      <x:c r="N388" s="41" t="n">
        <x:v>-56.473669</x:v>
      </x:c>
      <x:c r="O388" s="41" t="n">
        <x:v>506.057416</x:v>
      </x:c>
      <x:c r="P388" s="41" t="n">
        <x:f>IFERROR(M388/ABS(N388),"")</x:f>
        <x:v>0.12045392340278087</x:v>
      </x:c>
      <x:c r="Q388" s="41" t="str">
        <x:f>IF(L388&gt;=MAX(H388,P388),"Weekly",IF(H388&gt;=MAX(L388,P388),"No weekly","SPY"))</x:f>
        <x:v>Weekly</x:v>
      </x:c>
      <x:c r="R388" s="41" t="n">
        <x:f>IFERROR(L388-P388,"")</x:f>
        <x:v>0.40036521810713416</x:v>
      </x:c>
      <x:c r="S388" s="41" t="n">
        <x:f>IFERROR(H388-P388,"")</x:f>
        <x:v>0.2763971578726885</x:v>
      </x:c>
      <x:c r="T388" s="41" t="n">
        <x:f>IFERROR(I388-M388,"")</x:f>
        <x:v>9.383872999999998</x:v>
      </x:c>
      <x:c r="U388" s="41" t="n">
        <x:f>IFERROR(E388-M388,"")</x:f>
        <x:v>7.887771</x:v>
      </x:c>
      <x:c r="V388" s="41" t="str">
        <x:f>IF(AND(I388&gt;M388,J388&gt;N388),"Sí","No")</x:f>
        <x:v>Sí</x:v>
      </x:c>
      <x:c r="W388" s="41" t="str">
        <x:f>IF(AND(E388&gt;M388,F388&gt;N388),"Sí","No")</x:f>
        <x:v>Sí</x:v>
      </x:c>
      <x:c r="X388" s="41" t="str">
        <x:f>IF(L388&gt;=H388,"Weekly","No weekly")</x:f>
        <x:v>Weekly</x:v>
      </x:c>
      <x:c r="Y388" s="41" t="n">
        <x:f>IFERROR(I388-E388,"")</x:f>
        <x:v>1.4961019999999987</x:v>
      </x:c>
      <x:c r="Z388" s="41" t="n">
        <x:f>IFERROR(J388-F388,"")</x:f>
        <x:v>5.938389000000001</x:v>
      </x:c>
      <x:c r="AA388" s="41" t="n">
        <x:v>10721</x:v>
      </x:c>
      <x:c r="AB388" s="41" t="n">
        <x:v>4898</x:v>
      </x:c>
    </x:row>
    <x:row r="389">
      <x:c r="A389" s="41" t="str">
        <x:v>HYP_REFINE_AUTO002_TOPN_6_V1_DDGRID_EXT_R12_C26_E75_CR50_REDD_RECOVERED_DD10_SL22</x:v>
      </x:c>
      <x:c r="B389" s="41" t="str">
        <x:v>dd_guard_grid</x:v>
      </x:c>
      <x:c r="C389" s="41" t="str">
        <x:v>1999-01-04</x:v>
      </x:c>
      <x:c r="D389" s="41" t="str">
        <x:v>2026-05-22</x:v>
      </x:c>
      <x:c r="E389" s="41" t="n">
        <x:v>14.54219</x:v>
      </x:c>
      <x:c r="F389" s="41" t="n">
        <x:v>-37.644256</x:v>
      </x:c>
      <x:c r="G389" s="41" t="n">
        <x:v>4015.162088</x:v>
      </x:c>
      <x:c r="H389" s="41" t="n">
        <x:f>IFERROR(E389/ABS(F389),"")</x:f>
        <x:v>0.3863056823330497</x:v>
      </x:c>
      <x:c r="I389" s="41" t="n">
        <x:v>16.171175</x:v>
      </x:c>
      <x:c r="J389" s="41" t="n">
        <x:v>-31.122199</x:v>
      </x:c>
      <x:c r="K389" s="41" t="n">
        <x:v>5957.543767</x:v>
      </x:c>
      <x:c r="L389" s="41" t="n">
        <x:f>IFERROR(I389/ABS(J389),"")</x:f>
        <x:v>0.5196025833521597</x:v>
      </x:c>
      <x:c r="M389" s="41" t="n">
        <x:v>6.802475</x:v>
      </x:c>
      <x:c r="N389" s="41" t="n">
        <x:v>-56.473669</x:v>
      </x:c>
      <x:c r="O389" s="41" t="n">
        <x:v>506.057416</x:v>
      </x:c>
      <x:c r="P389" s="41" t="n">
        <x:f>IFERROR(M389/ABS(N389),"")</x:f>
        <x:v>0.12045392340278087</x:v>
      </x:c>
      <x:c r="Q389" s="41" t="str">
        <x:f>IF(L389&gt;=MAX(H389,P389),"Weekly",IF(H389&gt;=MAX(L389,P389),"No weekly","SPY"))</x:f>
        <x:v>Weekly</x:v>
      </x:c>
      <x:c r="R389" s="41" t="n">
        <x:f>IFERROR(L389-P389,"")</x:f>
        <x:v>0.3991486599493788</x:v>
      </x:c>
      <x:c r="S389" s="41" t="n">
        <x:f>IFERROR(H389-P389,"")</x:f>
        <x:v>0.2658517589302688</x:v>
      </x:c>
      <x:c r="T389" s="41" t="n">
        <x:f>IFERROR(I389-M389,"")</x:f>
        <x:v>9.3687</x:v>
      </x:c>
      <x:c r="U389" s="41" t="n">
        <x:f>IFERROR(E389-M389,"")</x:f>
        <x:v>7.7397149999999995</x:v>
      </x:c>
      <x:c r="V389" s="41" t="str">
        <x:f>IF(AND(I389&gt;M389,J389&gt;N389),"Sí","No")</x:f>
        <x:v>Sí</x:v>
      </x:c>
      <x:c r="W389" s="41" t="str">
        <x:f>IF(AND(E389&gt;M389,F389&gt;N389),"Sí","No")</x:f>
        <x:v>Sí</x:v>
      </x:c>
      <x:c r="X389" s="41" t="str">
        <x:f>IF(L389&gt;=H389,"Weekly","No weekly")</x:f>
        <x:v>Weekly</x:v>
      </x:c>
      <x:c r="Y389" s="41" t="n">
        <x:f>IFERROR(I389-E389,"")</x:f>
        <x:v>1.628985000000002</x:v>
      </x:c>
      <x:c r="Z389" s="41" t="n">
        <x:f>IFERROR(J389-F389,"")</x:f>
        <x:v>6.522057</x:v>
      </x:c>
      <x:c r="AA389" s="41" t="n">
        <x:v>10854</x:v>
      </x:c>
      <x:c r="AB389" s="41" t="n">
        <x:v>5139</x:v>
      </x:c>
    </x:row>
    <x:row r="390">
      <x:c r="A390" s="41" t="str">
        <x:v>HYP_REFINE_AUTO002_TOPN_6_V1_DDGRID_EXT_R12_C26_E75_CR50_REDD_RECOVERED_DD10_SL25</x:v>
      </x:c>
      <x:c r="B390" s="41" t="str">
        <x:v>dd_guard_grid</x:v>
      </x:c>
      <x:c r="C390" s="41" t="str">
        <x:v>1999-01-04</x:v>
      </x:c>
      <x:c r="D390" s="41" t="str">
        <x:v>2026-05-22</x:v>
      </x:c>
      <x:c r="E390" s="41" t="n">
        <x:v>14.292102</x:v>
      </x:c>
      <x:c r="F390" s="41" t="n">
        <x:v>-37.956519</x:v>
      </x:c>
      <x:c r="G390" s="41" t="n">
        <x:v>3776.122912</x:v>
      </x:c>
      <x:c r="H390" s="41" t="n">
        <x:f>IFERROR(E390/ABS(F390),"")</x:f>
        <x:v>0.37653879693235304</x:v>
      </x:c>
      <x:c r="I390" s="41" t="n">
        <x:v>16.26963</x:v>
      </x:c>
      <x:c r="J390" s="41" t="n">
        <x:v>-31.235071</x:v>
      </x:c>
      <x:c r="K390" s="41" t="n">
        <x:v>6099.681103</x:v>
      </x:c>
      <x:c r="L390" s="41" t="n">
        <x:f>IFERROR(I390/ABS(J390),"")</x:f>
        <x:v>0.5208769975262741</x:v>
      </x:c>
      <x:c r="M390" s="41" t="n">
        <x:v>6.802475</x:v>
      </x:c>
      <x:c r="N390" s="41" t="n">
        <x:v>-56.473669</x:v>
      </x:c>
      <x:c r="O390" s="41" t="n">
        <x:v>506.057416</x:v>
      </x:c>
      <x:c r="P390" s="41" t="n">
        <x:f>IFERROR(M390/ABS(N390),"")</x:f>
        <x:v>0.12045392340278087</x:v>
      </x:c>
      <x:c r="Q390" s="41" t="str">
        <x:f>IF(L390&gt;=MAX(H390,P390),"Weekly",IF(H390&gt;=MAX(L390,P390),"No weekly","SPY"))</x:f>
        <x:v>Weekly</x:v>
      </x:c>
      <x:c r="R390" s="41" t="n">
        <x:f>IFERROR(L390-P390,"")</x:f>
        <x:v>0.40042307412349326</x:v>
      </x:c>
      <x:c r="S390" s="41" t="n">
        <x:f>IFERROR(H390-P390,"")</x:f>
        <x:v>0.25608487352957215</x:v>
      </x:c>
      <x:c r="T390" s="41" t="n">
        <x:f>IFERROR(I390-M390,"")</x:f>
        <x:v>9.467154999999998</x:v>
      </x:c>
      <x:c r="U390" s="41" t="n">
        <x:f>IFERROR(E390-M390,"")</x:f>
        <x:v>7.489627</x:v>
      </x:c>
      <x:c r="V390" s="41" t="str">
        <x:f>IF(AND(I390&gt;M390,J390&gt;N390),"Sí","No")</x:f>
        <x:v>Sí</x:v>
      </x:c>
      <x:c r="W390" s="41" t="str">
        <x:f>IF(AND(E390&gt;M390,F390&gt;N390),"Sí","No")</x:f>
        <x:v>Sí</x:v>
      </x:c>
      <x:c r="X390" s="41" t="str">
        <x:f>IF(L390&gt;=H390,"Weekly","No weekly")</x:f>
        <x:v>Weekly</x:v>
      </x:c>
      <x:c r="Y390" s="41" t="n">
        <x:f>IFERROR(I390-E390,"")</x:f>
        <x:v>1.9775279999999995</x:v>
      </x:c>
      <x:c r="Z390" s="41" t="n">
        <x:f>IFERROR(J390-F390,"")</x:f>
        <x:v>6.721447999999999</x:v>
      </x:c>
      <x:c r="AA390" s="41" t="n">
        <x:v>10926</x:v>
      </x:c>
      <x:c r="AB390" s="41" t="n">
        <x:v>5336</x:v>
      </x:c>
    </x:row>
    <x:row r="391">
      <x:c r="A391" s="41" t="str">
        <x:v>HYP_REFINE_AUTO002_TOPN_6_V1_DDGRID_EXT_R12_C26_E75_CR50_REDD_RECOVERED_DD10_SLNONE</x:v>
      </x:c>
      <x:c r="B391" s="41" t="str">
        <x:v>dd_guard_grid</x:v>
      </x:c>
      <x:c r="C391" s="41" t="str">
        <x:v>1999-01-04</x:v>
      </x:c>
      <x:c r="D391" s="41" t="str">
        <x:v>2026-05-22</x:v>
      </x:c>
      <x:c r="E391" s="41" t="n">
        <x:v>14.248888</x:v>
      </x:c>
      <x:c r="F391" s="41" t="n">
        <x:v>-38.268275</x:v>
      </x:c>
      <x:c r="G391" s="41" t="n">
        <x:v>3736.197709</x:v>
      </x:c>
      <x:c r="H391" s="41" t="n">
        <x:f>IFERROR(E391/ABS(F391),"")</x:f>
        <x:v>0.37234205095473993</x:v>
      </x:c>
      <x:c r="I391" s="41" t="n">
        <x:v>15.815747</x:v>
      </x:c>
      <x:c r="J391" s="41" t="n">
        <x:v>-30.647621</x:v>
      </x:c>
      <x:c r="K391" s="41" t="n">
        <x:v>5470.0883</x:v>
      </x:c>
      <x:c r="L391" s="41" t="n">
        <x:f>IFERROR(I391/ABS(J391),"")</x:f>
        <x:v>0.5160513763857886</x:v>
      </x:c>
      <x:c r="M391" s="41" t="n">
        <x:v>6.802475</x:v>
      </x:c>
      <x:c r="N391" s="41" t="n">
        <x:v>-56.473669</x:v>
      </x:c>
      <x:c r="O391" s="41" t="n">
        <x:v>506.057416</x:v>
      </x:c>
      <x:c r="P391" s="41" t="n">
        <x:f>IFERROR(M391/ABS(N391),"")</x:f>
        <x:v>0.12045392340278087</x:v>
      </x:c>
      <x:c r="Q391" s="41" t="str">
        <x:f>IF(L391&gt;=MAX(H391,P391),"Weekly",IF(H391&gt;=MAX(L391,P391),"No weekly","SPY"))</x:f>
        <x:v>Weekly</x:v>
      </x:c>
      <x:c r="R391" s="41" t="n">
        <x:f>IFERROR(L391-P391,"")</x:f>
        <x:v>0.3955974529830077</x:v>
      </x:c>
      <x:c r="S391" s="41" t="n">
        <x:f>IFERROR(H391-P391,"")</x:f>
        <x:v>0.25188812755195905</x:v>
      </x:c>
      <x:c r="T391" s="41" t="n">
        <x:f>IFERROR(I391-M391,"")</x:f>
        <x:v>9.013272</x:v>
      </x:c>
      <x:c r="U391" s="41" t="n">
        <x:f>IFERROR(E391-M391,"")</x:f>
        <x:v>7.446413000000001</x:v>
      </x:c>
      <x:c r="V391" s="41" t="str">
        <x:f>IF(AND(I391&gt;M391,J391&gt;N391),"Sí","No")</x:f>
        <x:v>Sí</x:v>
      </x:c>
      <x:c r="W391" s="41" t="str">
        <x:f>IF(AND(E391&gt;M391,F391&gt;N391),"Sí","No")</x:f>
        <x:v>Sí</x:v>
      </x:c>
      <x:c r="X391" s="41" t="str">
        <x:f>IF(L391&gt;=H391,"Weekly","No weekly")</x:f>
        <x:v>Weekly</x:v>
      </x:c>
      <x:c r="Y391" s="41" t="n">
        <x:f>IFERROR(I391-E391,"")</x:f>
        <x:v>1.5668589999999991</x:v>
      </x:c>
      <x:c r="Z391" s="41" t="n">
        <x:f>IFERROR(J391-F391,"")</x:f>
        <x:v>7.620654000000002</x:v>
      </x:c>
      <x:c r="AA391" s="41" t="n">
        <x:v>10815</x:v>
      </x:c>
      <x:c r="AB391" s="41" t="n">
        <x:v>5540</x:v>
      </x:c>
    </x:row>
    <x:row r="392">
      <x:c r="A392" s="41" t="str">
        <x:v>HYP_REFINE_AUTO002_TOPN_6_V1_DDGRID_EXT_R12_C26_E75_CR50_REDD_RECOVERED_DD12_SL18</x:v>
      </x:c>
      <x:c r="B392" s="41" t="str">
        <x:v>dd_guard_grid</x:v>
      </x:c>
      <x:c r="C392" s="41" t="str">
        <x:v>1999-01-04</x:v>
      </x:c>
      <x:c r="D392" s="41" t="str">
        <x:v>2026-05-22</x:v>
      </x:c>
      <x:c r="E392" s="41" t="n">
        <x:v>14.168482</x:v>
      </x:c>
      <x:c r="F392" s="41" t="n">
        <x:v>-36.956781</x:v>
      </x:c>
      <x:c r="G392" s="41" t="n">
        <x:v>3662.96212</x:v>
      </x:c>
      <x:c r="H392" s="41" t="n">
        <x:f>IFERROR(E392/ABS(F392),"")</x:f>
        <x:v>0.38337976459583967</x:v>
      </x:c>
      <x:c r="I392" s="41" t="n">
        <x:v>15.045795</x:v>
      </x:c>
      <x:c r="J392" s="41" t="n">
        <x:v>-31.037779</x:v>
      </x:c>
      <x:c r="K392" s="41" t="n">
        <x:v>4540.345553</x:v>
      </x:c>
      <x:c r="L392" s="41" t="n">
        <x:f>IFERROR(I392/ABS(J392),"")</x:f>
        <x:v>0.4847574628326337</x:v>
      </x:c>
      <x:c r="M392" s="41" t="n">
        <x:v>6.802475</x:v>
      </x:c>
      <x:c r="N392" s="41" t="n">
        <x:v>-56.473669</x:v>
      </x:c>
      <x:c r="O392" s="41" t="n">
        <x:v>506.057416</x:v>
      </x:c>
      <x:c r="P392" s="41" t="n">
        <x:f>IFERROR(M392/ABS(N392),"")</x:f>
        <x:v>0.12045392340278087</x:v>
      </x:c>
      <x:c r="Q392" s="41" t="str">
        <x:f>IF(L392&gt;=MAX(H392,P392),"Weekly",IF(H392&gt;=MAX(L392,P392),"No weekly","SPY"))</x:f>
        <x:v>Weekly</x:v>
      </x:c>
      <x:c r="R392" s="41" t="n">
        <x:f>IFERROR(L392-P392,"")</x:f>
        <x:v>0.36430353942985283</x:v>
      </x:c>
      <x:c r="S392" s="41" t="n">
        <x:f>IFERROR(H392-P392,"")</x:f>
        <x:v>0.2629258411930588</x:v>
      </x:c>
      <x:c r="T392" s="41" t="n">
        <x:f>IFERROR(I392-M392,"")</x:f>
        <x:v>8.24332</x:v>
      </x:c>
      <x:c r="U392" s="41" t="n">
        <x:f>IFERROR(E392-M392,"")</x:f>
        <x:v>7.366006999999999</x:v>
      </x:c>
      <x:c r="V392" s="41" t="str">
        <x:f>IF(AND(I392&gt;M392,J392&gt;N392),"Sí","No")</x:f>
        <x:v>Sí</x:v>
      </x:c>
      <x:c r="W392" s="41" t="str">
        <x:f>IF(AND(E392&gt;M392,F392&gt;N392),"Sí","No")</x:f>
        <x:v>Sí</x:v>
      </x:c>
      <x:c r="X392" s="41" t="str">
        <x:f>IF(L392&gt;=H392,"Weekly","No weekly")</x:f>
        <x:v>Weekly</x:v>
      </x:c>
      <x:c r="Y392" s="41" t="n">
        <x:f>IFERROR(I392-E392,"")</x:f>
        <x:v>0.8773130000000009</x:v>
      </x:c>
      <x:c r="Z392" s="41" t="n">
        <x:f>IFERROR(J392-F392,"")</x:f>
        <x:v>5.919001999999999</x:v>
      </x:c>
      <x:c r="AA392" s="41" t="n">
        <x:v>10123</x:v>
      </x:c>
      <x:c r="AB392" s="41" t="n">
        <x:v>4452</x:v>
      </x:c>
    </x:row>
    <x:row r="393">
      <x:c r="A393" s="41" t="str">
        <x:v>HYP_REFINE_AUTO002_TOPN_6_V1_DDGRID_EXT_R12_C26_E75_CR50_REDD_RECOVERED_DD12_SL20</x:v>
      </x:c>
      <x:c r="B393" s="41" t="str">
        <x:v>dd_guard_grid</x:v>
      </x:c>
      <x:c r="C393" s="41" t="str">
        <x:v>1999-01-04</x:v>
      </x:c>
      <x:c r="D393" s="41" t="str">
        <x:v>2026-05-22</x:v>
      </x:c>
      <x:c r="E393" s="41" t="n">
        <x:v>14.890636</x:v>
      </x:c>
      <x:c r="F393" s="41" t="n">
        <x:v>-37.017024</x:v>
      </x:c>
      <x:c r="G393" s="41" t="n">
        <x:v>4372.015732</x:v>
      </x:c>
      <x:c r="H393" s="41" t="n">
        <x:f>IFERROR(E393/ABS(F393),"")</x:f>
        <x:v>0.4022645364467981</x:v>
      </x:c>
      <x:c r="I393" s="41" t="n">
        <x:v>16.37121</x:v>
      </x:c>
      <x:c r="J393" s="41" t="n">
        <x:v>-31.078635</x:v>
      </x:c>
      <x:c r="K393" s="41" t="n">
        <x:v>6249.695947</x:v>
      </x:c>
      <x:c r="L393" s="41" t="n">
        <x:f>IFERROR(I393/ABS(J393),"")</x:f>
        <x:v>0.5267673435464589</x:v>
      </x:c>
      <x:c r="M393" s="41" t="n">
        <x:v>6.802475</x:v>
      </x:c>
      <x:c r="N393" s="41" t="n">
        <x:v>-56.473669</x:v>
      </x:c>
      <x:c r="O393" s="41" t="n">
        <x:v>506.057416</x:v>
      </x:c>
      <x:c r="P393" s="41" t="n">
        <x:f>IFERROR(M393/ABS(N393),"")</x:f>
        <x:v>0.12045392340278087</x:v>
      </x:c>
      <x:c r="Q393" s="41" t="str">
        <x:f>IF(L393&gt;=MAX(H393,P393),"Weekly",IF(H393&gt;=MAX(L393,P393),"No weekly","SPY"))</x:f>
        <x:v>Weekly</x:v>
      </x:c>
      <x:c r="R393" s="41" t="n">
        <x:f>IFERROR(L393-P393,"")</x:f>
        <x:v>0.40631342014367805</x:v>
      </x:c>
      <x:c r="S393" s="41" t="n">
        <x:f>IFERROR(H393-P393,"")</x:f>
        <x:v>0.2818106130440172</x:v>
      </x:c>
      <x:c r="T393" s="41" t="n">
        <x:f>IFERROR(I393-M393,"")</x:f>
        <x:v>9.568735</x:v>
      </x:c>
      <x:c r="U393" s="41" t="n">
        <x:f>IFERROR(E393-M393,"")</x:f>
        <x:v>8.088161</x:v>
      </x:c>
      <x:c r="V393" s="41" t="str">
        <x:f>IF(AND(I393&gt;M393,J393&gt;N393),"Sí","No")</x:f>
        <x:v>Sí</x:v>
      </x:c>
      <x:c r="W393" s="41" t="str">
        <x:f>IF(AND(E393&gt;M393,F393&gt;N393),"Sí","No")</x:f>
        <x:v>Sí</x:v>
      </x:c>
      <x:c r="X393" s="41" t="str">
        <x:f>IF(L393&gt;=H393,"Weekly","No weekly")</x:f>
        <x:v>Weekly</x:v>
      </x:c>
      <x:c r="Y393" s="41" t="n">
        <x:f>IFERROR(I393-E393,"")</x:f>
        <x:v>1.4805740000000007</x:v>
      </x:c>
      <x:c r="Z393" s="41" t="n">
        <x:f>IFERROR(J393-F393,"")</x:f>
        <x:v>5.938389000000001</x:v>
      </x:c>
      <x:c r="AA393" s="41" t="n">
        <x:v>10059</x:v>
      </x:c>
      <x:c r="AB393" s="41" t="n">
        <x:v>4561</x:v>
      </x:c>
    </x:row>
    <x:row r="394">
      <x:c r="A394" s="41" t="str">
        <x:v>HYP_REFINE_AUTO002_TOPN_6_V1_DDGRID_EXT_R12_C26_E75_CR50_REDD_RECOVERED_DD6_SL18</x:v>
      </x:c>
      <x:c r="B394" s="41" t="str">
        <x:v>dd_guard_grid</x:v>
      </x:c>
      <x:c r="C394" s="41" t="str">
        <x:v>1999-01-04</x:v>
      </x:c>
      <x:c r="D394" s="41" t="str">
        <x:v>2026-05-22</x:v>
      </x:c>
      <x:c r="E394" s="41" t="n">
        <x:v>14.213326</x:v>
      </x:c>
      <x:c r="F394" s="41" t="n">
        <x:v>-36.956781</x:v>
      </x:c>
      <x:c r="G394" s="41" t="n">
        <x:v>3703.638725</x:v>
      </x:c>
      <x:c r="H394" s="41" t="n">
        <x:f>IFERROR(E394/ABS(F394),"")</x:f>
        <x:v>0.3845931819657129</x:v>
      </x:c>
      <x:c r="I394" s="41" t="n">
        <x:v>14.544207</x:v>
      </x:c>
      <x:c r="J394" s="41" t="n">
        <x:v>-31.037779</x:v>
      </x:c>
      <x:c r="K394" s="41" t="n">
        <x:v>4017.146502</x:v>
      </x:c>
      <x:c r="L394" s="41" t="n">
        <x:f>IFERROR(I394/ABS(J394),"")</x:f>
        <x:v>0.4685968992820008</x:v>
      </x:c>
      <x:c r="M394" s="41" t="n">
        <x:v>6.802475</x:v>
      </x:c>
      <x:c r="N394" s="41" t="n">
        <x:v>-56.473669</x:v>
      </x:c>
      <x:c r="O394" s="41" t="n">
        <x:v>506.057416</x:v>
      </x:c>
      <x:c r="P394" s="41" t="n">
        <x:f>IFERROR(M394/ABS(N394),"")</x:f>
        <x:v>0.12045392340278087</x:v>
      </x:c>
      <x:c r="Q394" s="41" t="str">
        <x:f>IF(L394&gt;=MAX(H394,P394),"Weekly",IF(H394&gt;=MAX(L394,P394),"No weekly","SPY"))</x:f>
        <x:v>Weekly</x:v>
      </x:c>
      <x:c r="R394" s="41" t="n">
        <x:f>IFERROR(L394-P394,"")</x:f>
        <x:v>0.34814297587921994</x:v>
      </x:c>
      <x:c r="S394" s="41" t="n">
        <x:f>IFERROR(H394-P394,"")</x:f>
        <x:v>0.264139258562932</x:v>
      </x:c>
      <x:c r="T394" s="41" t="n">
        <x:f>IFERROR(I394-M394,"")</x:f>
        <x:v>7.741732</x:v>
      </x:c>
      <x:c r="U394" s="41" t="n">
        <x:f>IFERROR(E394-M394,"")</x:f>
        <x:v>7.410851</x:v>
      </x:c>
      <x:c r="V394" s="41" t="str">
        <x:f>IF(AND(I394&gt;M394,J394&gt;N394),"Sí","No")</x:f>
        <x:v>Sí</x:v>
      </x:c>
      <x:c r="W394" s="41" t="str">
        <x:f>IF(AND(E394&gt;M394,F394&gt;N394),"Sí","No")</x:f>
        <x:v>Sí</x:v>
      </x:c>
      <x:c r="X394" s="41" t="str">
        <x:f>IF(L394&gt;=H394,"Weekly","No weekly")</x:f>
        <x:v>Weekly</x:v>
      </x:c>
      <x:c r="Y394" s="41" t="n">
        <x:f>IFERROR(I394-E394,"")</x:f>
        <x:v>0.33088099999999976</x:v>
      </x:c>
      <x:c r="Z394" s="41" t="n">
        <x:f>IFERROR(J394-F394,"")</x:f>
        <x:v>5.919001999999999</x:v>
      </x:c>
      <x:c r="AA394" s="41" t="n">
        <x:v>11632</x:v>
      </x:c>
      <x:c r="AB394" s="41" t="n">
        <x:v>5427</x:v>
      </x:c>
    </x:row>
    <x:row r="395">
      <x:c r="A395" s="41" t="str">
        <x:v>HYP_REFINE_AUTO002_TOPN_6_V1_DDGRID_EXT_R12_C26_E75_CR50_REDD_RECOVERED_DD6_SL20</x:v>
      </x:c>
      <x:c r="B395" s="41" t="str">
        <x:v>dd_guard_grid</x:v>
      </x:c>
      <x:c r="C395" s="41" t="str">
        <x:v>1999-01-04</x:v>
      </x:c>
      <x:c r="D395" s="41" t="str">
        <x:v>2026-05-22</x:v>
      </x:c>
      <x:c r="E395" s="41" t="n">
        <x:v>14.955861</x:v>
      </x:c>
      <x:c r="F395" s="41" t="n">
        <x:v>-37.017024</x:v>
      </x:c>
      <x:c r="G395" s="41" t="n">
        <x:v>4442.047668</x:v>
      </x:c>
      <x:c r="H395" s="41" t="n">
        <x:f>IFERROR(E395/ABS(F395),"")</x:f>
        <x:v>0.4040265635616737</x:v>
      </x:c>
      <x:c r="I395" s="41" t="n">
        <x:v>15.571945</x:v>
      </x:c>
      <x:c r="J395" s="41" t="n">
        <x:v>-31.078635</x:v>
      </x:c>
      <x:c r="K395" s="41" t="n">
        <x:v>5157.817371</x:v>
      </x:c>
      <x:c r="L395" s="41" t="n">
        <x:f>IFERROR(I395/ABS(J395),"")</x:f>
        <x:v>0.5010498369699956</x:v>
      </x:c>
      <x:c r="M395" s="41" t="n">
        <x:v>6.802475</x:v>
      </x:c>
      <x:c r="N395" s="41" t="n">
        <x:v>-56.473669</x:v>
      </x:c>
      <x:c r="O395" s="41" t="n">
        <x:v>506.057416</x:v>
      </x:c>
      <x:c r="P395" s="41" t="n">
        <x:f>IFERROR(M395/ABS(N395),"")</x:f>
        <x:v>0.12045392340278087</x:v>
      </x:c>
      <x:c r="Q395" s="41" t="str">
        <x:f>IF(L395&gt;=MAX(H395,P395),"Weekly",IF(H395&gt;=MAX(L395,P395),"No weekly","SPY"))</x:f>
        <x:v>Weekly</x:v>
      </x:c>
      <x:c r="R395" s="41" t="n">
        <x:f>IFERROR(L395-P395,"")</x:f>
        <x:v>0.3805959135672147</x:v>
      </x:c>
      <x:c r="S395" s="41" t="n">
        <x:f>IFERROR(H395-P395,"")</x:f>
        <x:v>0.28357264015889283</x:v>
      </x:c>
      <x:c r="T395" s="41" t="n">
        <x:f>IFERROR(I395-M395,"")</x:f>
        <x:v>8.769469999999998</x:v>
      </x:c>
      <x:c r="U395" s="41" t="n">
        <x:f>IFERROR(E395-M395,"")</x:f>
        <x:v>8.153386000000001</x:v>
      </x:c>
      <x:c r="V395" s="41" t="str">
        <x:f>IF(AND(I395&gt;M395,J395&gt;N395),"Sí","No")</x:f>
        <x:v>Sí</x:v>
      </x:c>
      <x:c r="W395" s="41" t="str">
        <x:f>IF(AND(E395&gt;M395,F395&gt;N395),"Sí","No")</x:f>
        <x:v>Sí</x:v>
      </x:c>
      <x:c r="X395" s="41" t="str">
        <x:f>IF(L395&gt;=H395,"Weekly","No weekly")</x:f>
        <x:v>Weekly</x:v>
      </x:c>
      <x:c r="Y395" s="41" t="n">
        <x:f>IFERROR(I395-E395,"")</x:f>
        <x:v>0.616083999999999</x:v>
      </x:c>
      <x:c r="Z395" s="41" t="n">
        <x:f>IFERROR(J395-F395,"")</x:f>
        <x:v>5.938389000000001</x:v>
      </x:c>
      <x:c r="AA395" s="41" t="n">
        <x:v>11566</x:v>
      </x:c>
      <x:c r="AB395" s="41" t="n">
        <x:v>5422</x:v>
      </x:c>
    </x:row>
    <x:row r="396">
      <x:c r="A396" s="41" t="str">
        <x:v>HYP_REFINE_AUTO002_TOPN_6_V1_DDGRID_EXT_R12_C26_E75_CR50_REDD_RECOVERED_DD6_SL22</x:v>
      </x:c>
      <x:c r="B396" s="41" t="str">
        <x:v>dd_guard_grid</x:v>
      </x:c>
      <x:c r="C396" s="41" t="str">
        <x:v>1999-01-04</x:v>
      </x:c>
      <x:c r="D396" s="41" t="str">
        <x:v>2026-05-22</x:v>
      </x:c>
      <x:c r="E396" s="41" t="n">
        <x:v>14.272388</x:v>
      </x:c>
      <x:c r="F396" s="41" t="n">
        <x:v>-37.644256</x:v>
      </x:c>
      <x:c r="G396" s="41" t="n">
        <x:v>3757.859331</x:v>
      </x:c>
      <x:c r="H396" s="41" t="n">
        <x:f>IFERROR(E396/ABS(F396),"")</x:f>
        <x:v>0.3791385331137903</x:v>
      </x:c>
      <x:c r="I396" s="41" t="n">
        <x:v>15.385743</x:v>
      </x:c>
      <x:c r="J396" s="41" t="n">
        <x:v>-31.122199</x:v>
      </x:c>
      <x:c r="K396" s="41" t="n">
        <x:v>4930.754792</x:v>
      </x:c>
      <x:c r="L396" s="41" t="n">
        <x:f>IFERROR(I396/ABS(J396),"")</x:f>
        <x:v>0.49436554916958153</x:v>
      </x:c>
      <x:c r="M396" s="41" t="n">
        <x:v>6.802475</x:v>
      </x:c>
      <x:c r="N396" s="41" t="n">
        <x:v>-56.473669</x:v>
      </x:c>
      <x:c r="O396" s="41" t="n">
        <x:v>506.057416</x:v>
      </x:c>
      <x:c r="P396" s="41" t="n">
        <x:f>IFERROR(M396/ABS(N396),"")</x:f>
        <x:v>0.12045392340278087</x:v>
      </x:c>
      <x:c r="Q396" s="41" t="str">
        <x:f>IF(L396&gt;=MAX(H396,P396),"Weekly",IF(H396&gt;=MAX(L396,P396),"No weekly","SPY"))</x:f>
        <x:v>Weekly</x:v>
      </x:c>
      <x:c r="R396" s="41" t="n">
        <x:f>IFERROR(L396-P396,"")</x:f>
        <x:v>0.37391162576680065</x:v>
      </x:c>
      <x:c r="S396" s="41" t="n">
        <x:f>IFERROR(H396-P396,"")</x:f>
        <x:v>0.25868460971100943</x:v>
      </x:c>
      <x:c r="T396" s="41" t="n">
        <x:f>IFERROR(I396-M396,"")</x:f>
        <x:v>8.583268</x:v>
      </x:c>
      <x:c r="U396" s="41" t="n">
        <x:f>IFERROR(E396-M396,"")</x:f>
        <x:v>7.469912999999999</x:v>
      </x:c>
      <x:c r="V396" s="41" t="str">
        <x:f>IF(AND(I396&gt;M396,J396&gt;N396),"Sí","No")</x:f>
        <x:v>Sí</x:v>
      </x:c>
      <x:c r="W396" s="41" t="str">
        <x:f>IF(AND(E396&gt;M396,F396&gt;N396),"Sí","No")</x:f>
        <x:v>Sí</x:v>
      </x:c>
      <x:c r="X396" s="41" t="str">
        <x:f>IF(L396&gt;=H396,"Weekly","No weekly")</x:f>
        <x:v>Weekly</x:v>
      </x:c>
      <x:c r="Y396" s="41" t="n">
        <x:f>IFERROR(I396-E396,"")</x:f>
        <x:v>1.1133550000000003</x:v>
      </x:c>
      <x:c r="Z396" s="41" t="n">
        <x:f>IFERROR(J396-F396,"")</x:f>
        <x:v>6.522057</x:v>
      </x:c>
      <x:c r="AA396" s="41" t="n">
        <x:v>11780</x:v>
      </x:c>
      <x:c r="AB396" s="41" t="n">
        <x:v>5620</x:v>
      </x:c>
    </x:row>
    <x:row r="397">
      <x:c r="A397" s="41" t="str">
        <x:v>HYP_REFINE_AUTO002_TOPN_6_V1_DDGRID_EXT_R12_C26_E75_CR50_REDD_RECOVERED_DD6_SL25</x:v>
      </x:c>
      <x:c r="B397" s="41" t="str">
        <x:v>dd_guard_grid</x:v>
      </x:c>
      <x:c r="C397" s="41" t="str">
        <x:v>1999-01-04</x:v>
      </x:c>
      <x:c r="D397" s="41" t="str">
        <x:v>2026-05-22</x:v>
      </x:c>
      <x:c r="E397" s="41" t="n">
        <x:v>13.763458</x:v>
      </x:c>
      <x:c r="F397" s="41" t="n">
        <x:v>-37.956519</x:v>
      </x:c>
      <x:c r="G397" s="41" t="n">
        <x:v>3314.071729</x:v>
      </x:c>
      <x:c r="H397" s="41" t="n">
        <x:f>IFERROR(E397/ABS(F397),"")</x:f>
        <x:v>0.3626111762250906</x:v>
      </x:c>
      <x:c r="I397" s="41" t="n">
        <x:v>15.449044</x:v>
      </x:c>
      <x:c r="J397" s="41" t="n">
        <x:v>-31.235071</x:v>
      </x:c>
      <x:c r="K397" s="41" t="n">
        <x:v>5006.866354</x:v>
      </x:c>
      <x:c r="L397" s="41" t="n">
        <x:f>IFERROR(I397/ABS(J397),"")</x:f>
        <x:v>0.49460569498945595</x:v>
      </x:c>
      <x:c r="M397" s="41" t="n">
        <x:v>6.802475</x:v>
      </x:c>
      <x:c r="N397" s="41" t="n">
        <x:v>-56.473669</x:v>
      </x:c>
      <x:c r="O397" s="41" t="n">
        <x:v>506.057416</x:v>
      </x:c>
      <x:c r="P397" s="41" t="n">
        <x:f>IFERROR(M397/ABS(N397),"")</x:f>
        <x:v>0.12045392340278087</x:v>
      </x:c>
      <x:c r="Q397" s="41" t="str">
        <x:f>IF(L397&gt;=MAX(H397,P397),"Weekly",IF(H397&gt;=MAX(L397,P397),"No weekly","SPY"))</x:f>
        <x:v>Weekly</x:v>
      </x:c>
      <x:c r="R397" s="41" t="n">
        <x:f>IFERROR(L397-P397,"")</x:f>
        <x:v>0.37415177158667506</x:v>
      </x:c>
      <x:c r="S397" s="41" t="n">
        <x:f>IFERROR(H397-P397,"")</x:f>
        <x:v>0.2421572528223097</x:v>
      </x:c>
      <x:c r="T397" s="41" t="n">
        <x:f>IFERROR(I397-M397,"")</x:f>
        <x:v>8.646569</x:v>
      </x:c>
      <x:c r="U397" s="41" t="n">
        <x:f>IFERROR(E397-M397,"")</x:f>
        <x:v>6.960983</x:v>
      </x:c>
      <x:c r="V397" s="41" t="str">
        <x:f>IF(AND(I397&gt;M397,J397&gt;N397),"Sí","No")</x:f>
        <x:v>Sí</x:v>
      </x:c>
      <x:c r="W397" s="41" t="str">
        <x:f>IF(AND(E397&gt;M397,F397&gt;N397),"Sí","No")</x:f>
        <x:v>Sí</x:v>
      </x:c>
      <x:c r="X397" s="41" t="str">
        <x:f>IF(L397&gt;=H397,"Weekly","No weekly")</x:f>
        <x:v>Weekly</x:v>
      </x:c>
      <x:c r="Y397" s="41" t="n">
        <x:f>IFERROR(I397-E397,"")</x:f>
        <x:v>1.6855860000000007</x:v>
      </x:c>
      <x:c r="Z397" s="41" t="n">
        <x:f>IFERROR(J397-F397,"")</x:f>
        <x:v>6.721447999999999</x:v>
      </x:c>
      <x:c r="AA397" s="41" t="n">
        <x:v>11894</x:v>
      </x:c>
      <x:c r="AB397" s="41" t="n">
        <x:v>5881</x:v>
      </x:c>
    </x:row>
    <x:row r="398">
      <x:c r="A398" s="41" t="str">
        <x:v>HYP_REFINE_AUTO002_TOPN_6_V1_DDGRID_EXT_R12_C26_E75_CR50_REDD_RECOVERED_DD6_SLNONE</x:v>
      </x:c>
      <x:c r="B398" s="41" t="str">
        <x:v>dd_guard_grid</x:v>
      </x:c>
      <x:c r="C398" s="41" t="str">
        <x:v>1999-01-04</x:v>
      </x:c>
      <x:c r="D398" s="41" t="str">
        <x:v>2026-05-22</x:v>
      </x:c>
      <x:c r="E398" s="41" t="n">
        <x:v>14.419691</x:v>
      </x:c>
      <x:c r="F398" s="41" t="n">
        <x:v>-38.268275</x:v>
      </x:c>
      <x:c r="G398" s="41" t="n">
        <x:v>3896.353119</x:v>
      </x:c>
      <x:c r="H398" s="41" t="n">
        <x:f>IFERROR(E398/ABS(F398),"")</x:f>
        <x:v>0.3768053563950818</x:v>
      </x:c>
      <x:c r="I398" s="41" t="n">
        <x:v>15.154831</x:v>
      </x:c>
      <x:c r="J398" s="41" t="n">
        <x:v>-30.647621</x:v>
      </x:c>
      <x:c r="K398" s="41" t="n">
        <x:v>4662.271641</x:v>
      </x:c>
      <x:c r="L398" s="41" t="n">
        <x:f>IFERROR(I398/ABS(J398),"")</x:f>
        <x:v>0.4944863746520488</x:v>
      </x:c>
      <x:c r="M398" s="41" t="n">
        <x:v>6.802475</x:v>
      </x:c>
      <x:c r="N398" s="41" t="n">
        <x:v>-56.473669</x:v>
      </x:c>
      <x:c r="O398" s="41" t="n">
        <x:v>506.057416</x:v>
      </x:c>
      <x:c r="P398" s="41" t="n">
        <x:f>IFERROR(M398/ABS(N398),"")</x:f>
        <x:v>0.12045392340278087</x:v>
      </x:c>
      <x:c r="Q398" s="41" t="str">
        <x:f>IF(L398&gt;=MAX(H398,P398),"Weekly",IF(H398&gt;=MAX(L398,P398),"No weekly","SPY"))</x:f>
        <x:v>Weekly</x:v>
      </x:c>
      <x:c r="R398" s="41" t="n">
        <x:f>IFERROR(L398-P398,"")</x:f>
        <x:v>0.3740324512492679</x:v>
      </x:c>
      <x:c r="S398" s="41" t="n">
        <x:f>IFERROR(H398-P398,"")</x:f>
        <x:v>0.2563514329923009</x:v>
      </x:c>
      <x:c r="T398" s="41" t="n">
        <x:f>IFERROR(I398-M398,"")</x:f>
        <x:v>8.352356</x:v>
      </x:c>
      <x:c r="U398" s="41" t="n">
        <x:f>IFERROR(E398-M398,"")</x:f>
        <x:v>7.617216</x:v>
      </x:c>
      <x:c r="V398" s="41" t="str">
        <x:f>IF(AND(I398&gt;M398,J398&gt;N398),"Sí","No")</x:f>
        <x:v>Sí</x:v>
      </x:c>
      <x:c r="W398" s="41" t="str">
        <x:f>IF(AND(E398&gt;M398,F398&gt;N398),"Sí","No")</x:f>
        <x:v>Sí</x:v>
      </x:c>
      <x:c r="X398" s="41" t="str">
        <x:f>IF(L398&gt;=H398,"Weekly","No weekly")</x:f>
        <x:v>Weekly</x:v>
      </x:c>
      <x:c r="Y398" s="41" t="n">
        <x:f>IFERROR(I398-E398,"")</x:f>
        <x:v>0.7351399999999995</x:v>
      </x:c>
      <x:c r="Z398" s="41" t="n">
        <x:f>IFERROR(J398-F398,"")</x:f>
        <x:v>7.620654000000002</x:v>
      </x:c>
      <x:c r="AA398" s="41" t="n">
        <x:v>11785</x:v>
      </x:c>
      <x:c r="AB398" s="41" t="n">
        <x:v>6109</x:v>
      </x:c>
    </x:row>
    <x:row r="399">
      <x:c r="A399" s="41" t="str">
        <x:v>HYP_REFINE_AUTO002_TOPN_6_V1_DDGRID_EXT_R12_C26_E75_CR50_REDD_RECOVERED_DD8_SL18</x:v>
      </x:c>
      <x:c r="B399" s="41" t="str">
        <x:v>dd_guard_grid</x:v>
      </x:c>
      <x:c r="C399" s="41" t="str">
        <x:v>1999-01-04</x:v>
      </x:c>
      <x:c r="D399" s="41" t="str">
        <x:v>2026-05-22</x:v>
      </x:c>
      <x:c r="E399" s="41" t="n">
        <x:v>14.039888</x:v>
      </x:c>
      <x:c r="F399" s="41" t="n">
        <x:v>-36.956781</x:v>
      </x:c>
      <x:c r="G399" s="41" t="n">
        <x:v>3548.627772</x:v>
      </x:c>
      <x:c r="H399" s="41" t="n">
        <x:f>IFERROR(E399/ABS(F399),"")</x:f>
        <x:v>0.37990018665316116</x:v>
      </x:c>
      <x:c r="I399" s="41" t="n">
        <x:v>15.057929</x:v>
      </x:c>
      <x:c r="J399" s="41" t="n">
        <x:v>-31.037779</x:v>
      </x:c>
      <x:c r="K399" s="41" t="n">
        <x:v>4553.763771</x:v>
      </x:c>
      <x:c r="L399" s="41" t="n">
        <x:f>IFERROR(I399/ABS(J399),"")</x:f>
        <x:v>0.4851484057541617</x:v>
      </x:c>
      <x:c r="M399" s="41" t="n">
        <x:v>6.802475</x:v>
      </x:c>
      <x:c r="N399" s="41" t="n">
        <x:v>-56.473669</x:v>
      </x:c>
      <x:c r="O399" s="41" t="n">
        <x:v>506.057416</x:v>
      </x:c>
      <x:c r="P399" s="41" t="n">
        <x:f>IFERROR(M399/ABS(N399),"")</x:f>
        <x:v>0.12045392340278087</x:v>
      </x:c>
      <x:c r="Q399" s="41" t="str">
        <x:f>IF(L399&gt;=MAX(H399,P399),"Weekly",IF(H399&gt;=MAX(L399,P399),"No weekly","SPY"))</x:f>
        <x:v>Weekly</x:v>
      </x:c>
      <x:c r="R399" s="41" t="n">
        <x:f>IFERROR(L399-P399,"")</x:f>
        <x:v>0.3646944823513808</x:v>
      </x:c>
      <x:c r="S399" s="41" t="n">
        <x:f>IFERROR(H399-P399,"")</x:f>
        <x:v>0.2594462632503803</x:v>
      </x:c>
      <x:c r="T399" s="41" t="n">
        <x:f>IFERROR(I399-M399,"")</x:f>
        <x:v>8.255454</x:v>
      </x:c>
      <x:c r="U399" s="41" t="n">
        <x:f>IFERROR(E399-M399,"")</x:f>
        <x:v>7.237412999999999</x:v>
      </x:c>
      <x:c r="V399" s="41" t="str">
        <x:f>IF(AND(I399&gt;M399,J399&gt;N399),"Sí","No")</x:f>
        <x:v>Sí</x:v>
      </x:c>
      <x:c r="W399" s="41" t="str">
        <x:f>IF(AND(E399&gt;M399,F399&gt;N399),"Sí","No")</x:f>
        <x:v>Sí</x:v>
      </x:c>
      <x:c r="X399" s="41" t="str">
        <x:f>IF(L399&gt;=H399,"Weekly","No weekly")</x:f>
        <x:v>Weekly</x:v>
      </x:c>
      <x:c r="Y399" s="41" t="n">
        <x:f>IFERROR(I399-E399,"")</x:f>
        <x:v>1.0180410000000002</x:v>
      </x:c>
      <x:c r="Z399" s="41" t="n">
        <x:f>IFERROR(J399-F399,"")</x:f>
        <x:v>5.919001999999999</x:v>
      </x:c>
      <x:c r="AA399" s="41" t="n">
        <x:v>11144</x:v>
      </x:c>
      <x:c r="AB399" s="41" t="n">
        <x:v>5235</x:v>
      </x:c>
    </x:row>
    <x:row r="400">
      <x:c r="A400" s="41" t="str">
        <x:v>HYP_REFINE_AUTO002_TOPN_6_V1_DDGRID_EXT_R12_C26_E75_CR50_REDD_RECOVERED_DD8_SL22</x:v>
      </x:c>
      <x:c r="B400" s="41" t="str">
        <x:v>dd_guard_grid</x:v>
      </x:c>
      <x:c r="C400" s="41" t="str">
        <x:v>1999-01-04</x:v>
      </x:c>
      <x:c r="D400" s="41" t="str">
        <x:v>2026-05-22</x:v>
      </x:c>
      <x:c r="E400" s="41" t="n">
        <x:v>14.479933</x:v>
      </x:c>
      <x:c r="F400" s="41" t="n">
        <x:v>-37.644256</x:v>
      </x:c>
      <x:c r="G400" s="41" t="n">
        <x:v>3954.361285</x:v>
      </x:c>
      <x:c r="H400" s="41" t="n">
        <x:f>IFERROR(E400/ABS(F400),"")</x:f>
        <x:v>0.38465185764330156</x:v>
      </x:c>
      <x:c r="I400" s="41" t="n">
        <x:v>16.077083</x:v>
      </x:c>
      <x:c r="J400" s="41" t="n">
        <x:v>-31.122199</x:v>
      </x:c>
      <x:c r="K400" s="41" t="n">
        <x:v>5824.643125</x:v>
      </x:c>
      <x:c r="L400" s="41" t="n">
        <x:f>IFERROR(I400/ABS(J400),"")</x:f>
        <x:v>0.5165792751341253</x:v>
      </x:c>
      <x:c r="M400" s="41" t="n">
        <x:v>6.802475</x:v>
      </x:c>
      <x:c r="N400" s="41" t="n">
        <x:v>-56.473669</x:v>
      </x:c>
      <x:c r="O400" s="41" t="n">
        <x:v>506.057416</x:v>
      </x:c>
      <x:c r="P400" s="41" t="n">
        <x:f>IFERROR(M400/ABS(N400),"")</x:f>
        <x:v>0.12045392340278087</x:v>
      </x:c>
      <x:c r="Q400" s="41" t="str">
        <x:f>IF(L400&gt;=MAX(H400,P400),"Weekly",IF(H400&gt;=MAX(L400,P400),"No weekly","SPY"))</x:f>
        <x:v>Weekly</x:v>
      </x:c>
      <x:c r="R400" s="41" t="n">
        <x:f>IFERROR(L400-P400,"")</x:f>
        <x:v>0.3961253517313444</x:v>
      </x:c>
      <x:c r="S400" s="41" t="n">
        <x:f>IFERROR(H400-P400,"")</x:f>
        <x:v>0.2641979342405207</x:v>
      </x:c>
      <x:c r="T400" s="41" t="n">
        <x:f>IFERROR(I400-M400,"")</x:f>
        <x:v>9.274607999999997</x:v>
      </x:c>
      <x:c r="U400" s="41" t="n">
        <x:f>IFERROR(E400-M400,"")</x:f>
        <x:v>7.677458000000001</x:v>
      </x:c>
      <x:c r="V400" s="41" t="str">
        <x:f>IF(AND(I400&gt;M400,J400&gt;N400),"Sí","No")</x:f>
        <x:v>Sí</x:v>
      </x:c>
      <x:c r="W400" s="41" t="str">
        <x:f>IF(AND(E400&gt;M400,F400&gt;N400),"Sí","No")</x:f>
        <x:v>Sí</x:v>
      </x:c>
      <x:c r="X400" s="41" t="str">
        <x:f>IF(L400&gt;=H400,"Weekly","No weekly")</x:f>
        <x:v>Weekly</x:v>
      </x:c>
      <x:c r="Y400" s="41" t="n">
        <x:f>IFERROR(I400-E400,"")</x:f>
        <x:v>1.5971499999999974</x:v>
      </x:c>
      <x:c r="Z400" s="41" t="n">
        <x:f>IFERROR(J400-F400,"")</x:f>
        <x:v>6.522057</x:v>
      </x:c>
      <x:c r="AA400" s="41" t="n">
        <x:v>11214</x:v>
      </x:c>
      <x:c r="AB400" s="41" t="n">
        <x:v>5318</x:v>
      </x:c>
    </x:row>
    <x:row r="401">
      <x:c r="A401" s="41" t="str">
        <x:v>HYP_REFINE_AUTO002_TOPN_6_V1_DDGRID_EXT_R12_C26_E75_CR50_REDD_RECOVERED_DD8_SL25</x:v>
      </x:c>
      <x:c r="B401" s="41" t="str">
        <x:v>dd_guard_grid</x:v>
      </x:c>
      <x:c r="C401" s="41" t="str">
        <x:v>1999-01-04</x:v>
      </x:c>
      <x:c r="D401" s="41" t="str">
        <x:v>2026-05-22</x:v>
      </x:c>
      <x:c r="E401" s="41" t="n">
        <x:v>14.164128</x:v>
      </x:c>
      <x:c r="F401" s="41" t="n">
        <x:v>-37.956519</x:v>
      </x:c>
      <x:c r="G401" s="41" t="n">
        <x:v>3659.034488</x:v>
      </x:c>
      <x:c r="H401" s="41" t="n">
        <x:f>IFERROR(E401/ABS(F401),"")</x:f>
        <x:v>0.37316720218732385</x:v>
      </x:c>
      <x:c r="I401" s="41" t="n">
        <x:v>16.187657</x:v>
      </x:c>
      <x:c r="J401" s="41" t="n">
        <x:v>-31.235071</x:v>
      </x:c>
      <x:c r="K401" s="41" t="n">
        <x:v>5981.117107</x:v>
      </x:c>
      <x:c r="L401" s="41" t="n">
        <x:f>IFERROR(I401/ABS(J401),"")</x:f>
        <x:v>0.5182526077818104</x:v>
      </x:c>
      <x:c r="M401" s="41" t="n">
        <x:v>6.802475</x:v>
      </x:c>
      <x:c r="N401" s="41" t="n">
        <x:v>-56.473669</x:v>
      </x:c>
      <x:c r="O401" s="41" t="n">
        <x:v>506.057416</x:v>
      </x:c>
      <x:c r="P401" s="41" t="n">
        <x:f>IFERROR(M401/ABS(N401),"")</x:f>
        <x:v>0.12045392340278087</x:v>
      </x:c>
      <x:c r="Q401" s="41" t="str">
        <x:f>IF(L401&gt;=MAX(H401,P401),"Weekly",IF(H401&gt;=MAX(L401,P401),"No weekly","SPY"))</x:f>
        <x:v>Weekly</x:v>
      </x:c>
      <x:c r="R401" s="41" t="n">
        <x:f>IFERROR(L401-P401,"")</x:f>
        <x:v>0.3977986843790295</x:v>
      </x:c>
      <x:c r="S401" s="41" t="n">
        <x:f>IFERROR(H401-P401,"")</x:f>
        <x:v>0.25271327878454297</x:v>
      </x:c>
      <x:c r="T401" s="41" t="n">
        <x:f>IFERROR(I401-M401,"")</x:f>
        <x:v>9.385182</x:v>
      </x:c>
      <x:c r="U401" s="41" t="n">
        <x:f>IFERROR(E401-M401,"")</x:f>
        <x:v>7.361653</x:v>
      </x:c>
      <x:c r="V401" s="41" t="str">
        <x:f>IF(AND(I401&gt;M401,J401&gt;N401),"Sí","No")</x:f>
        <x:v>Sí</x:v>
      </x:c>
      <x:c r="W401" s="41" t="str">
        <x:f>IF(AND(E401&gt;M401,F401&gt;N401),"Sí","No")</x:f>
        <x:v>Sí</x:v>
      </x:c>
      <x:c r="X401" s="41" t="str">
        <x:f>IF(L401&gt;=H401,"Weekly","No weekly")</x:f>
        <x:v>Weekly</x:v>
      </x:c>
      <x:c r="Y401" s="41" t="n">
        <x:f>IFERROR(I401-E401,"")</x:f>
        <x:v>2.0235290000000017</x:v>
      </x:c>
      <x:c r="Z401" s="41" t="n">
        <x:f>IFERROR(J401-F401,"")</x:f>
        <x:v>6.721447999999999</x:v>
      </x:c>
      <x:c r="AA401" s="41" t="n">
        <x:v>11267</x:v>
      </x:c>
      <x:c r="AB401" s="41" t="n">
        <x:v>5511</x:v>
      </x:c>
    </x:row>
    <x:row r="402">
      <x:c r="A402" s="41" t="str">
        <x:v>HYP_REFINE_AUTO002_TOPN_6_V1_DDGRID_EXT_R12_C26_E75_CR50_REDD_RECOVERED_DD8_SLNONE</x:v>
      </x:c>
      <x:c r="B402" s="41" t="str">
        <x:v>dd_guard_grid</x:v>
      </x:c>
      <x:c r="C402" s="41" t="str">
        <x:v>1999-01-04</x:v>
      </x:c>
      <x:c r="D402" s="41" t="str">
        <x:v>2026-05-22</x:v>
      </x:c>
      <x:c r="E402" s="41" t="n">
        <x:v>14.270849</x:v>
      </x:c>
      <x:c r="F402" s="41" t="n">
        <x:v>-38.268275</x:v>
      </x:c>
      <x:c r="G402" s="41" t="n">
        <x:v>3756.437401</x:v>
      </x:c>
      <x:c r="H402" s="41" t="n">
        <x:f>IFERROR(E402/ABS(F402),"")</x:f>
        <x:v>0.3729159205634432</x:v>
      </x:c>
      <x:c r="I402" s="41" t="n">
        <x:v>15.902488</x:v>
      </x:c>
      <x:c r="J402" s="41" t="n">
        <x:v>-30.647621</x:v>
      </x:c>
      <x:c r="K402" s="41" t="n">
        <x:v>5585.440029</x:v>
      </x:c>
      <x:c r="L402" s="41" t="n">
        <x:f>IFERROR(I402/ABS(J402),"")</x:f>
        <x:v>0.5188816450059859</x:v>
      </x:c>
      <x:c r="M402" s="41" t="n">
        <x:v>6.802475</x:v>
      </x:c>
      <x:c r="N402" s="41" t="n">
        <x:v>-56.473669</x:v>
      </x:c>
      <x:c r="O402" s="41" t="n">
        <x:v>506.057416</x:v>
      </x:c>
      <x:c r="P402" s="41" t="n">
        <x:f>IFERROR(M402/ABS(N402),"")</x:f>
        <x:v>0.12045392340278087</x:v>
      </x:c>
      <x:c r="Q402" s="41" t="str">
        <x:f>IF(L402&gt;=MAX(H402,P402),"Weekly",IF(H402&gt;=MAX(L402,P402),"No weekly","SPY"))</x:f>
        <x:v>Weekly</x:v>
      </x:c>
      <x:c r="R402" s="41" t="n">
        <x:f>IFERROR(L402-P402,"")</x:f>
        <x:v>0.398427721603205</x:v>
      </x:c>
      <x:c r="S402" s="41" t="n">
        <x:f>IFERROR(H402-P402,"")</x:f>
        <x:v>0.2524619971606623</x:v>
      </x:c>
      <x:c r="T402" s="41" t="n">
        <x:f>IFERROR(I402-M402,"")</x:f>
        <x:v>9.100013</x:v>
      </x:c>
      <x:c r="U402" s="41" t="n">
        <x:f>IFERROR(E402-M402,"")</x:f>
        <x:v>7.468374</x:v>
      </x:c>
      <x:c r="V402" s="41" t="str">
        <x:f>IF(AND(I402&gt;M402,J402&gt;N402),"Sí","No")</x:f>
        <x:v>Sí</x:v>
      </x:c>
      <x:c r="W402" s="41" t="str">
        <x:f>IF(AND(E402&gt;M402,F402&gt;N402),"Sí","No")</x:f>
        <x:v>Sí</x:v>
      </x:c>
      <x:c r="X402" s="41" t="str">
        <x:f>IF(L402&gt;=H402,"Weekly","No weekly")</x:f>
        <x:v>Weekly</x:v>
      </x:c>
      <x:c r="Y402" s="41" t="n">
        <x:f>IFERROR(I402-E402,"")</x:f>
        <x:v>1.6316389999999998</x:v>
      </x:c>
      <x:c r="Z402" s="41" t="n">
        <x:f>IFERROR(J402-F402,"")</x:f>
        <x:v>7.620654000000002</x:v>
      </x:c>
      <x:c r="AA402" s="41" t="n">
        <x:v>10922</x:v>
      </x:c>
      <x:c r="AB402" s="41" t="n">
        <x:v>5771</x:v>
      </x:c>
    </x:row>
    <x:row r="403">
      <x:c r="A403" s="41" t="str">
        <x:v>HYP_REFINE_AUTO002_TOPN_6_V1_DDGRID_EXT_R12_C28_E66_CR50_REDD_RECOVERED_DD8_SL18</x:v>
      </x:c>
      <x:c r="B403" s="41" t="str">
        <x:v>dd_guard_grid</x:v>
      </x:c>
      <x:c r="C403" s="41" t="str">
        <x:v>1999-01-04</x:v>
      </x:c>
      <x:c r="D403" s="41" t="str">
        <x:v>2026-05-22</x:v>
      </x:c>
      <x:c r="E403" s="41" t="n">
        <x:v>13.163793</x:v>
      </x:c>
      <x:c r="F403" s="41" t="n">
        <x:v>-34.948822</x:v>
      </x:c>
      <x:c r="G403" s="41" t="n">
        <x:v>2854.140367</x:v>
      </x:c>
      <x:c r="H403" s="41" t="n">
        <x:f>IFERROR(E403/ABS(F403),"")</x:f>
        <x:v>0.3766591331747891</x:v>
      </x:c>
      <x:c r="I403" s="41" t="n">
        <x:v>13.80612</x:v>
      </x:c>
      <x:c r="J403" s="41" t="n">
        <x:v>-31.402443</x:v>
      </x:c>
      <x:c r="K403" s="41" t="n">
        <x:v>3349.299007</x:v>
      </x:c>
      <x:c r="L403" s="41" t="n">
        <x:f>IFERROR(I403/ABS(J403),"")</x:f>
        <x:v>0.4396511443393114</x:v>
      </x:c>
      <x:c r="M403" s="41" t="n">
        <x:v>6.802475</x:v>
      </x:c>
      <x:c r="N403" s="41" t="n">
        <x:v>-56.473669</x:v>
      </x:c>
      <x:c r="O403" s="41" t="n">
        <x:v>506.057416</x:v>
      </x:c>
      <x:c r="P403" s="41" t="n">
        <x:f>IFERROR(M403/ABS(N403),"")</x:f>
        <x:v>0.12045392340278087</x:v>
      </x:c>
      <x:c r="Q403" s="41" t="str">
        <x:f>IF(L403&gt;=MAX(H403,P403),"Weekly",IF(H403&gt;=MAX(L403,P403),"No weekly","SPY"))</x:f>
        <x:v>Weekly</x:v>
      </x:c>
      <x:c r="R403" s="41" t="n">
        <x:f>IFERROR(L403-P403,"")</x:f>
        <x:v>0.3191972209365305</x:v>
      </x:c>
      <x:c r="S403" s="41" t="n">
        <x:f>IFERROR(H403-P403,"")</x:f>
        <x:v>0.2562052097720082</x:v>
      </x:c>
      <x:c r="T403" s="41" t="n">
        <x:f>IFERROR(I403-M403,"")</x:f>
        <x:v>7.003645</x:v>
      </x:c>
      <x:c r="U403" s="41" t="n">
        <x:f>IFERROR(E403-M403,"")</x:f>
        <x:v>6.361318</x:v>
      </x:c>
      <x:c r="V403" s="41" t="str">
        <x:f>IF(AND(I403&gt;M403,J403&gt;N403),"Sí","No")</x:f>
        <x:v>Sí</x:v>
      </x:c>
      <x:c r="W403" s="41" t="str">
        <x:f>IF(AND(E403&gt;M403,F403&gt;N403),"Sí","No")</x:f>
        <x:v>Sí</x:v>
      </x:c>
      <x:c r="X403" s="41" t="str">
        <x:f>IF(L403&gt;=H403,"Weekly","No weekly")</x:f>
        <x:v>Weekly</x:v>
      </x:c>
      <x:c r="Y403" s="41" t="n">
        <x:f>IFERROR(I403-E403,"")</x:f>
        <x:v>0.6423269999999999</x:v>
      </x:c>
      <x:c r="Z403" s="41" t="n">
        <x:f>IFERROR(J403-F403,"")</x:f>
        <x:v>3.546378999999998</x:v>
      </x:c>
      <x:c r="AA403" s="41" t="n">
        <x:v>11405</x:v>
      </x:c>
      <x:c r="AB403" s="41" t="n">
        <x:v>5558</x:v>
      </x:c>
    </x:row>
    <x:row r="404">
      <x:c r="A404" s="41" t="str">
        <x:v>HYP_REFINE_AUTO002_TOPN_6_V1_DDGRID_EXT_R12_C28_E66_CR50_REDD_RECOVERED_DD8_SL20</x:v>
      </x:c>
      <x:c r="B404" s="41" t="str">
        <x:v>dd_guard_grid</x:v>
      </x:c>
      <x:c r="C404" s="41" t="str">
        <x:v>1999-01-04</x:v>
      </x:c>
      <x:c r="D404" s="41" t="str">
        <x:v>2026-05-22</x:v>
      </x:c>
      <x:c r="E404" s="41" t="n">
        <x:v>14.044946</x:v>
      </x:c>
      <x:c r="F404" s="41" t="n">
        <x:v>-35.569042</x:v>
      </x:c>
      <x:c r="G404" s="41" t="n">
        <x:v>3553.061121</x:v>
      </x:c>
      <x:c r="H404" s="41" t="n">
        <x:f>IFERROR(E404/ABS(F404),"")</x:f>
        <x:v>0.3948643317410685</x:v>
      </x:c>
      <x:c r="I404" s="41" t="n">
        <x:v>14.938443</x:v>
      </x:c>
      <x:c r="J404" s="41" t="n">
        <x:v>-30.99873</x:v>
      </x:c>
      <x:c r="K404" s="41" t="n">
        <x:v>4423.243496</x:v>
      </x:c>
      <x:c r="L404" s="41" t="n">
        <x:f>IFERROR(I404/ABS(J404),"")</x:f>
        <x:v>0.48190500062421915</x:v>
      </x:c>
      <x:c r="M404" s="41" t="n">
        <x:v>6.802475</x:v>
      </x:c>
      <x:c r="N404" s="41" t="n">
        <x:v>-56.473669</x:v>
      </x:c>
      <x:c r="O404" s="41" t="n">
        <x:v>506.057416</x:v>
      </x:c>
      <x:c r="P404" s="41" t="n">
        <x:f>IFERROR(M404/ABS(N404),"")</x:f>
        <x:v>0.12045392340278087</x:v>
      </x:c>
      <x:c r="Q404" s="41" t="str">
        <x:f>IF(L404&gt;=MAX(H404,P404),"Weekly",IF(H404&gt;=MAX(L404,P404),"No weekly","SPY"))</x:f>
        <x:v>Weekly</x:v>
      </x:c>
      <x:c r="R404" s="41" t="n">
        <x:f>IFERROR(L404-P404,"")</x:f>
        <x:v>0.36145107722143827</x:v>
      </x:c>
      <x:c r="S404" s="41" t="n">
        <x:f>IFERROR(H404-P404,"")</x:f>
        <x:v>0.2744104083382876</x:v>
      </x:c>
      <x:c r="T404" s="41" t="n">
        <x:f>IFERROR(I404-M404,"")</x:f>
        <x:v>8.135967999999998</x:v>
      </x:c>
      <x:c r="U404" s="41" t="n">
        <x:f>IFERROR(E404-M404,"")</x:f>
        <x:v>7.242470999999999</x:v>
      </x:c>
      <x:c r="V404" s="41" t="str">
        <x:f>IF(AND(I404&gt;M404,J404&gt;N404),"Sí","No")</x:f>
        <x:v>Sí</x:v>
      </x:c>
      <x:c r="W404" s="41" t="str">
        <x:f>IF(AND(E404&gt;M404,F404&gt;N404),"Sí","No")</x:f>
        <x:v>Sí</x:v>
      </x:c>
      <x:c r="X404" s="41" t="str">
        <x:f>IF(L404&gt;=H404,"Weekly","No weekly")</x:f>
        <x:v>Weekly</x:v>
      </x:c>
      <x:c r="Y404" s="41" t="n">
        <x:f>IFERROR(I404-E404,"")</x:f>
        <x:v>0.893497</x:v>
      </x:c>
      <x:c r="Z404" s="41" t="n">
        <x:f>IFERROR(J404-F404,"")</x:f>
        <x:v>4.570312000000005</x:v>
      </x:c>
      <x:c r="AA404" s="41" t="n">
        <x:v>11511</x:v>
      </x:c>
      <x:c r="AB404" s="41" t="n">
        <x:v>5375</x:v>
      </x:c>
    </x:row>
    <x:row r="405">
      <x:c r="A405" s="41" t="str">
        <x:v>HYP_REFINE_AUTO002_TOPN_6_V1_DDGRID_EXT_R12_C28_E66_CR50_REDD_RECOVERED_DD8_SL22</x:v>
      </x:c>
      <x:c r="B405" s="41" t="str">
        <x:v>dd_guard_grid</x:v>
      </x:c>
      <x:c r="C405" s="41" t="str">
        <x:v>1999-01-04</x:v>
      </x:c>
      <x:c r="D405" s="41" t="str">
        <x:v>2026-05-22</x:v>
      </x:c>
      <x:c r="E405" s="41" t="n">
        <x:v>13.163203</x:v>
      </x:c>
      <x:c r="F405" s="41" t="n">
        <x:v>-36.10936</x:v>
      </x:c>
      <x:c r="G405" s="41" t="n">
        <x:v>2853.718716</x:v>
      </x:c>
      <x:c r="H405" s="41" t="n">
        <x:f>IFERROR(E405/ABS(F405),"")</x:f>
        <x:v>0.36453714493970535</x:v>
      </x:c>
      <x:c r="I405" s="41" t="n">
        <x:v>14.461066</x:v>
      </x:c>
      <x:c r="J405" s="41" t="n">
        <x:v>-30.808011</x:v>
      </x:c>
      <x:c r="K405" s="41" t="n">
        <x:v>3936.107327</x:v>
      </x:c>
      <x:c r="L405" s="41" t="n">
        <x:f>IFERROR(I405/ABS(J405),"")</x:f>
        <x:v>0.469393041959119</x:v>
      </x:c>
      <x:c r="M405" s="41" t="n">
        <x:v>6.802475</x:v>
      </x:c>
      <x:c r="N405" s="41" t="n">
        <x:v>-56.473669</x:v>
      </x:c>
      <x:c r="O405" s="41" t="n">
        <x:v>506.057416</x:v>
      </x:c>
      <x:c r="P405" s="41" t="n">
        <x:f>IFERROR(M405/ABS(N405),"")</x:f>
        <x:v>0.12045392340278087</x:v>
      </x:c>
      <x:c r="Q405" s="41" t="str">
        <x:f>IF(L405&gt;=MAX(H405,P405),"Weekly",IF(H405&gt;=MAX(L405,P405),"No weekly","SPY"))</x:f>
        <x:v>Weekly</x:v>
      </x:c>
      <x:c r="R405" s="41" t="n">
        <x:f>IFERROR(L405-P405,"")</x:f>
        <x:v>0.34893911855633813</x:v>
      </x:c>
      <x:c r="S405" s="41" t="n">
        <x:f>IFERROR(H405-P405,"")</x:f>
        <x:v>0.24408322153692447</x:v>
      </x:c>
      <x:c r="T405" s="41" t="n">
        <x:f>IFERROR(I405-M405,"")</x:f>
        <x:v>7.658591</x:v>
      </x:c>
      <x:c r="U405" s="41" t="n">
        <x:f>IFERROR(E405-M405,"")</x:f>
        <x:v>6.360727999999999</x:v>
      </x:c>
      <x:c r="V405" s="41" t="str">
        <x:f>IF(AND(I405&gt;M405,J405&gt;N405),"Sí","No")</x:f>
        <x:v>Sí</x:v>
      </x:c>
      <x:c r="W405" s="41" t="str">
        <x:f>IF(AND(E405&gt;M405,F405&gt;N405),"Sí","No")</x:f>
        <x:v>Sí</x:v>
      </x:c>
      <x:c r="X405" s="41" t="str">
        <x:f>IF(L405&gt;=H405,"Weekly","No weekly")</x:f>
        <x:v>Weekly</x:v>
      </x:c>
      <x:c r="Y405" s="41" t="n">
        <x:f>IFERROR(I405-E405,"")</x:f>
        <x:v>1.2978630000000013</x:v>
      </x:c>
      <x:c r="Z405" s="41" t="n">
        <x:f>IFERROR(J405-F405,"")</x:f>
        <x:v>5.301349000000002</x:v>
      </x:c>
      <x:c r="AA405" s="41" t="n">
        <x:v>11682</x:v>
      </x:c>
      <x:c r="AB405" s="41" t="n">
        <x:v>5498</x:v>
      </x:c>
    </x:row>
    <x:row r="406">
      <x:c r="A406" s="41" t="str">
        <x:v>HYP_REFINE_AUTO002_TOPN_6_V1_DDGRID_EXT_R12_C28_E75_CR40_REDD_RECOVERED_DD8_SL20</x:v>
      </x:c>
      <x:c r="B406" s="41" t="str">
        <x:v>dd_guard_grid</x:v>
      </x:c>
      <x:c r="C406" s="41" t="str">
        <x:v>1999-01-04</x:v>
      </x:c>
      <x:c r="D406" s="41" t="str">
        <x:v>2026-05-22</x:v>
      </x:c>
      <x:c r="E406" s="41" t="n">
        <x:v>13.941013</x:v>
      </x:c>
      <x:c r="F406" s="41" t="n">
        <x:v>-37.519683</x:v>
      </x:c>
      <x:c r="G406" s="41" t="n">
        <x:v>3463.000905</x:v>
      </x:c>
      <x:c r="H406" s="41" t="n">
        <x:f>IFERROR(E406/ABS(F406),"")</x:f>
        <x:v>0.37156531946178756</x:v>
      </x:c>
      <x:c r="I406" s="41" t="n">
        <x:v>16.035976</x:v>
      </x:c>
      <x:c r="J406" s="41" t="n">
        <x:v>-32.026328</x:v>
      </x:c>
      <x:c r="K406" s="41" t="n">
        <x:v>5767.466135</x:v>
      </x:c>
      <x:c r="L406" s="41" t="n">
        <x:f>IFERROR(I406/ABS(J406),"")</x:f>
        <x:v>0.5007122889642547</x:v>
      </x:c>
      <x:c r="M406" s="41" t="n">
        <x:v>6.802475</x:v>
      </x:c>
      <x:c r="N406" s="41" t="n">
        <x:v>-56.473669</x:v>
      </x:c>
      <x:c r="O406" s="41" t="n">
        <x:v>506.057416</x:v>
      </x:c>
      <x:c r="P406" s="41" t="n">
        <x:f>IFERROR(M406/ABS(N406),"")</x:f>
        <x:v>0.12045392340278087</x:v>
      </x:c>
      <x:c r="Q406" s="41" t="str">
        <x:f>IF(L406&gt;=MAX(H406,P406),"Weekly",IF(H406&gt;=MAX(L406,P406),"No weekly","SPY"))</x:f>
        <x:v>Weekly</x:v>
      </x:c>
      <x:c r="R406" s="41" t="n">
        <x:f>IFERROR(L406-P406,"")</x:f>
        <x:v>0.3802583655614738</x:v>
      </x:c>
      <x:c r="S406" s="41" t="n">
        <x:f>IFERROR(H406-P406,"")</x:f>
        <x:v>0.2511113960590067</x:v>
      </x:c>
      <x:c r="T406" s="41" t="n">
        <x:f>IFERROR(I406-M406,"")</x:f>
        <x:v>9.233501</x:v>
      </x:c>
      <x:c r="U406" s="41" t="n">
        <x:f>IFERROR(E406-M406,"")</x:f>
        <x:v>7.138538</x:v>
      </x:c>
      <x:c r="V406" s="41" t="str">
        <x:f>IF(AND(I406&gt;M406,J406&gt;N406),"Sí","No")</x:f>
        <x:v>Sí</x:v>
      </x:c>
      <x:c r="W406" s="41" t="str">
        <x:f>IF(AND(E406&gt;M406,F406&gt;N406),"Sí","No")</x:f>
        <x:v>Sí</x:v>
      </x:c>
      <x:c r="X406" s="41" t="str">
        <x:f>IF(L406&gt;=H406,"Weekly","No weekly")</x:f>
        <x:v>Weekly</x:v>
      </x:c>
      <x:c r="Y406" s="41" t="n">
        <x:f>IFERROR(I406-E406,"")</x:f>
        <x:v>2.0949630000000017</x:v>
      </x:c>
      <x:c r="Z406" s="41" t="n">
        <x:f>IFERROR(J406-F406,"")</x:f>
        <x:v>5.493355000000001</x:v>
      </x:c>
      <x:c r="AA406" s="41" t="n">
        <x:v>11128</x:v>
      </x:c>
      <x:c r="AB406" s="41" t="n">
        <x:v>5461</x:v>
      </x:c>
    </x:row>
    <x:row r="407">
      <x:c r="A407" s="41" t="str">
        <x:v>HYP_REFINE_AUTO002_TOPN_6_V1_DDGRID_EXT_R12_C28_E75_CR50_REDD_RECOVERED_DD10_SL20</x:v>
      </x:c>
      <x:c r="B407" s="41" t="str">
        <x:v>dd_guard_grid</x:v>
      </x:c>
      <x:c r="C407" s="41" t="str">
        <x:v>1999-01-04</x:v>
      </x:c>
      <x:c r="D407" s="41" t="str">
        <x:v>2026-05-22</x:v>
      </x:c>
      <x:c r="E407" s="41" t="n">
        <x:v>14.656724</x:v>
      </x:c>
      <x:c r="F407" s="41" t="n">
        <x:v>-38.777589</x:v>
      </x:c>
      <x:c r="G407" s="41" t="n">
        <x:v>4129.318767</x:v>
      </x:c>
      <x:c r="H407" s="41" t="n">
        <x:f>IFERROR(E407/ABS(F407),"")</x:f>
        <x:v>0.37796893458229186</x:v>
      </x:c>
      <x:c r="I407" s="41" t="n">
        <x:v>16.203404</x:v>
      </x:c>
      <x:c r="J407" s="41" t="n">
        <x:v>-32.894288</x:v>
      </x:c>
      <x:c r="K407" s="41" t="n">
        <x:v>6003.723305</x:v>
      </x:c>
      <x:c r="L407" s="41" t="n">
        <x:f>IFERROR(I407/ABS(J407),"")</x:f>
        <x:v>0.4925902028948004</x:v>
      </x:c>
      <x:c r="M407" s="41" t="n">
        <x:v>6.802475</x:v>
      </x:c>
      <x:c r="N407" s="41" t="n">
        <x:v>-56.473669</x:v>
      </x:c>
      <x:c r="O407" s="41" t="n">
        <x:v>506.057416</x:v>
      </x:c>
      <x:c r="P407" s="41" t="n">
        <x:f>IFERROR(M407/ABS(N407),"")</x:f>
        <x:v>0.12045392340278087</x:v>
      </x:c>
      <x:c r="Q407" s="41" t="str">
        <x:f>IF(L407&gt;=MAX(H407,P407),"Weekly",IF(H407&gt;=MAX(L407,P407),"No weekly","SPY"))</x:f>
        <x:v>Weekly</x:v>
      </x:c>
      <x:c r="R407" s="41" t="n">
        <x:f>IFERROR(L407-P407,"")</x:f>
        <x:v>0.3721362794920195</x:v>
      </x:c>
      <x:c r="S407" s="41" t="n">
        <x:f>IFERROR(H407-P407,"")</x:f>
        <x:v>0.257515011179511</x:v>
      </x:c>
      <x:c r="T407" s="41" t="n">
        <x:f>IFERROR(I407-M407,"")</x:f>
        <x:v>9.400928999999998</x:v>
      </x:c>
      <x:c r="U407" s="41" t="n">
        <x:f>IFERROR(E407-M407,"")</x:f>
        <x:v>7.854249</x:v>
      </x:c>
      <x:c r="V407" s="41" t="str">
        <x:f>IF(AND(I407&gt;M407,J407&gt;N407),"Sí","No")</x:f>
        <x:v>Sí</x:v>
      </x:c>
      <x:c r="W407" s="41" t="str">
        <x:f>IF(AND(E407&gt;M407,F407&gt;N407),"Sí","No")</x:f>
        <x:v>Sí</x:v>
      </x:c>
      <x:c r="X407" s="41" t="str">
        <x:f>IF(L407&gt;=H407,"Weekly","No weekly")</x:f>
        <x:v>Weekly</x:v>
      </x:c>
      <x:c r="Y407" s="41" t="n">
        <x:f>IFERROR(I407-E407,"")</x:f>
        <x:v>1.5466799999999985</x:v>
      </x:c>
      <x:c r="Z407" s="41" t="n">
        <x:f>IFERROR(J407-F407,"")</x:f>
        <x:v>5.883300999999996</x:v>
      </x:c>
      <x:c r="AA407" s="41" t="n">
        <x:v>10673</x:v>
      </x:c>
      <x:c r="AB407" s="41" t="n">
        <x:v>5018</x:v>
      </x:c>
    </x:row>
    <x:row r="408">
      <x:c r="A408" s="41" t="str">
        <x:v>HYP_REFINE_AUTO002_TOPN_6_V1_DDGRID_EXT_R12_C28_E75_CR50_REDD_RECOVERED_DD6_SL20</x:v>
      </x:c>
      <x:c r="B408" s="41" t="str">
        <x:v>dd_guard_grid</x:v>
      </x:c>
      <x:c r="C408" s="41" t="str">
        <x:v>1999-01-04</x:v>
      </x:c>
      <x:c r="D408" s="41" t="str">
        <x:v>2026-05-22</x:v>
      </x:c>
      <x:c r="E408" s="41" t="n">
        <x:v>14.541581</x:v>
      </x:c>
      <x:c r="F408" s="41" t="n">
        <x:v>-38.777589</x:v>
      </x:c>
      <x:c r="G408" s="41" t="n">
        <x:v>4014.563095</x:v>
      </x:c>
      <x:c r="H408" s="41" t="n">
        <x:f>IFERROR(E408/ABS(F408),"")</x:f>
        <x:v>0.3749996164021441</x:v>
      </x:c>
      <x:c r="I408" s="41" t="n">
        <x:v>15.622492</x:v>
      </x:c>
      <x:c r="J408" s="41" t="n">
        <x:v>-32.894288</x:v>
      </x:c>
      <x:c r="K408" s="41" t="n">
        <x:v>5221.141198</x:v>
      </x:c>
      <x:c r="L408" s="41" t="n">
        <x:f>IFERROR(I408/ABS(J408),"")</x:f>
        <x:v>0.4749302371280995</x:v>
      </x:c>
      <x:c r="M408" s="41" t="n">
        <x:v>6.802475</x:v>
      </x:c>
      <x:c r="N408" s="41" t="n">
        <x:v>-56.473669</x:v>
      </x:c>
      <x:c r="O408" s="41" t="n">
        <x:v>506.057416</x:v>
      </x:c>
      <x:c r="P408" s="41" t="n">
        <x:f>IFERROR(M408/ABS(N408),"")</x:f>
        <x:v>0.12045392340278087</x:v>
      </x:c>
      <x:c r="Q408" s="41" t="str">
        <x:f>IF(L408&gt;=MAX(H408,P408),"Weekly",IF(H408&gt;=MAX(L408,P408),"No weekly","SPY"))</x:f>
        <x:v>Weekly</x:v>
      </x:c>
      <x:c r="R408" s="41" t="n">
        <x:f>IFERROR(L408-P408,"")</x:f>
        <x:v>0.3544763137253186</x:v>
      </x:c>
      <x:c r="S408" s="41" t="n">
        <x:f>IFERROR(H408-P408,"")</x:f>
        <x:v>0.2545456929993632</x:v>
      </x:c>
      <x:c r="T408" s="41" t="n">
        <x:f>IFERROR(I408-M408,"")</x:f>
        <x:v>8.820017</x:v>
      </x:c>
      <x:c r="U408" s="41" t="n">
        <x:f>IFERROR(E408-M408,"")</x:f>
        <x:v>7.7391060000000005</x:v>
      </x:c>
      <x:c r="V408" s="41" t="str">
        <x:f>IF(AND(I408&gt;M408,J408&gt;N408),"Sí","No")</x:f>
        <x:v>Sí</x:v>
      </x:c>
      <x:c r="W408" s="41" t="str">
        <x:f>IF(AND(E408&gt;M408,F408&gt;N408),"Sí","No")</x:f>
        <x:v>Sí</x:v>
      </x:c>
      <x:c r="X408" s="41" t="str">
        <x:f>IF(L408&gt;=H408,"Weekly","No weekly")</x:f>
        <x:v>Weekly</x:v>
      </x:c>
      <x:c r="Y408" s="41" t="n">
        <x:f>IFERROR(I408-E408,"")</x:f>
        <x:v>1.0809109999999986</x:v>
      </x:c>
      <x:c r="Z408" s="41" t="n">
        <x:f>IFERROR(J408-F408,"")</x:f>
        <x:v>5.883300999999996</x:v>
      </x:c>
      <x:c r="AA408" s="41" t="n">
        <x:v>11534</x:v>
      </x:c>
      <x:c r="AB408" s="41" t="n">
        <x:v>5652</x:v>
      </x:c>
    </x:row>
    <x:row r="409">
      <x:c r="A409" s="41" t="str">
        <x:v>HYP_REFINE_AUTO002_TOPN_6_V1_DDGRID_EXT_R12_C28_E75_CR50_REDD_RECOVERED_DD8_SL18</x:v>
      </x:c>
      <x:c r="B409" s="41" t="str">
        <x:v>dd_guard_grid</x:v>
      </x:c>
      <x:c r="C409" s="41" t="str">
        <x:v>1999-01-04</x:v>
      </x:c>
      <x:c r="D409" s="41" t="str">
        <x:v>2026-05-22</x:v>
      </x:c>
      <x:c r="E409" s="41" t="n">
        <x:v>14.126005</x:v>
      </x:c>
      <x:c r="F409" s="41" t="n">
        <x:v>-35.523453</x:v>
      </x:c>
      <x:c r="G409" s="41" t="n">
        <x:v>3624.818883</x:v>
      </x:c>
      <x:c r="H409" s="41" t="n">
        <x:f>IFERROR(E409/ABS(F409),"")</x:f>
        <x:v>0.39765292523787027</x:v>
      </x:c>
      <x:c r="I409" s="41" t="n">
        <x:v>15.292651</x:v>
      </x:c>
      <x:c r="J409" s="41" t="n">
        <x:v>-32.621051</x:v>
      </x:c>
      <x:c r="K409" s="41" t="n">
        <x:v>4820.806033</x:v>
      </x:c>
      <x:c r="L409" s="41" t="n">
        <x:f>IFERROR(I409/ABS(J409),"")</x:f>
        <x:v>0.4687970047316991</x:v>
      </x:c>
      <x:c r="M409" s="41" t="n">
        <x:v>6.802475</x:v>
      </x:c>
      <x:c r="N409" s="41" t="n">
        <x:v>-56.473669</x:v>
      </x:c>
      <x:c r="O409" s="41" t="n">
        <x:v>506.057416</x:v>
      </x:c>
      <x:c r="P409" s="41" t="n">
        <x:f>IFERROR(M409/ABS(N409),"")</x:f>
        <x:v>0.12045392340278087</x:v>
      </x:c>
      <x:c r="Q409" s="41" t="str">
        <x:f>IF(L409&gt;=MAX(H409,P409),"Weekly",IF(H409&gt;=MAX(L409,P409),"No weekly","SPY"))</x:f>
        <x:v>Weekly</x:v>
      </x:c>
      <x:c r="R409" s="41" t="n">
        <x:f>IFERROR(L409-P409,"")</x:f>
        <x:v>0.3483430813289182</x:v>
      </x:c>
      <x:c r="S409" s="41" t="n">
        <x:f>IFERROR(H409-P409,"")</x:f>
        <x:v>0.2771990018350894</x:v>
      </x:c>
      <x:c r="T409" s="41" t="n">
        <x:f>IFERROR(I409-M409,"")</x:f>
        <x:v>8.490175999999998</x:v>
      </x:c>
      <x:c r="U409" s="41" t="n">
        <x:f>IFERROR(E409-M409,"")</x:f>
        <x:v>7.323529999999999</x:v>
      </x:c>
      <x:c r="V409" s="41" t="str">
        <x:f>IF(AND(I409&gt;M409,J409&gt;N409),"Sí","No")</x:f>
        <x:v>Sí</x:v>
      </x:c>
      <x:c r="W409" s="41" t="str">
        <x:f>IF(AND(E409&gt;M409,F409&gt;N409),"Sí","No")</x:f>
        <x:v>Sí</x:v>
      </x:c>
      <x:c r="X409" s="41" t="str">
        <x:f>IF(L409&gt;=H409,"Weekly","No weekly")</x:f>
        <x:v>Weekly</x:v>
      </x:c>
      <x:c r="Y409" s="41" t="n">
        <x:f>IFERROR(I409-E409,"")</x:f>
        <x:v>1.166646</x:v>
      </x:c>
      <x:c r="Z409" s="41" t="n">
        <x:f>IFERROR(J409-F409,"")</x:f>
        <x:v>2.902402000000002</x:v>
      </x:c>
      <x:c r="AA409" s="41" t="n">
        <x:v>11010</x:v>
      </x:c>
      <x:c r="AB409" s="41" t="n">
        <x:v>5444</x:v>
      </x:c>
    </x:row>
    <x:row r="410">
      <x:c r="A410" s="41" t="str">
        <x:v>HYP_REFINE_AUTO002_TOPN_6_V1_DDGRID_EXT_R12_C28_E75_CR50_REDD_RECOVERED_DD8_SL20</x:v>
      </x:c>
      <x:c r="B410" s="41" t="str">
        <x:v>dd_guard_grid</x:v>
      </x:c>
      <x:c r="C410" s="41" t="str">
        <x:v>1999-01-04</x:v>
      </x:c>
      <x:c r="D410" s="41" t="str">
        <x:v>2026-05-22</x:v>
      </x:c>
      <x:c r="E410" s="41" t="n">
        <x:v>14.869056</x:v>
      </x:c>
      <x:c r="F410" s="41" t="n">
        <x:v>-38.777589</x:v>
      </x:c>
      <x:c r="G410" s="41" t="n">
        <x:v>4349.075552</x:v>
      </x:c>
      <x:c r="H410" s="41" t="n">
        <x:f>IFERROR(E410/ABS(F410),"")</x:f>
        <x:v>0.3834445715539458</x:v>
      </x:c>
      <x:c r="I410" s="41" t="n">
        <x:v>16.208265</x:v>
      </x:c>
      <x:c r="J410" s="41" t="n">
        <x:v>-32.894288</x:v>
      </x:c>
      <x:c r="K410" s="41" t="n">
        <x:v>6010.716813</x:v>
      </x:c>
      <x:c r="L410" s="41" t="n">
        <x:f>IFERROR(I410/ABS(J410),"")</x:f>
        <x:v>0.4927379793111801</x:v>
      </x:c>
      <x:c r="M410" s="41" t="n">
        <x:v>6.802475</x:v>
      </x:c>
      <x:c r="N410" s="41" t="n">
        <x:v>-56.473669</x:v>
      </x:c>
      <x:c r="O410" s="41" t="n">
        <x:v>506.057416</x:v>
      </x:c>
      <x:c r="P410" s="41" t="n">
        <x:f>IFERROR(M410/ABS(N410),"")</x:f>
        <x:v>0.12045392340278087</x:v>
      </x:c>
      <x:c r="Q410" s="41" t="str">
        <x:f>IF(L410&gt;=MAX(H410,P410),"Weekly",IF(H410&gt;=MAX(L410,P410),"No weekly","SPY"))</x:f>
        <x:v>Weekly</x:v>
      </x:c>
      <x:c r="R410" s="41" t="n">
        <x:f>IFERROR(L410-P410,"")</x:f>
        <x:v>0.3722840559083992</x:v>
      </x:c>
      <x:c r="S410" s="41" t="n">
        <x:f>IFERROR(H410-P410,"")</x:f>
        <x:v>0.2629906481511649</x:v>
      </x:c>
      <x:c r="T410" s="41" t="n">
        <x:f>IFERROR(I410-M410,"")</x:f>
        <x:v>9.40579</x:v>
      </x:c>
      <x:c r="U410" s="41" t="n">
        <x:f>IFERROR(E410-M410,"")</x:f>
        <x:v>8.066581</x:v>
      </x:c>
      <x:c r="V410" s="41" t="str">
        <x:f>IF(AND(I410&gt;M410,J410&gt;N410),"Sí","No")</x:f>
        <x:v>Sí</x:v>
      </x:c>
      <x:c r="W410" s="41" t="str">
        <x:f>IF(AND(E410&gt;M410,F410&gt;N410),"Sí","No")</x:f>
        <x:v>Sí</x:v>
      </x:c>
      <x:c r="X410" s="41" t="str">
        <x:f>IF(L410&gt;=H410,"Weekly","No weekly")</x:f>
        <x:v>Weekly</x:v>
      </x:c>
      <x:c r="Y410" s="41" t="n">
        <x:f>IFERROR(I410-E410,"")</x:f>
        <x:v>1.3392090000000003</x:v>
      </x:c>
      <x:c r="Z410" s="41" t="n">
        <x:f>IFERROR(J410-F410,"")</x:f>
        <x:v>5.883300999999996</x:v>
      </x:c>
      <x:c r="AA410" s="41" t="n">
        <x:v>11075</x:v>
      </x:c>
      <x:c r="AB410" s="41" t="n">
        <x:v>5299</x:v>
      </x:c>
    </x:row>
    <x:row r="411">
      <x:c r="A411" s="41" t="str">
        <x:v>HYP_REFINE_AUTO002_TOPN_6_V1_DDGRID_EXT_R12_C28_E75_CR50_REDD_RECOVERED_DD8_SL22</x:v>
      </x:c>
      <x:c r="B411" s="41" t="str">
        <x:v>dd_guard_grid</x:v>
      </x:c>
      <x:c r="C411" s="41" t="str">
        <x:v>1999-01-04</x:v>
      </x:c>
      <x:c r="D411" s="41" t="str">
        <x:v>2026-05-22</x:v>
      </x:c>
      <x:c r="E411" s="41" t="n">
        <x:v>14.285325</x:v>
      </x:c>
      <x:c r="F411" s="41" t="n">
        <x:v>-39.287023</x:v>
      </x:c>
      <x:c r="G411" s="41" t="n">
        <x:v>3769.835083</x:v>
      </x:c>
      <x:c r="H411" s="41" t="n">
        <x:f>IFERROR(E411/ABS(F411),"")</x:f>
        <x:v>0.3636143415600617</x:v>
      </x:c>
      <x:c r="I411" s="41" t="n">
        <x:v>16.246973</x:v>
      </x:c>
      <x:c r="J411" s="41" t="n">
        <x:v>-32.823757</x:v>
      </x:c>
      <x:c r="K411" s="41" t="n">
        <x:v>6066.690432</x:v>
      </x:c>
      <x:c r="L411" s="41" t="n">
        <x:f>IFERROR(I411/ABS(J411),"")</x:f>
        <x:v>0.49497603214647246</x:v>
      </x:c>
      <x:c r="M411" s="41" t="n">
        <x:v>6.802475</x:v>
      </x:c>
      <x:c r="N411" s="41" t="n">
        <x:v>-56.473669</x:v>
      </x:c>
      <x:c r="O411" s="41" t="n">
        <x:v>506.057416</x:v>
      </x:c>
      <x:c r="P411" s="41" t="n">
        <x:f>IFERROR(M411/ABS(N411),"")</x:f>
        <x:v>0.12045392340278087</x:v>
      </x:c>
      <x:c r="Q411" s="41" t="str">
        <x:f>IF(L411&gt;=MAX(H411,P411),"Weekly",IF(H411&gt;=MAX(L411,P411),"No weekly","SPY"))</x:f>
        <x:v>Weekly</x:v>
      </x:c>
      <x:c r="R411" s="41" t="n">
        <x:f>IFERROR(L411-P411,"")</x:f>
        <x:v>0.3745221087436916</x:v>
      </x:c>
      <x:c r="S411" s="41" t="n">
        <x:f>IFERROR(H411-P411,"")</x:f>
        <x:v>0.24316041815728084</x:v>
      </x:c>
      <x:c r="T411" s="41" t="n">
        <x:f>IFERROR(I411-M411,"")</x:f>
        <x:v>9.444498</x:v>
      </x:c>
      <x:c r="U411" s="41" t="n">
        <x:f>IFERROR(E411-M411,"")</x:f>
        <x:v>7.48285</x:v>
      </x:c>
      <x:c r="V411" s="41" t="str">
        <x:f>IF(AND(I411&gt;M411,J411&gt;N411),"Sí","No")</x:f>
        <x:v>Sí</x:v>
      </x:c>
      <x:c r="W411" s="41" t="str">
        <x:f>IF(AND(E411&gt;M411,F411&gt;N411),"Sí","No")</x:f>
        <x:v>Sí</x:v>
      </x:c>
      <x:c r="X411" s="41" t="str">
        <x:f>IF(L411&gt;=H411,"Weekly","No weekly")</x:f>
        <x:v>Weekly</x:v>
      </x:c>
      <x:c r="Y411" s="41" t="n">
        <x:f>IFERROR(I411-E411,"")</x:f>
        <x:v>1.9616480000000003</x:v>
      </x:c>
      <x:c r="Z411" s="41" t="n">
        <x:f>IFERROR(J411-F411,"")</x:f>
        <x:v>6.463265999999997</x:v>
      </x:c>
      <x:c r="AA411" s="41" t="n">
        <x:v>11087</x:v>
      </x:c>
      <x:c r="AB411" s="41" t="n">
        <x:v>5410</x:v>
      </x:c>
    </x:row>
    <x:row r="412">
      <x:c r="A412" s="41" t="str">
        <x:v>HYP_REFINE_AUTO002_TOPN_6_V1_DDGRID_EXT_R12_C28_E75_CR50_REDD_RECOVERED_DD8_SL25</x:v>
      </x:c>
      <x:c r="B412" s="41" t="str">
        <x:v>dd_guard_grid</x:v>
      </x:c>
      <x:c r="C412" s="41" t="str">
        <x:v>1999-01-04</x:v>
      </x:c>
      <x:c r="D412" s="41" t="str">
        <x:v>2026-05-22</x:v>
      </x:c>
      <x:c r="E412" s="41" t="n">
        <x:v>14.24418</x:v>
      </x:c>
      <x:c r="F412" s="41" t="n">
        <x:v>-38.9371</x:v>
      </x:c>
      <x:c r="G412" s="41" t="n">
        <x:v>3731.871483</x:v>
      </x:c>
      <x:c r="H412" s="41" t="n">
        <x:f>IFERROR(E412/ABS(F412),"")</x:f>
        <x:v>0.36582539531706265</x:v>
      </x:c>
      <x:c r="I412" s="41" t="n">
        <x:v>16.37371</x:v>
      </x:c>
      <x:c r="J412" s="41" t="n">
        <x:v>-32.476722</x:v>
      </x:c>
      <x:c r="K412" s="41" t="n">
        <x:v>6253.43131</x:v>
      </x:c>
      <x:c r="L412" s="41" t="n">
        <x:f>IFERROR(I412/ABS(J412),"")</x:f>
        <x:v>0.5041675696210965</x:v>
      </x:c>
      <x:c r="M412" s="41" t="n">
        <x:v>6.802475</x:v>
      </x:c>
      <x:c r="N412" s="41" t="n">
        <x:v>-56.473669</x:v>
      </x:c>
      <x:c r="O412" s="41" t="n">
        <x:v>506.057416</x:v>
      </x:c>
      <x:c r="P412" s="41" t="n">
        <x:f>IFERROR(M412/ABS(N412),"")</x:f>
        <x:v>0.12045392340278087</x:v>
      </x:c>
      <x:c r="Q412" s="41" t="str">
        <x:f>IF(L412&gt;=MAX(H412,P412),"Weekly",IF(H412&gt;=MAX(L412,P412),"No weekly","SPY"))</x:f>
        <x:v>Weekly</x:v>
      </x:c>
      <x:c r="R412" s="41" t="n">
        <x:f>IFERROR(L412-P412,"")</x:f>
        <x:v>0.38371364621831566</x:v>
      </x:c>
      <x:c r="S412" s="41" t="n">
        <x:f>IFERROR(H412-P412,"")</x:f>
        <x:v>0.24537147191428177</x:v>
      </x:c>
      <x:c r="T412" s="41" t="n">
        <x:f>IFERROR(I412-M412,"")</x:f>
        <x:v>9.571234999999998</x:v>
      </x:c>
      <x:c r="U412" s="41" t="n">
        <x:f>IFERROR(E412-M412,"")</x:f>
        <x:v>7.441705</x:v>
      </x:c>
      <x:c r="V412" s="41" t="str">
        <x:f>IF(AND(I412&gt;M412,J412&gt;N412),"Sí","No")</x:f>
        <x:v>Sí</x:v>
      </x:c>
      <x:c r="W412" s="41" t="str">
        <x:f>IF(AND(E412&gt;M412,F412&gt;N412),"Sí","No")</x:f>
        <x:v>Sí</x:v>
      </x:c>
      <x:c r="X412" s="41" t="str">
        <x:f>IF(L412&gt;=H412,"Weekly","No weekly")</x:f>
        <x:v>Weekly</x:v>
      </x:c>
      <x:c r="Y412" s="41" t="n">
        <x:f>IFERROR(I412-E412,"")</x:f>
        <x:v>2.129529999999999</x:v>
      </x:c>
      <x:c r="Z412" s="41" t="n">
        <x:f>IFERROR(J412-F412,"")</x:f>
        <x:v>6.460377999999999</x:v>
      </x:c>
      <x:c r="AA412" s="41" t="n">
        <x:v>11065</x:v>
      </x:c>
      <x:c r="AB412" s="41" t="n">
        <x:v>5650</x:v>
      </x:c>
    </x:row>
    <x:row r="413">
      <x:c r="A413" s="41" t="str">
        <x:v>HYP_REFINE_AUTO002_TOPN_6_V1_DDGRID_EXT_R14_C24_E75_CR50_REDD_RECOVERED_DD8_SL20</x:v>
      </x:c>
      <x:c r="B413" s="41" t="str">
        <x:v>dd_guard_grid</x:v>
      </x:c>
      <x:c r="C413" s="41" t="str">
        <x:v>1999-01-04</x:v>
      </x:c>
      <x:c r="D413" s="41" t="str">
        <x:v>2026-05-22</x:v>
      </x:c>
      <x:c r="E413" s="41" t="n">
        <x:v>13.769065</x:v>
      </x:c>
      <x:c r="F413" s="41" t="n">
        <x:v>-36.590559</x:v>
      </x:c>
      <x:c r="G413" s="41" t="n">
        <x:v>3318.681758</x:v>
      </x:c>
      <x:c r="H413" s="41" t="n">
        <x:f>IFERROR(E413/ABS(F413),"")</x:f>
        <x:v>0.376301028907484</x:v>
      </x:c>
      <x:c r="I413" s="41" t="n">
        <x:v>14.808138</x:v>
      </x:c>
      <x:c r="J413" s="41" t="n">
        <x:v>-30.677229</x:v>
      </x:c>
      <x:c r="K413" s="41" t="n">
        <x:v>4284.926531</x:v>
      </x:c>
      <x:c r="L413" s="41" t="n">
        <x:f>IFERROR(I413/ABS(J413),"")</x:f>
        <x:v>0.4827078091049227</x:v>
      </x:c>
      <x:c r="M413" s="41" t="n">
        <x:v>6.802475</x:v>
      </x:c>
      <x:c r="N413" s="41" t="n">
        <x:v>-56.473669</x:v>
      </x:c>
      <x:c r="O413" s="41" t="n">
        <x:v>506.057416</x:v>
      </x:c>
      <x:c r="P413" s="41" t="n">
        <x:f>IFERROR(M413/ABS(N413),"")</x:f>
        <x:v>0.12045392340278087</x:v>
      </x:c>
      <x:c r="Q413" s="41" t="str">
        <x:f>IF(L413&gt;=MAX(H413,P413),"Weekly",IF(H413&gt;=MAX(L413,P413),"No weekly","SPY"))</x:f>
        <x:v>Weekly</x:v>
      </x:c>
      <x:c r="R413" s="41" t="n">
        <x:f>IFERROR(L413-P413,"")</x:f>
        <x:v>0.36225388570214184</x:v>
      </x:c>
      <x:c r="S413" s="41" t="n">
        <x:f>IFERROR(H413-P413,"")</x:f>
        <x:v>0.25584710550470313</x:v>
      </x:c>
      <x:c r="T413" s="41" t="n">
        <x:f>IFERROR(I413-M413,"")</x:f>
        <x:v>8.005662999999998</x:v>
      </x:c>
      <x:c r="U413" s="41" t="n">
        <x:f>IFERROR(E413-M413,"")</x:f>
        <x:v>6.966589999999999</x:v>
      </x:c>
      <x:c r="V413" s="41" t="str">
        <x:f>IF(AND(I413&gt;M413,J413&gt;N413),"Sí","No")</x:f>
        <x:v>Sí</x:v>
      </x:c>
      <x:c r="W413" s="41" t="str">
        <x:f>IF(AND(E413&gt;M413,F413&gt;N413),"Sí","No")</x:f>
        <x:v>Sí</x:v>
      </x:c>
      <x:c r="X413" s="41" t="str">
        <x:f>IF(L413&gt;=H413,"Weekly","No weekly")</x:f>
        <x:v>Weekly</x:v>
      </x:c>
      <x:c r="Y413" s="41" t="n">
        <x:f>IFERROR(I413-E413,"")</x:f>
        <x:v>1.0390730000000001</x:v>
      </x:c>
      <x:c r="Z413" s="41" t="n">
        <x:f>IFERROR(J413-F413,"")</x:f>
        <x:v>5.913329999999998</x:v>
      </x:c>
      <x:c r="AA413" s="41" t="n">
        <x:v>10853</x:v>
      </x:c>
      <x:c r="AB413" s="41" t="n">
        <x:v>5489</x:v>
      </x:c>
    </x:row>
    <x:row r="414">
      <x:c r="A414" s="41" t="str">
        <x:v>HYP_REFINE_AUTO002_TOPN_6_V1_DDGRID_EXT_R14_C25_E66_CR50_REDD_RECOVERED_DD8_SL20</x:v>
      </x:c>
      <x:c r="B414" s="41" t="str">
        <x:v>dd_guard_grid</x:v>
      </x:c>
      <x:c r="C414" s="41" t="str">
        <x:v>1999-01-04</x:v>
      </x:c>
      <x:c r="D414" s="41" t="str">
        <x:v>2026-05-22</x:v>
      </x:c>
      <x:c r="E414" s="41" t="n">
        <x:v>13.760236</x:v>
      </x:c>
      <x:c r="F414" s="41" t="n">
        <x:v>-36.178675</x:v>
      </x:c>
      <x:c r="G414" s="41" t="n">
        <x:v>3311.426029</x:v>
      </x:c>
      <x:c r="H414" s="41" t="n">
        <x:f>IFERROR(E414/ABS(F414),"")</x:f>
        <x:v>0.38034107108676596</x:v>
      </x:c>
      <x:c r="I414" s="41" t="n">
        <x:v>15.012038</x:v>
      </x:c>
      <x:c r="J414" s="41" t="n">
        <x:v>-31.023602</x:v>
      </x:c>
      <x:c r="K414" s="41" t="n">
        <x:v>4503.210839</x:v>
      </x:c>
      <x:c r="L414" s="41" t="n">
        <x:f>IFERROR(I414/ABS(J414),"")</x:f>
        <x:v>0.4838908776614656</x:v>
      </x:c>
      <x:c r="M414" s="41" t="n">
        <x:v>6.802475</x:v>
      </x:c>
      <x:c r="N414" s="41" t="n">
        <x:v>-56.473669</x:v>
      </x:c>
      <x:c r="O414" s="41" t="n">
        <x:v>506.057416</x:v>
      </x:c>
      <x:c r="P414" s="41" t="n">
        <x:f>IFERROR(M414/ABS(N414),"")</x:f>
        <x:v>0.12045392340278087</x:v>
      </x:c>
      <x:c r="Q414" s="41" t="str">
        <x:f>IF(L414&gt;=MAX(H414,P414),"Weekly",IF(H414&gt;=MAX(L414,P414),"No weekly","SPY"))</x:f>
        <x:v>Weekly</x:v>
      </x:c>
      <x:c r="R414" s="41" t="n">
        <x:f>IFERROR(L414-P414,"")</x:f>
        <x:v>0.3634369542586847</x:v>
      </x:c>
      <x:c r="S414" s="41" t="n">
        <x:f>IFERROR(H414-P414,"")</x:f>
        <x:v>0.2598871476839851</x:v>
      </x:c>
      <x:c r="T414" s="41" t="n">
        <x:f>IFERROR(I414-M414,"")</x:f>
        <x:v>8.209563</x:v>
      </x:c>
      <x:c r="U414" s="41" t="n">
        <x:f>IFERROR(E414-M414,"")</x:f>
        <x:v>6.9577610000000005</x:v>
      </x:c>
      <x:c r="V414" s="41" t="str">
        <x:f>IF(AND(I414&gt;M414,J414&gt;N414),"Sí","No")</x:f>
        <x:v>Sí</x:v>
      </x:c>
      <x:c r="W414" s="41" t="str">
        <x:f>IF(AND(E414&gt;M414,F414&gt;N414),"Sí","No")</x:f>
        <x:v>Sí</x:v>
      </x:c>
      <x:c r="X414" s="41" t="str">
        <x:f>IF(L414&gt;=H414,"Weekly","No weekly")</x:f>
        <x:v>Weekly</x:v>
      </x:c>
      <x:c r="Y414" s="41" t="n">
        <x:f>IFERROR(I414-E414,"")</x:f>
        <x:v>1.2518019999999996</x:v>
      </x:c>
      <x:c r="Z414" s="41" t="n">
        <x:f>IFERROR(J414-F414,"")</x:f>
        <x:v>5.155072999999998</x:v>
      </x:c>
      <x:c r="AA414" s="41" t="n">
        <x:v>11092</x:v>
      </x:c>
      <x:c r="AB414" s="41" t="n">
        <x:v>5323</x:v>
      </x:c>
    </x:row>
    <x:row r="415">
      <x:c r="A415" s="41" t="str">
        <x:v>HYP_REFINE_AUTO002_TOPN_6_V1_DDGRID_EXT_R14_C25_E75_CR50_REDD_RECOVERED_DD8_SL18</x:v>
      </x:c>
      <x:c r="B415" s="41" t="str">
        <x:v>dd_guard_grid</x:v>
      </x:c>
      <x:c r="C415" s="41" t="str">
        <x:v>1999-01-04</x:v>
      </x:c>
      <x:c r="D415" s="41" t="str">
        <x:v>2026-05-22</x:v>
      </x:c>
      <x:c r="E415" s="41" t="n">
        <x:v>13.853004</x:v>
      </x:c>
      <x:c r="F415" s="41" t="n">
        <x:v>-36.376965</x:v>
      </x:c>
      <x:c r="G415" s="41" t="n">
        <x:v>3388.415205</x:v>
      </x:c>
      <x:c r="H415" s="41" t="n">
        <x:f>IFERROR(E415/ABS(F415),"")</x:f>
        <x:v>0.380818025912827</x:v>
      </x:c>
      <x:c r="I415" s="41" t="n">
        <x:v>15.527366</x:v>
      </x:c>
      <x:c r="J415" s="41" t="n">
        <x:v>-31.250053</x:v>
      </x:c>
      <x:c r="K415" s="41" t="n">
        <x:v>5102.573907</x:v>
      </x:c>
      <x:c r="L415" s="41" t="n">
        <x:f>IFERROR(I415/ABS(J415),"")</x:f>
        <x:v>0.4968748693002217</x:v>
      </x:c>
      <x:c r="M415" s="41" t="n">
        <x:v>6.802475</x:v>
      </x:c>
      <x:c r="N415" s="41" t="n">
        <x:v>-56.473669</x:v>
      </x:c>
      <x:c r="O415" s="41" t="n">
        <x:v>506.057416</x:v>
      </x:c>
      <x:c r="P415" s="41" t="n">
        <x:f>IFERROR(M415/ABS(N415),"")</x:f>
        <x:v>0.12045392340278087</x:v>
      </x:c>
      <x:c r="Q415" s="41" t="str">
        <x:f>IF(L415&gt;=MAX(H415,P415),"Weekly",IF(H415&gt;=MAX(L415,P415),"No weekly","SPY"))</x:f>
        <x:v>Weekly</x:v>
      </x:c>
      <x:c r="R415" s="41" t="n">
        <x:f>IFERROR(L415-P415,"")</x:f>
        <x:v>0.3764209458974408</x:v>
      </x:c>
      <x:c r="S415" s="41" t="n">
        <x:f>IFERROR(H415-P415,"")</x:f>
        <x:v>0.2603641025100461</x:v>
      </x:c>
      <x:c r="T415" s="41" t="n">
        <x:f>IFERROR(I415-M415,"")</x:f>
        <x:v>8.724891</x:v>
      </x:c>
      <x:c r="U415" s="41" t="n">
        <x:f>IFERROR(E415-M415,"")</x:f>
        <x:v>7.050529</x:v>
      </x:c>
      <x:c r="V415" s="41" t="str">
        <x:f>IF(AND(I415&gt;M415,J415&gt;N415),"Sí","No")</x:f>
        <x:v>Sí</x:v>
      </x:c>
      <x:c r="W415" s="41" t="str">
        <x:f>IF(AND(E415&gt;M415,F415&gt;N415),"Sí","No")</x:f>
        <x:v>Sí</x:v>
      </x:c>
      <x:c r="X415" s="41" t="str">
        <x:f>IF(L415&gt;=H415,"Weekly","No weekly")</x:f>
        <x:v>Weekly</x:v>
      </x:c>
      <x:c r="Y415" s="41" t="n">
        <x:f>IFERROR(I415-E415,"")</x:f>
        <x:v>1.6743620000000004</x:v>
      </x:c>
      <x:c r="Z415" s="41" t="n">
        <x:f>IFERROR(J415-F415,"")</x:f>
        <x:v>5.126911999999997</x:v>
      </x:c>
      <x:c r="AA415" s="41" t="n">
        <x:v>10388</x:v>
      </x:c>
      <x:c r="AB415" s="41" t="n">
        <x:v>4940</x:v>
      </x:c>
    </x:row>
    <x:row r="416">
      <x:c r="A416" s="41" t="str">
        <x:v>HYP_REFINE_AUTO002_TOPN_6_V1_DDGRID_EXT_R14_C25_E75_CR50_REDD_RECOVERED_DD8_SL22</x:v>
      </x:c>
      <x:c r="B416" s="41" t="str">
        <x:v>dd_guard_grid</x:v>
      </x:c>
      <x:c r="C416" s="41" t="str">
        <x:v>1999-01-04</x:v>
      </x:c>
      <x:c r="D416" s="41" t="str">
        <x:v>2026-05-22</x:v>
      </x:c>
      <x:c r="E416" s="41" t="n">
        <x:v>13.966001</x:v>
      </x:c>
      <x:c r="F416" s="41" t="n">
        <x:v>-37.288219</x:v>
      </x:c>
      <x:c r="G416" s="41" t="n">
        <x:v>3484.45598</x:v>
      </x:c>
      <x:c r="H416" s="41" t="n">
        <x:f>IFERROR(E416/ABS(F416),"")</x:f>
        <x:v>0.37454191630874084</x:v>
      </x:c>
      <x:c r="I416" s="41" t="n">
        <x:v>14.88974</x:v>
      </x:c>
      <x:c r="J416" s="41" t="n">
        <x:v>-31.174057</x:v>
      </x:c>
      <x:c r="K416" s="41" t="n">
        <x:v>4371.060742</x:v>
      </x:c>
      <x:c r="L416" s="41" t="n">
        <x:f>IFERROR(I416/ABS(J416),"")</x:f>
        <x:v>0.4776324108216008</x:v>
      </x:c>
      <x:c r="M416" s="41" t="n">
        <x:v>6.802475</x:v>
      </x:c>
      <x:c r="N416" s="41" t="n">
        <x:v>-56.473669</x:v>
      </x:c>
      <x:c r="O416" s="41" t="n">
        <x:v>506.057416</x:v>
      </x:c>
      <x:c r="P416" s="41" t="n">
        <x:f>IFERROR(M416/ABS(N416),"")</x:f>
        <x:v>0.12045392340278087</x:v>
      </x:c>
      <x:c r="Q416" s="41" t="str">
        <x:f>IF(L416&gt;=MAX(H416,P416),"Weekly",IF(H416&gt;=MAX(L416,P416),"No weekly","SPY"))</x:f>
        <x:v>Weekly</x:v>
      </x:c>
      <x:c r="R416" s="41" t="n">
        <x:f>IFERROR(L416-P416,"")</x:f>
        <x:v>0.3571784874188199</x:v>
      </x:c>
      <x:c r="S416" s="41" t="n">
        <x:f>IFERROR(H416-P416,"")</x:f>
        <x:v>0.25408799290595996</x:v>
      </x:c>
      <x:c r="T416" s="41" t="n">
        <x:f>IFERROR(I416-M416,"")</x:f>
        <x:v>8.087264999999999</x:v>
      </x:c>
      <x:c r="U416" s="41" t="n">
        <x:f>IFERROR(E416-M416,"")</x:f>
        <x:v>7.163526</x:v>
      </x:c>
      <x:c r="V416" s="41" t="str">
        <x:f>IF(AND(I416&gt;M416,J416&gt;N416),"Sí","No")</x:f>
        <x:v>Sí</x:v>
      </x:c>
      <x:c r="W416" s="41" t="str">
        <x:f>IF(AND(E416&gt;M416,F416&gt;N416),"Sí","No")</x:f>
        <x:v>Sí</x:v>
      </x:c>
      <x:c r="X416" s="41" t="str">
        <x:f>IF(L416&gt;=H416,"Weekly","No weekly")</x:f>
        <x:v>Weekly</x:v>
      </x:c>
      <x:c r="Y416" s="41" t="n">
        <x:f>IFERROR(I416-E416,"")</x:f>
        <x:v>0.9237389999999994</x:v>
      </x:c>
      <x:c r="Z416" s="41" t="n">
        <x:f>IFERROR(J416-F416,"")</x:f>
        <x:v>6.114161999999997</x:v>
      </x:c>
      <x:c r="AA416" s="41" t="n">
        <x:v>11090</x:v>
      </x:c>
      <x:c r="AB416" s="41" t="n">
        <x:v>5305</x:v>
      </x:c>
    </x:row>
    <x:row r="417">
      <x:c r="A417" s="41" t="str">
        <x:v>HYP_REFINE_AUTO002_TOPN_6_V1_DDGRID_EXT_R14_C26_E75_CR50_REDD_RECOVERED_DD8_SL20</x:v>
      </x:c>
      <x:c r="B417" s="41" t="str">
        <x:v>dd_guard_grid</x:v>
      </x:c>
      <x:c r="C417" s="41" t="str">
        <x:v>1999-01-04</x:v>
      </x:c>
      <x:c r="D417" s="41" t="str">
        <x:v>2026-05-22</x:v>
      </x:c>
      <x:c r="E417" s="41" t="n">
        <x:v>14.702802</x:v>
      </x:c>
      <x:c r="F417" s="41" t="n">
        <x:v>-37.440283</x:v>
      </x:c>
      <x:c r="G417" s="41" t="n">
        <x:v>4176.100913</x:v>
      </x:c>
      <x:c r="H417" s="41" t="n">
        <x:f>IFERROR(E417/ABS(F417),"")</x:f>
        <x:v>0.3927000765458958</x:v>
      </x:c>
      <x:c r="I417" s="41" t="n">
        <x:v>16.50325</x:v>
      </x:c>
      <x:c r="J417" s="41" t="n">
        <x:v>-31.980187</x:v>
      </x:c>
      <x:c r="K417" s="41" t="n">
        <x:v>6449.927897</x:v>
      </x:c>
      <x:c r="L417" s="41" t="n">
        <x:f>IFERROR(I417/ABS(J417),"")</x:f>
        <x:v>0.5160460756530286</x:v>
      </x:c>
      <x:c r="M417" s="41" t="n">
        <x:v>6.802475</x:v>
      </x:c>
      <x:c r="N417" s="41" t="n">
        <x:v>-56.473669</x:v>
      </x:c>
      <x:c r="O417" s="41" t="n">
        <x:v>506.057416</x:v>
      </x:c>
      <x:c r="P417" s="41" t="n">
        <x:f>IFERROR(M417/ABS(N417),"")</x:f>
        <x:v>0.12045392340278087</x:v>
      </x:c>
      <x:c r="Q417" s="41" t="str">
        <x:f>IF(L417&gt;=MAX(H417,P417),"Weekly",IF(H417&gt;=MAX(L417,P417),"No weekly","SPY"))</x:f>
        <x:v>Weekly</x:v>
      </x:c>
      <x:c r="R417" s="41" t="n">
        <x:f>IFERROR(L417-P417,"")</x:f>
        <x:v>0.39559215225024774</x:v>
      </x:c>
      <x:c r="S417" s="41" t="n">
        <x:f>IFERROR(H417-P417,"")</x:f>
        <x:v>0.2722461531431149</x:v>
      </x:c>
      <x:c r="T417" s="41" t="n">
        <x:f>IFERROR(I417-M417,"")</x:f>
        <x:v>9.700775</x:v>
      </x:c>
      <x:c r="U417" s="41" t="n">
        <x:f>IFERROR(E417-M417,"")</x:f>
        <x:v>7.900327</x:v>
      </x:c>
      <x:c r="V417" s="41" t="str">
        <x:f>IF(AND(I417&gt;M417,J417&gt;N417),"Sí","No")</x:f>
        <x:v>Sí</x:v>
      </x:c>
      <x:c r="W417" s="41" t="str">
        <x:f>IF(AND(E417&gt;M417,F417&gt;N417),"Sí","No")</x:f>
        <x:v>Sí</x:v>
      </x:c>
      <x:c r="X417" s="41" t="str">
        <x:f>IF(L417&gt;=H417,"Weekly","No weekly")</x:f>
        <x:v>Weekly</x:v>
      </x:c>
      <x:c r="Y417" s="41" t="n">
        <x:f>IFERROR(I417-E417,"")</x:f>
        <x:v>1.8004480000000012</x:v>
      </x:c>
      <x:c r="Z417" s="41" t="n">
        <x:f>IFERROR(J417-F417,"")</x:f>
        <x:v>5.460096</x:v>
      </x:c>
      <x:c r="AA417" s="41" t="n">
        <x:v>10770</x:v>
      </x:c>
      <x:c r="AB417" s="41" t="n">
        <x:v>5083</x:v>
      </x:c>
    </x:row>
    <x:row r="418">
      <x:c r="A418" s="41" t="str">
        <x:v>HYP_REFINE_AUTO002_TOPN_6_V1_DDGRID_LONGRUN_STRICT_STRICT_NEXT_CLOSE_R10_C22_E75_CR40_REDD_DD7_SL18</x:v>
      </x:c>
      <x:c r="B418" s="41" t="str">
        <x:v>strict_longrun_ddgrid</x:v>
      </x:c>
      <x:c r="C418" s="41" t="str">
        <x:v>1999-01-04</x:v>
      </x:c>
      <x:c r="D418" s="41" t="str">
        <x:v>2026-05-22</x:v>
      </x:c>
      <x:c r="E418" s="41" t="n">
        <x:v>13.185852</x:v>
      </x:c>
      <x:c r="F418" s="41" t="n">
        <x:v>-31.80937</x:v>
      </x:c>
      <x:c r="G418" s="41" t="n">
        <x:v>2869.946678</x:v>
      </x:c>
      <x:c r="H418" s="41" t="n">
        <x:f>IFERROR(E418/ABS(F418),"")</x:f>
        <x:v>0.4145272918011265</x:v>
      </x:c>
      <x:c r="I418" s="41" t="n">
        <x:v>11.684328</x:v>
      </x:c>
      <x:c r="J418" s="41" t="n">
        <x:v>-30.591892</x:v>
      </x:c>
      <x:c r="K418" s="41" t="n">
        <x:v>1960.420382</x:v>
      </x:c>
      <x:c r="L418" s="41" t="n">
        <x:f>IFERROR(I418/ABS(J418),"")</x:f>
        <x:v>0.3819419864583727</x:v>
      </x:c>
      <x:c r="M418" s="41" t="n">
        <x:v>6.802475</x:v>
      </x:c>
      <x:c r="N418" s="41" t="n">
        <x:v>-56.473669</x:v>
      </x:c>
      <x:c r="O418" s="41" t="n">
        <x:v>506.057416</x:v>
      </x:c>
      <x:c r="P418" s="41" t="n">
        <x:f>IFERROR(M418/ABS(N418),"")</x:f>
        <x:v>0.12045392340278087</x:v>
      </x:c>
      <x:c r="Q418" s="41" t="str">
        <x:f>IF(L418&gt;=MAX(H418,P418),"Weekly",IF(H418&gt;=MAX(L418,P418),"No weekly","SPY"))</x:f>
        <x:v>No weekly</x:v>
      </x:c>
      <x:c r="R418" s="41" t="n">
        <x:f>IFERROR(L418-P418,"")</x:f>
        <x:v>0.2614880630555918</x:v>
      </x:c>
      <x:c r="S418" s="41" t="n">
        <x:f>IFERROR(H418-P418,"")</x:f>
        <x:v>0.29407336839834564</x:v>
      </x:c>
      <x:c r="T418" s="41" t="n">
        <x:f>IFERROR(I418-M418,"")</x:f>
        <x:v>4.881853</x:v>
      </x:c>
      <x:c r="U418" s="41" t="n">
        <x:f>IFERROR(E418-M418,"")</x:f>
        <x:v>6.383377</x:v>
      </x:c>
      <x:c r="V418" s="41" t="str">
        <x:f>IF(AND(I418&gt;M418,J418&gt;N418),"Sí","No")</x:f>
        <x:v>Sí</x:v>
      </x:c>
      <x:c r="W418" s="41" t="str">
        <x:f>IF(AND(E418&gt;M418,F418&gt;N418),"Sí","No")</x:f>
        <x:v>Sí</x:v>
      </x:c>
      <x:c r="X418" s="41" t="str">
        <x:f>IF(L418&gt;=H418,"Weekly","No weekly")</x:f>
        <x:v>No weekly</x:v>
      </x:c>
      <x:c r="Y418" s="41" t="n">
        <x:f>IFERROR(I418-E418,"")</x:f>
        <x:v>-1.5015239999999999</x:v>
      </x:c>
      <x:c r="Z418" s="41" t="n">
        <x:f>IFERROR(J418-F418,"")</x:f>
        <x:v>1.2174779999999998</x:v>
      </x:c>
      <x:c r="AA418" s="41" t="n">
        <x:v>12638</x:v>
      </x:c>
      <x:c r="AB418" s="41" t="n">
        <x:v>5939</x:v>
      </x:c>
    </x:row>
    <x:row r="419">
      <x:c r="A419" s="41" t="str">
        <x:v>HYP_REFINE_AUTO002_TOPN_6_V1_DDGRID_LONGRUN_STRICT_STRICT_NEXT_CLOSE_R11_C21_E75_CR33_REDD_DD8_SL20</x:v>
      </x:c>
      <x:c r="B419" s="41" t="str">
        <x:v>strict_longrun_ddgrid</x:v>
      </x:c>
      <x:c r="C419" s="41" t="str">
        <x:v>1999-01-04</x:v>
      </x:c>
      <x:c r="D419" s="41" t="str">
        <x:v>2026-05-22</x:v>
      </x:c>
      <x:c r="E419" s="41" t="n">
        <x:v>11.425174</x:v>
      </x:c>
      <x:c r="F419" s="41" t="n">
        <x:v>-30.481125</x:v>
      </x:c>
      <x:c r="G419" s="41" t="n">
        <x:v>1833.451078</x:v>
      </x:c>
      <x:c r="H419" s="41" t="n">
        <x:f>IFERROR(E419/ABS(F419),"")</x:f>
        <x:v>0.3748278319779864</x:v>
      </x:c>
      <x:c r="I419" s="41" t="n">
        <x:v>9.904851</x:v>
      </x:c>
      <x:c r="J419" s="41" t="n">
        <x:v>-28.945126</x:v>
      </x:c>
      <x:c r="K419" s="41" t="n">
        <x:v>1227.334888</x:v>
      </x:c>
      <x:c r="L419" s="41" t="n">
        <x:f>IFERROR(I419/ABS(J419),"")</x:f>
        <x:v>0.34219408822058683</x:v>
      </x:c>
      <x:c r="M419" s="41" t="n">
        <x:v>6.802475</x:v>
      </x:c>
      <x:c r="N419" s="41" t="n">
        <x:v>-56.473669</x:v>
      </x:c>
      <x:c r="O419" s="41" t="n">
        <x:v>506.057416</x:v>
      </x:c>
      <x:c r="P419" s="41" t="n">
        <x:f>IFERROR(M419/ABS(N419),"")</x:f>
        <x:v>0.12045392340278087</x:v>
      </x:c>
      <x:c r="Q419" s="41" t="str">
        <x:f>IF(L419&gt;=MAX(H419,P419),"Weekly",IF(H419&gt;=MAX(L419,P419),"No weekly","SPY"))</x:f>
        <x:v>No weekly</x:v>
      </x:c>
      <x:c r="R419" s="41" t="n">
        <x:f>IFERROR(L419-P419,"")</x:f>
        <x:v>0.22174016481780595</x:v>
      </x:c>
      <x:c r="S419" s="41" t="n">
        <x:f>IFERROR(H419-P419,"")</x:f>
        <x:v>0.25437390857520553</x:v>
      </x:c>
      <x:c r="T419" s="41" t="n">
        <x:f>IFERROR(I419-M419,"")</x:f>
        <x:v>3.1023760000000005</x:v>
      </x:c>
      <x:c r="U419" s="41" t="n">
        <x:f>IFERROR(E419-M419,"")</x:f>
        <x:v>4.622699</x:v>
      </x:c>
      <x:c r="V419" s="41" t="str">
        <x:f>IF(AND(I419&gt;M419,J419&gt;N419),"Sí","No")</x:f>
        <x:v>Sí</x:v>
      </x:c>
      <x:c r="W419" s="41" t="str">
        <x:f>IF(AND(E419&gt;M419,F419&gt;N419),"Sí","No")</x:f>
        <x:v>Sí</x:v>
      </x:c>
      <x:c r="X419" s="41" t="str">
        <x:f>IF(L419&gt;=H419,"Weekly","No weekly")</x:f>
        <x:v>No weekly</x:v>
      </x:c>
      <x:c r="Y419" s="41" t="n">
        <x:f>IFERROR(I419-E419,"")</x:f>
        <x:v>-1.5203229999999994</x:v>
      </x:c>
      <x:c r="Z419" s="41" t="n">
        <x:f>IFERROR(J419-F419,"")</x:f>
        <x:v>1.5359990000000003</x:v>
      </x:c>
      <x:c r="AA419" s="41" t="n">
        <x:v>12908</x:v>
      </x:c>
      <x:c r="AB419" s="41" t="n">
        <x:v>6248</x:v>
      </x:c>
    </x:row>
    <x:row r="420">
      <x:c r="A420" s="41" t="str">
        <x:v>HYP_REFINE_AUTO002_TOPN_6_V1_DDGRID_LONGRUN_STRICT_STRICT_NEXT_CLOSE_R11_C21_E75_CR40_REDD_DD7_SL18</x:v>
      </x:c>
      <x:c r="B420" s="41" t="str">
        <x:v>strict_longrun_ddgrid</x:v>
      </x:c>
      <x:c r="C420" s="41" t="str">
        <x:v>1999-01-04</x:v>
      </x:c>
      <x:c r="D420" s="41" t="str">
        <x:v>2026-05-22</x:v>
      </x:c>
      <x:c r="E420" s="41" t="n">
        <x:v>11.335093</x:v>
      </x:c>
      <x:c r="F420" s="41" t="n">
        <x:v>-32.63583</x:v>
      </x:c>
      <x:c r="G420" s="41" t="n">
        <x:v>1791.109645</x:v>
      </x:c>
      <x:c r="H420" s="41" t="n">
        <x:f>IFERROR(E420/ABS(F420),"")</x:f>
        <x:v>0.34732050632694195</x:v>
      </x:c>
      <x:c r="I420" s="41" t="n">
        <x:v>11.141005</x:v>
      </x:c>
      <x:c r="J420" s="41" t="n">
        <x:v>-30.813294</x:v>
      </x:c>
      <x:c r="K420" s="41" t="n">
        <x:v>1702.895112</x:v>
      </x:c>
      <x:c r="L420" s="41" t="n">
        <x:f>IFERROR(I420/ABS(J420),"")</x:f>
        <x:v>0.36156488170333234</x:v>
      </x:c>
      <x:c r="M420" s="41" t="n">
        <x:v>6.802475</x:v>
      </x:c>
      <x:c r="N420" s="41" t="n">
        <x:v>-56.473669</x:v>
      </x:c>
      <x:c r="O420" s="41" t="n">
        <x:v>506.057416</x:v>
      </x:c>
      <x:c r="P420" s="41" t="n">
        <x:f>IFERROR(M420/ABS(N420),"")</x:f>
        <x:v>0.12045392340278087</x:v>
      </x:c>
      <x:c r="Q420" s="41" t="str">
        <x:f>IF(L420&gt;=MAX(H420,P420),"Weekly",IF(H420&gt;=MAX(L420,P420),"No weekly","SPY"))</x:f>
        <x:v>Weekly</x:v>
      </x:c>
      <x:c r="R420" s="41" t="n">
        <x:f>IFERROR(L420-P420,"")</x:f>
        <x:v>0.24111095830055146</x:v>
      </x:c>
      <x:c r="S420" s="41" t="n">
        <x:f>IFERROR(H420-P420,"")</x:f>
        <x:v>0.22686658292416106</x:v>
      </x:c>
      <x:c r="T420" s="41" t="n">
        <x:f>IFERROR(I420-M420,"")</x:f>
        <x:v>4.3385299999999996</x:v>
      </x:c>
      <x:c r="U420" s="41" t="n">
        <x:f>IFERROR(E420-M420,"")</x:f>
        <x:v>4.532618</x:v>
      </x:c>
      <x:c r="V420" s="41" t="str">
        <x:f>IF(AND(I420&gt;M420,J420&gt;N420),"Sí","No")</x:f>
        <x:v>Sí</x:v>
      </x:c>
      <x:c r="W420" s="41" t="str">
        <x:f>IF(AND(E420&gt;M420,F420&gt;N420),"Sí","No")</x:f>
        <x:v>Sí</x:v>
      </x:c>
      <x:c r="X420" s="41" t="str">
        <x:f>IF(L420&gt;=H420,"Weekly","No weekly")</x:f>
        <x:v>Weekly</x:v>
      </x:c>
      <x:c r="Y420" s="41" t="n">
        <x:f>IFERROR(I420-E420,"")</x:f>
        <x:v>-0.1940880000000007</x:v>
      </x:c>
      <x:c r="Z420" s="41" t="n">
        <x:f>IFERROR(J420-F420,"")</x:f>
        <x:v>1.8225359999999995</x:v>
      </x:c>
      <x:c r="AA420" s="41" t="n">
        <x:v>12572</x:v>
      </x:c>
      <x:c r="AB420" s="41" t="n">
        <x:v>6161</x:v>
      </x:c>
    </x:row>
    <x:row r="421">
      <x:c r="A421" s="41" t="str">
        <x:v>HYP_REFINE_AUTO002_TOPN_6_V1_DDGRID_LONGRUN_STRICT_STRICT_NEXT_CLOSE_R11_C22_E70_CR40_REDD_DD7_SL18</x:v>
      </x:c>
      <x:c r="B421" s="41" t="str">
        <x:v>strict_longrun_ddgrid</x:v>
      </x:c>
      <x:c r="C421" s="41" t="str">
        <x:v>1999-01-04</x:v>
      </x:c>
      <x:c r="D421" s="41" t="str">
        <x:v>2026-05-22</x:v>
      </x:c>
      <x:c r="E421" s="41" t="n">
        <x:v>12.482723</x:v>
      </x:c>
      <x:c r="F421" s="41" t="n">
        <x:v>-31.890946</x:v>
      </x:c>
      <x:c r="G421" s="41" t="n">
        <x:v>2404.111042</x:v>
      </x:c>
      <x:c r="H421" s="41" t="n">
        <x:f>IFERROR(E421/ABS(F421),"")</x:f>
        <x:v>0.3914190253246172</x:v>
      </x:c>
      <x:c r="I421" s="41" t="n">
        <x:v>10.713099</x:v>
      </x:c>
      <x:c r="J421" s="41" t="n">
        <x:v>-30.813553</x:v>
      </x:c>
      <x:c r="K421" s="41" t="n">
        <x:v>1522.194298</x:v>
      </x:c>
      <x:c r="L421" s="41" t="n">
        <x:f>IFERROR(I421/ABS(J421),"")</x:f>
        <x:v>0.3476749013656426</x:v>
      </x:c>
      <x:c r="M421" s="41" t="n">
        <x:v>6.802475</x:v>
      </x:c>
      <x:c r="N421" s="41" t="n">
        <x:v>-56.473669</x:v>
      </x:c>
      <x:c r="O421" s="41" t="n">
        <x:v>506.057416</x:v>
      </x:c>
      <x:c r="P421" s="41" t="n">
        <x:f>IFERROR(M421/ABS(N421),"")</x:f>
        <x:v>0.12045392340278087</x:v>
      </x:c>
      <x:c r="Q421" s="41" t="str">
        <x:f>IF(L421&gt;=MAX(H421,P421),"Weekly",IF(H421&gt;=MAX(L421,P421),"No weekly","SPY"))</x:f>
        <x:v>No weekly</x:v>
      </x:c>
      <x:c r="R421" s="41" t="n">
        <x:f>IFERROR(L421-P421,"")</x:f>
        <x:v>0.22722097796286173</x:v>
      </x:c>
      <x:c r="S421" s="41" t="n">
        <x:f>IFERROR(H421-P421,"")</x:f>
        <x:v>0.2709651019218363</x:v>
      </x:c>
      <x:c r="T421" s="41" t="n">
        <x:f>IFERROR(I421-M421,"")</x:f>
        <x:v>3.9106239999999994</x:v>
      </x:c>
      <x:c r="U421" s="41" t="n">
        <x:f>IFERROR(E421-M421,"")</x:f>
        <x:v>5.680248</x:v>
      </x:c>
      <x:c r="V421" s="41" t="str">
        <x:f>IF(AND(I421&gt;M421,J421&gt;N421),"Sí","No")</x:f>
        <x:v>Sí</x:v>
      </x:c>
      <x:c r="W421" s="41" t="str">
        <x:f>IF(AND(E421&gt;M421,F421&gt;N421),"Sí","No")</x:f>
        <x:v>Sí</x:v>
      </x:c>
      <x:c r="X421" s="41" t="str">
        <x:f>IF(L421&gt;=H421,"Weekly","No weekly")</x:f>
        <x:v>No weekly</x:v>
      </x:c>
      <x:c r="Y421" s="41" t="n">
        <x:f>IFERROR(I421-E421,"")</x:f>
        <x:v>-1.7696240000000003</x:v>
      </x:c>
      <x:c r="Z421" s="41" t="n">
        <x:f>IFERROR(J421-F421,"")</x:f>
        <x:v>1.0773930000000007</x:v>
      </x:c>
      <x:c r="AA421" s="41" t="n">
        <x:v>12829</x:v>
      </x:c>
      <x:c r="AB421" s="41" t="n">
        <x:v>6006</x:v>
      </x:c>
    </x:row>
    <x:row r="422">
      <x:c r="A422" s="41" t="str">
        <x:v>HYP_REFINE_AUTO002_TOPN_6_V1_DDGRID_LONGRUN_STRICT_STRICT_NEXT_CLOSE_R11_C22_E72_CR36_REDD_DD7_SL18</x:v>
      </x:c>
      <x:c r="B422" s="41" t="str">
        <x:v>strict_longrun_ddgrid</x:v>
      </x:c>
      <x:c r="C422" s="41" t="str">
        <x:v>1999-01-04</x:v>
      </x:c>
      <x:c r="D422" s="41" t="str">
        <x:v>2026-05-22</x:v>
      </x:c>
      <x:c r="E422" s="41" t="n">
        <x:v>11.331894</x:v>
      </x:c>
      <x:c r="F422" s="41" t="n">
        <x:v>-31.351359</x:v>
      </x:c>
      <x:c r="G422" s="41" t="n">
        <x:v>1789.622143</x:v>
      </x:c>
      <x:c r="H422" s="41" t="n">
        <x:f>IFERROR(E422/ABS(F422),"")</x:f>
        <x:v>0.36144825492253785</x:v>
      </x:c>
      <x:c r="I422" s="41" t="n">
        <x:v>10.78397</x:v>
      </x:c>
      <x:c r="J422" s="41" t="n">
        <x:v>-29.86386</x:v>
      </x:c>
      <x:c r="K422" s="41" t="n">
        <x:v>1550.866144</x:v>
      </x:c>
      <x:c r="L422" s="41" t="n">
        <x:f>IFERROR(I422/ABS(J422),"")</x:f>
        <x:v>0.3611043582443797</x:v>
      </x:c>
      <x:c r="M422" s="41" t="n">
        <x:v>6.802475</x:v>
      </x:c>
      <x:c r="N422" s="41" t="n">
        <x:v>-56.473669</x:v>
      </x:c>
      <x:c r="O422" s="41" t="n">
        <x:v>506.057416</x:v>
      </x:c>
      <x:c r="P422" s="41" t="n">
        <x:f>IFERROR(M422/ABS(N422),"")</x:f>
        <x:v>0.12045392340278087</x:v>
      </x:c>
      <x:c r="Q422" s="41" t="str">
        <x:f>IF(L422&gt;=MAX(H422,P422),"Weekly",IF(H422&gt;=MAX(L422,P422),"No weekly","SPY"))</x:f>
        <x:v>No weekly</x:v>
      </x:c>
      <x:c r="R422" s="41" t="n">
        <x:f>IFERROR(L422-P422,"")</x:f>
        <x:v>0.24065043484159881</x:v>
      </x:c>
      <x:c r="S422" s="41" t="n">
        <x:f>IFERROR(H422-P422,"")</x:f>
        <x:v>0.24099433151975697</x:v>
      </x:c>
      <x:c r="T422" s="41" t="n">
        <x:f>IFERROR(I422-M422,"")</x:f>
        <x:v>3.981495</x:v>
      </x:c>
      <x:c r="U422" s="41" t="n">
        <x:f>IFERROR(E422-M422,"")</x:f>
        <x:v>4.529419</x:v>
      </x:c>
      <x:c r="V422" s="41" t="str">
        <x:f>IF(AND(I422&gt;M422,J422&gt;N422),"Sí","No")</x:f>
        <x:v>Sí</x:v>
      </x:c>
      <x:c r="W422" s="41" t="str">
        <x:f>IF(AND(E422&gt;M422,F422&gt;N422),"Sí","No")</x:f>
        <x:v>Sí</x:v>
      </x:c>
      <x:c r="X422" s="41" t="str">
        <x:f>IF(L422&gt;=H422,"Weekly","No weekly")</x:f>
        <x:v>No weekly</x:v>
      </x:c>
      <x:c r="Y422" s="41" t="n">
        <x:f>IFERROR(I422-E422,"")</x:f>
        <x:v>-0.5479240000000001</x:v>
      </x:c>
      <x:c r="Z422" s="41" t="n">
        <x:f>IFERROR(J422-F422,"")</x:f>
        <x:v>1.4874989999999997</x:v>
      </x:c>
      <x:c r="AA422" s="41" t="n">
        <x:v>12951</x:v>
      </x:c>
      <x:c r="AB422" s="41" t="n">
        <x:v>6168</x:v>
      </x:c>
    </x:row>
    <x:row r="423">
      <x:c r="A423" s="41" t="str">
        <x:v>HYP_REFINE_AUTO002_TOPN_6_V1_DDGRID_LONGRUN_STRICT_STRICT_NEXT_CLOSE_R11_C22_E72_CR40_REDD_DD7_SL18</x:v>
      </x:c>
      <x:c r="B423" s="41" t="str">
        <x:v>strict_longrun_ddgrid</x:v>
      </x:c>
      <x:c r="C423" s="41" t="str">
        <x:v>1999-01-04</x:v>
      </x:c>
      <x:c r="D423" s="41" t="str">
        <x:v>2026-05-22</x:v>
      </x:c>
      <x:c r="E423" s="41" t="n">
        <x:v>12.203027</x:v>
      </x:c>
      <x:c r="F423" s="41" t="n">
        <x:v>-32.255151</x:v>
      </x:c>
      <x:c r="G423" s="41" t="n">
        <x:v>2239.109522</x:v>
      </x:c>
      <x:c r="H423" s="41" t="n">
        <x:f>IFERROR(E423/ABS(F423),"")</x:f>
        <x:v>0.378328007207283</x:v>
      </x:c>
      <x:c r="I423" s="41" t="n">
        <x:v>10.998242</x:v>
      </x:c>
      <x:c r="J423" s="41" t="n">
        <x:v>-30.389499</x:v>
      </x:c>
      <x:c r="K423" s="41" t="n">
        <x:v>1640.553023</x:v>
      </x:c>
      <x:c r="L423" s="41" t="n">
        <x:f>IFERROR(I423/ABS(J423),"")</x:f>
        <x:v>0.3619092897846062</x:v>
      </x:c>
      <x:c r="M423" s="41" t="n">
        <x:v>6.802475</x:v>
      </x:c>
      <x:c r="N423" s="41" t="n">
        <x:v>-56.473669</x:v>
      </x:c>
      <x:c r="O423" s="41" t="n">
        <x:v>506.057416</x:v>
      </x:c>
      <x:c r="P423" s="41" t="n">
        <x:f>IFERROR(M423/ABS(N423),"")</x:f>
        <x:v>0.12045392340278087</x:v>
      </x:c>
      <x:c r="Q423" s="41" t="str">
        <x:f>IF(L423&gt;=MAX(H423,P423),"Weekly",IF(H423&gt;=MAX(L423,P423),"No weekly","SPY"))</x:f>
        <x:v>No weekly</x:v>
      </x:c>
      <x:c r="R423" s="41" t="n">
        <x:f>IFERROR(L423-P423,"")</x:f>
        <x:v>0.2414553663818253</x:v>
      </x:c>
      <x:c r="S423" s="41" t="n">
        <x:f>IFERROR(H423-P423,"")</x:f>
        <x:v>0.2578740838045021</x:v>
      </x:c>
      <x:c r="T423" s="41" t="n">
        <x:f>IFERROR(I423-M423,"")</x:f>
        <x:v>4.195766999999999</x:v>
      </x:c>
      <x:c r="U423" s="41" t="n">
        <x:f>IFERROR(E423-M423,"")</x:f>
        <x:v>5.400552</x:v>
      </x:c>
      <x:c r="V423" s="41" t="str">
        <x:f>IF(AND(I423&gt;M423,J423&gt;N423),"Sí","No")</x:f>
        <x:v>Sí</x:v>
      </x:c>
      <x:c r="W423" s="41" t="str">
        <x:f>IF(AND(E423&gt;M423,F423&gt;N423),"Sí","No")</x:f>
        <x:v>Sí</x:v>
      </x:c>
      <x:c r="X423" s="41" t="str">
        <x:f>IF(L423&gt;=H423,"Weekly","No weekly")</x:f>
        <x:v>No weekly</x:v>
      </x:c>
      <x:c r="Y423" s="41" t="n">
        <x:f>IFERROR(I423-E423,"")</x:f>
        <x:v>-1.204785000000001</x:v>
      </x:c>
      <x:c r="Z423" s="41" t="n">
        <x:f>IFERROR(J423-F423,"")</x:f>
        <x:v>1.8656519999999972</x:v>
      </x:c>
      <x:c r="AA423" s="41" t="n">
        <x:v>12777</x:v>
      </x:c>
      <x:c r="AB423" s="41" t="n">
        <x:v>5866</x:v>
      </x:c>
    </x:row>
    <x:row r="424">
      <x:c r="A424" s="41" t="str">
        <x:v>HYP_REFINE_AUTO002_TOPN_6_V1_DDGRID_LONGRUN_STRICT_STRICT_NEXT_CLOSE_R11_C22_E75_CR33_REDD_DD7_SL18</x:v>
      </x:c>
      <x:c r="B424" s="41" t="str">
        <x:v>strict_longrun_ddgrid</x:v>
      </x:c>
      <x:c r="C424" s="41" t="str">
        <x:v>1999-01-04</x:v>
      </x:c>
      <x:c r="D424" s="41" t="str">
        <x:v>2026-05-22</x:v>
      </x:c>
      <x:c r="E424" s="41" t="n">
        <x:v>11.175324</x:v>
      </x:c>
      <x:c r="F424" s="41" t="n">
        <x:v>-30.850125</x:v>
      </x:c>
      <x:c r="G424" s="41" t="n">
        <x:v>1718.198923</x:v>
      </x:c>
      <x:c r="H424" s="41" t="n">
        <x:f>IFERROR(E424/ABS(F424),"")</x:f>
        <x:v>0.36224566351027754</x:v>
      </x:c>
      <x:c r="I424" s="41" t="n">
        <x:v>10.468699</x:v>
      </x:c>
      <x:c r="J424" s="41" t="n">
        <x:v>-29.169612</x:v>
      </x:c>
      <x:c r="K424" s="41" t="n">
        <x:v>1426.953653</x:v>
      </x:c>
      <x:c r="L424" s="41" t="n">
        <x:f>IFERROR(I424/ABS(J424),"")</x:f>
        <x:v>0.3588905810608657</x:v>
      </x:c>
      <x:c r="M424" s="41" t="n">
        <x:v>6.802475</x:v>
      </x:c>
      <x:c r="N424" s="41" t="n">
        <x:v>-56.473669</x:v>
      </x:c>
      <x:c r="O424" s="41" t="n">
        <x:v>506.057416</x:v>
      </x:c>
      <x:c r="P424" s="41" t="n">
        <x:f>IFERROR(M424/ABS(N424),"")</x:f>
        <x:v>0.12045392340278087</x:v>
      </x:c>
      <x:c r="Q424" s="41" t="str">
        <x:f>IF(L424&gt;=MAX(H424,P424),"Weekly",IF(H424&gt;=MAX(L424,P424),"No weekly","SPY"))</x:f>
        <x:v>No weekly</x:v>
      </x:c>
      <x:c r="R424" s="41" t="n">
        <x:f>IFERROR(L424-P424,"")</x:f>
        <x:v>0.2384366576580848</x:v>
      </x:c>
      <x:c r="S424" s="41" t="n">
        <x:f>IFERROR(H424-P424,"")</x:f>
        <x:v>0.24179174010749666</x:v>
      </x:c>
      <x:c r="T424" s="41" t="n">
        <x:f>IFERROR(I424-M424,"")</x:f>
        <x:v>3.6662240000000006</x:v>
      </x:c>
      <x:c r="U424" s="41" t="n">
        <x:f>IFERROR(E424-M424,"")</x:f>
        <x:v>4.3728489999999995</x:v>
      </x:c>
      <x:c r="V424" s="41" t="str">
        <x:f>IF(AND(I424&gt;M424,J424&gt;N424),"Sí","No")</x:f>
        <x:v>Sí</x:v>
      </x:c>
      <x:c r="W424" s="41" t="str">
        <x:f>IF(AND(E424&gt;M424,F424&gt;N424),"Sí","No")</x:f>
        <x:v>Sí</x:v>
      </x:c>
      <x:c r="X424" s="41" t="str">
        <x:f>IF(L424&gt;=H424,"Weekly","No weekly")</x:f>
        <x:v>No weekly</x:v>
      </x:c>
      <x:c r="Y424" s="41" t="n">
        <x:f>IFERROR(I424-E424,"")</x:f>
        <x:v>-0.706624999999999</x:v>
      </x:c>
      <x:c r="Z424" s="41" t="n">
        <x:f>IFERROR(J424-F424,"")</x:f>
        <x:v>1.6805129999999977</x:v>
      </x:c>
      <x:c r="AA424" s="41" t="n">
        <x:v>12678</x:v>
      </x:c>
      <x:c r="AB424" s="41" t="n">
        <x:v>6271</x:v>
      </x:c>
    </x:row>
    <x:row r="425">
      <x:c r="A425" s="41" t="str">
        <x:v>HYP_REFINE_AUTO002_TOPN_6_V1_DDGRID_LONGRUN_STRICT_STRICT_NEXT_CLOSE_R11_C22_E75_CR36_REDD_DD7_SL18</x:v>
      </x:c>
      <x:c r="B425" s="41" t="str">
        <x:v>strict_longrun_ddgrid</x:v>
      </x:c>
      <x:c r="C425" s="41" t="str">
        <x:v>1999-01-04</x:v>
      </x:c>
      <x:c r="D425" s="41" t="str">
        <x:v>2026-05-22</x:v>
      </x:c>
      <x:c r="E425" s="41" t="n">
        <x:v>11.405347</x:v>
      </x:c>
      <x:c r="F425" s="41" t="n">
        <x:v>-31.529397</x:v>
      </x:c>
      <x:c r="G425" s="41" t="n">
        <x:v>1824.054102</x:v>
      </x:c>
      <x:c r="H425" s="41" t="n">
        <x:f>IFERROR(E425/ABS(F425),"")</x:f>
        <x:v>0.36173692126113294</x:v>
      </x:c>
      <x:c r="I425" s="41" t="n">
        <x:v>11.348557</x:v>
      </x:c>
      <x:c r="J425" s="41" t="n">
        <x:v>-29.904592</x:v>
      </x:c>
      <x:c r="K425" s="41" t="n">
        <x:v>1797.380855</x:v>
      </x:c>
      <x:c r="L425" s="41" t="n">
        <x:f>IFERROR(I425/ABS(J425),"")</x:f>
        <x:v>0.3794921194711501</x:v>
      </x:c>
      <x:c r="M425" s="41" t="n">
        <x:v>6.802475</x:v>
      </x:c>
      <x:c r="N425" s="41" t="n">
        <x:v>-56.473669</x:v>
      </x:c>
      <x:c r="O425" s="41" t="n">
        <x:v>506.057416</x:v>
      </x:c>
      <x:c r="P425" s="41" t="n">
        <x:f>IFERROR(M425/ABS(N425),"")</x:f>
        <x:v>0.12045392340278087</x:v>
      </x:c>
      <x:c r="Q425" s="41" t="str">
        <x:f>IF(L425&gt;=MAX(H425,P425),"Weekly",IF(H425&gt;=MAX(L425,P425),"No weekly","SPY"))</x:f>
        <x:v>Weekly</x:v>
      </x:c>
      <x:c r="R425" s="41" t="n">
        <x:f>IFERROR(L425-P425,"")</x:f>
        <x:v>0.2590381960683692</x:v>
      </x:c>
      <x:c r="S425" s="41" t="n">
        <x:f>IFERROR(H425-P425,"")</x:f>
        <x:v>0.24128299785835206</x:v>
      </x:c>
      <x:c r="T425" s="41" t="n">
        <x:f>IFERROR(I425-M425,"")</x:f>
        <x:v>4.546081999999999</x:v>
      </x:c>
      <x:c r="U425" s="41" t="n">
        <x:f>IFERROR(E425-M425,"")</x:f>
        <x:v>4.6028720000000005</x:v>
      </x:c>
      <x:c r="V425" s="41" t="str">
        <x:f>IF(AND(I425&gt;M425,J425&gt;N425),"Sí","No")</x:f>
        <x:v>Sí</x:v>
      </x:c>
      <x:c r="W425" s="41" t="str">
        <x:f>IF(AND(E425&gt;M425,F425&gt;N425),"Sí","No")</x:f>
        <x:v>Sí</x:v>
      </x:c>
      <x:c r="X425" s="41" t="str">
        <x:f>IF(L425&gt;=H425,"Weekly","No weekly")</x:f>
        <x:v>Weekly</x:v>
      </x:c>
      <x:c r="Y425" s="41" t="n">
        <x:f>IFERROR(I425-E425,"")</x:f>
        <x:v>-0.05679000000000123</x:v>
      </x:c>
      <x:c r="Z425" s="41" t="n">
        <x:f>IFERROR(J425-F425,"")</x:f>
        <x:v>1.6248049999999985</x:v>
      </x:c>
      <x:c r="AA425" s="41" t="n">
        <x:v>12760</x:v>
      </x:c>
      <x:c r="AB425" s="41" t="n">
        <x:v>6065</x:v>
      </x:c>
    </x:row>
    <x:row r="426">
      <x:c r="A426" s="41" t="str">
        <x:v>HYP_REFINE_AUTO002_TOPN_6_V1_DDGRID_LONGRUN_STRICT_STRICT_NEXT_CLOSE_R11_C22_E75_CR40_REDD_DD6_SL18</x:v>
      </x:c>
      <x:c r="B426" s="41" t="str">
        <x:v>strict_longrun_ddgrid</x:v>
      </x:c>
      <x:c r="C426" s="41" t="str">
        <x:v>1999-01-04</x:v>
      </x:c>
      <x:c r="D426" s="41" t="str">
        <x:v>2026-05-22</x:v>
      </x:c>
      <x:c r="E426" s="41" t="n">
        <x:v>11.750038</x:v>
      </x:c>
      <x:c r="F426" s="41" t="n">
        <x:v>-32.688196</x:v>
      </x:c>
      <x:c r="G426" s="41" t="n">
        <x:v>1993.868602</x:v>
      </x:c>
      <x:c r="H426" s="41" t="n">
        <x:f>IFERROR(E426/ABS(F426),"")</x:f>
        <x:v>0.3594581358971294</x:v>
      </x:c>
      <x:c r="I426" s="41" t="n">
        <x:v>11.231877</x:v>
      </x:c>
      <x:c r="J426" s="41" t="n">
        <x:v>-30.591892</x:v>
      </x:c>
      <x:c r="K426" s="41" t="n">
        <x:v>1743.691996</x:v>
      </x:c>
      <x:c r="L426" s="41" t="n">
        <x:f>IFERROR(I426/ABS(J426),"")</x:f>
        <x:v>0.36715208722624937</x:v>
      </x:c>
      <x:c r="M426" s="41" t="n">
        <x:v>6.802475</x:v>
      </x:c>
      <x:c r="N426" s="41" t="n">
        <x:v>-56.473669</x:v>
      </x:c>
      <x:c r="O426" s="41" t="n">
        <x:v>506.057416</x:v>
      </x:c>
      <x:c r="P426" s="41" t="n">
        <x:f>IFERROR(M426/ABS(N426),"")</x:f>
        <x:v>0.12045392340278087</x:v>
      </x:c>
      <x:c r="Q426" s="41" t="str">
        <x:f>IF(L426&gt;=MAX(H426,P426),"Weekly",IF(H426&gt;=MAX(L426,P426),"No weekly","SPY"))</x:f>
        <x:v>Weekly</x:v>
      </x:c>
      <x:c r="R426" s="41" t="n">
        <x:f>IFERROR(L426-P426,"")</x:f>
        <x:v>0.24669816382346849</x:v>
      </x:c>
      <x:c r="S426" s="41" t="n">
        <x:f>IFERROR(H426-P426,"")</x:f>
        <x:v>0.2390042124943485</x:v>
      </x:c>
      <x:c r="T426" s="41" t="n">
        <x:f>IFERROR(I426-M426,"")</x:f>
        <x:v>4.4294020000000005</x:v>
      </x:c>
      <x:c r="U426" s="41" t="n">
        <x:f>IFERROR(E426-M426,"")</x:f>
        <x:v>4.947563</x:v>
      </x:c>
      <x:c r="V426" s="41" t="str">
        <x:f>IF(AND(I426&gt;M426,J426&gt;N426),"Sí","No")</x:f>
        <x:v>Sí</x:v>
      </x:c>
      <x:c r="W426" s="41" t="str">
        <x:f>IF(AND(E426&gt;M426,F426&gt;N426),"Sí","No")</x:f>
        <x:v>Sí</x:v>
      </x:c>
      <x:c r="X426" s="41" t="str">
        <x:f>IF(L426&gt;=H426,"Weekly","No weekly")</x:f>
        <x:v>Weekly</x:v>
      </x:c>
      <x:c r="Y426" s="41" t="n">
        <x:f>IFERROR(I426-E426,"")</x:f>
        <x:v>-0.5181609999999992</x:v>
      </x:c>
      <x:c r="Z426" s="41" t="n">
        <x:f>IFERROR(J426-F426,"")</x:f>
        <x:v>2.0963039999999964</x:v>
      </x:c>
      <x:c r="AA426" s="41" t="n">
        <x:v>12905</x:v>
      </x:c>
      <x:c r="AB426" s="41" t="n">
        <x:v>6333</x:v>
      </x:c>
    </x:row>
    <x:row r="427">
      <x:c r="A427" s="41" t="str">
        <x:v>HYP_REFINE_AUTO002_TOPN_6_V1_DDGRID_LONGRUN_STRICT_STRICT_NEXT_CLOSE_R11_C22_E75_CR40_REDD_DD7_SL16</x:v>
      </x:c>
      <x:c r="B427" s="41" t="str">
        <x:v>strict_longrun_ddgrid</x:v>
      </x:c>
      <x:c r="C427" s="41" t="str">
        <x:v>1999-01-04</x:v>
      </x:c>
      <x:c r="D427" s="41" t="str">
        <x:v>2026-05-22</x:v>
      </x:c>
      <x:c r="E427" s="41" t="n">
        <x:v>11.295714</x:v>
      </x:c>
      <x:c r="F427" s="41" t="n">
        <x:v>-32.738544</x:v>
      </x:c>
      <x:c r="G427" s="41" t="n">
        <x:v>1772.881477</x:v>
      </x:c>
      <x:c r="H427" s="41" t="n">
        <x:f>IFERROR(E427/ABS(F427),"")</x:f>
        <x:v>0.34502798902724574</x:v>
      </x:c>
      <x:c r="I427" s="41" t="n">
        <x:v>11.82967</x:v>
      </x:c>
      <x:c r="J427" s="41" t="n">
        <x:v>-30.352634</x:v>
      </x:c>
      <x:c r="K427" s="41" t="n">
        <x:v>2035.105666</x:v>
      </x:c>
      <x:c r="L427" s="41" t="n">
        <x:f>IFERROR(I427/ABS(J427),"")</x:f>
        <x:v>0.38974113416318334</x:v>
      </x:c>
      <x:c r="M427" s="41" t="n">
        <x:v>6.802475</x:v>
      </x:c>
      <x:c r="N427" s="41" t="n">
        <x:v>-56.473669</x:v>
      </x:c>
      <x:c r="O427" s="41" t="n">
        <x:v>506.057416</x:v>
      </x:c>
      <x:c r="P427" s="41" t="n">
        <x:f>IFERROR(M427/ABS(N427),"")</x:f>
        <x:v>0.12045392340278087</x:v>
      </x:c>
      <x:c r="Q427" s="41" t="str">
        <x:f>IF(L427&gt;=MAX(H427,P427),"Weekly",IF(H427&gt;=MAX(L427,P427),"No weekly","SPY"))</x:f>
        <x:v>Weekly</x:v>
      </x:c>
      <x:c r="R427" s="41" t="n">
        <x:f>IFERROR(L427-P427,"")</x:f>
        <x:v>0.26928721076040246</x:v>
      </x:c>
      <x:c r="S427" s="41" t="n">
        <x:f>IFERROR(H427-P427,"")</x:f>
        <x:v>0.22457406562446486</x:v>
      </x:c>
      <x:c r="T427" s="41" t="n">
        <x:f>IFERROR(I427-M427,"")</x:f>
        <x:v>5.027195</x:v>
      </x:c>
      <x:c r="U427" s="41" t="n">
        <x:f>IFERROR(E427-M427,"")</x:f>
        <x:v>4.493239</x:v>
      </x:c>
      <x:c r="V427" s="41" t="str">
        <x:f>IF(AND(I427&gt;M427,J427&gt;N427),"Sí","No")</x:f>
        <x:v>Sí</x:v>
      </x:c>
      <x:c r="W427" s="41" t="str">
        <x:f>IF(AND(E427&gt;M427,F427&gt;N427),"Sí","No")</x:f>
        <x:v>Sí</x:v>
      </x:c>
      <x:c r="X427" s="41" t="str">
        <x:f>IF(L427&gt;=H427,"Weekly","No weekly")</x:f>
        <x:v>Weekly</x:v>
      </x:c>
      <x:c r="Y427" s="41" t="n">
        <x:f>IFERROR(I427-E427,"")</x:f>
        <x:v>0.5339559999999999</x:v>
      </x:c>
      <x:c r="Z427" s="41" t="n">
        <x:f>IFERROR(J427-F427,"")</x:f>
        <x:v>2.385909999999999</x:v>
      </x:c>
      <x:c r="AA427" s="41" t="n">
        <x:v>12463</x:v>
      </x:c>
      <x:c r="AB427" s="41" t="n">
        <x:v>6066</x:v>
      </x:c>
    </x:row>
    <x:row r="428">
      <x:c r="A428" s="41" t="str">
        <x:v>HYP_REFINE_AUTO002_TOPN_6_V1_DDGRID_LONGRUN_STRICT_STRICT_NEXT_CLOSE_R11_C22_E75_CR40_REDD_DD7_SL18</x:v>
      </x:c>
      <x:c r="B428" s="41" t="str">
        <x:v>strict_longrun_ddgrid</x:v>
      </x:c>
      <x:c r="C428" s="41" t="str">
        <x:v>1999-01-04</x:v>
      </x:c>
      <x:c r="D428" s="41" t="str">
        <x:v>2026-05-22</x:v>
      </x:c>
      <x:c r="E428" s="41" t="n">
        <x:v>11.801532</x:v>
      </x:c>
      <x:c r="F428" s="41" t="n">
        <x:v>-32.43116</x:v>
      </x:c>
      <x:c r="G428" s="41" t="n">
        <x:v>2020.44593</x:v>
      </x:c>
      <x:c r="H428" s="41" t="n">
        <x:f>IFERROR(E428/ABS(F428),"")</x:f>
        <x:v>0.36389484680782314</x:v>
      </x:c>
      <x:c r="I428" s="41" t="n">
        <x:v>11.4383</x:v>
      </x:c>
      <x:c r="J428" s="41" t="n">
        <x:v>-30.591892</x:v>
      </x:c>
      <x:c r="K428" s="41" t="n">
        <x:v>1839.696903</x:v>
      </x:c>
      <x:c r="L428" s="41" t="n">
        <x:f>IFERROR(I428/ABS(J428),"")</x:f>
        <x:v>0.37389972480289874</x:v>
      </x:c>
      <x:c r="M428" s="41" t="n">
        <x:v>6.802475</x:v>
      </x:c>
      <x:c r="N428" s="41" t="n">
        <x:v>-56.473669</x:v>
      </x:c>
      <x:c r="O428" s="41" t="n">
        <x:v>506.057416</x:v>
      </x:c>
      <x:c r="P428" s="41" t="n">
        <x:f>IFERROR(M428/ABS(N428),"")</x:f>
        <x:v>0.12045392340278087</x:v>
      </x:c>
      <x:c r="Q428" s="41" t="str">
        <x:f>IF(L428&gt;=MAX(H428,P428),"Weekly",IF(H428&gt;=MAX(L428,P428),"No weekly","SPY"))</x:f>
        <x:v>Weekly</x:v>
      </x:c>
      <x:c r="R428" s="41" t="n">
        <x:f>IFERROR(L428-P428,"")</x:f>
        <x:v>0.25344580140011785</x:v>
      </x:c>
      <x:c r="S428" s="41" t="n">
        <x:f>IFERROR(H428-P428,"")</x:f>
        <x:v>0.24344092340504225</x:v>
      </x:c>
      <x:c r="T428" s="41" t="n">
        <x:f>IFERROR(I428-M428,"")</x:f>
        <x:v>4.635825</x:v>
      </x:c>
      <x:c r="U428" s="41" t="n">
        <x:f>IFERROR(E428-M428,"")</x:f>
        <x:v>4.999057</x:v>
      </x:c>
      <x:c r="V428" s="41" t="str">
        <x:f>IF(AND(I428&gt;M428,J428&gt;N428),"Sí","No")</x:f>
        <x:v>Sí</x:v>
      </x:c>
      <x:c r="W428" s="41" t="str">
        <x:f>IF(AND(E428&gt;M428,F428&gt;N428),"Sí","No")</x:f>
        <x:v>Sí</x:v>
      </x:c>
      <x:c r="X428" s="41" t="str">
        <x:f>IF(L428&gt;=H428,"Weekly","No weekly")</x:f>
        <x:v>Weekly</x:v>
      </x:c>
      <x:c r="Y428" s="41" t="n">
        <x:f>IFERROR(I428-E428,"")</x:f>
        <x:v>-0.363232</x:v>
      </x:c>
      <x:c r="Z428" s="41" t="n">
        <x:f>IFERROR(J428-F428,"")</x:f>
        <x:v>1.839267999999997</x:v>
      </x:c>
      <x:c r="AA428" s="41" t="n">
        <x:v>12669</x:v>
      </x:c>
      <x:c r="AB428" s="41" t="n">
        <x:v>6143</x:v>
      </x:c>
    </x:row>
    <x:row r="429">
      <x:c r="A429" s="41" t="str">
        <x:v>HYP_REFINE_AUTO002_TOPN_6_V1_DDGRID_LONGRUN_STRICT_STRICT_NEXT_CLOSE_R11_C22_E75_CR40_REDD_DD7_SL20</x:v>
      </x:c>
      <x:c r="B429" s="41" t="str">
        <x:v>strict_longrun_ddgrid</x:v>
      </x:c>
      <x:c r="C429" s="41" t="str">
        <x:v>1999-01-04</x:v>
      </x:c>
      <x:c r="D429" s="41" t="str">
        <x:v>2026-05-22</x:v>
      </x:c>
      <x:c r="E429" s="41" t="n">
        <x:v>12.696383</x:v>
      </x:c>
      <x:c r="F429" s="41" t="n">
        <x:v>-32.865963</x:v>
      </x:c>
      <x:c r="G429" s="41" t="n">
        <x:v>2537.653595</x:v>
      </x:c>
      <x:c r="H429" s="41" t="n">
        <x:f>IFERROR(E429/ABS(F429),"")</x:f>
        <x:v>0.38630795634985654</x:v>
      </x:c>
      <x:c r="I429" s="41" t="n">
        <x:v>12.408143</x:v>
      </x:c>
      <x:c r="J429" s="41" t="n">
        <x:v>-29.845302</x:v>
      </x:c>
      <x:c r="K429" s="41" t="n">
        <x:v>2359.049273</x:v>
      </x:c>
      <x:c r="L429" s="41" t="n">
        <x:f>IFERROR(I429/ABS(J429),"")</x:f>
        <x:v>0.41574861597982826</x:v>
      </x:c>
      <x:c r="M429" s="41" t="n">
        <x:v>6.802475</x:v>
      </x:c>
      <x:c r="N429" s="41" t="n">
        <x:v>-56.473669</x:v>
      </x:c>
      <x:c r="O429" s="41" t="n">
        <x:v>506.057416</x:v>
      </x:c>
      <x:c r="P429" s="41" t="n">
        <x:f>IFERROR(M429/ABS(N429),"")</x:f>
        <x:v>0.12045392340278087</x:v>
      </x:c>
      <x:c r="Q429" s="41" t="str">
        <x:f>IF(L429&gt;=MAX(H429,P429),"Weekly",IF(H429&gt;=MAX(L429,P429),"No weekly","SPY"))</x:f>
        <x:v>Weekly</x:v>
      </x:c>
      <x:c r="R429" s="41" t="n">
        <x:f>IFERROR(L429-P429,"")</x:f>
        <x:v>0.2952946925770474</x:v>
      </x:c>
      <x:c r="S429" s="41" t="n">
        <x:f>IFERROR(H429-P429,"")</x:f>
        <x:v>0.26585403294707566</x:v>
      </x:c>
      <x:c r="T429" s="41" t="n">
        <x:f>IFERROR(I429-M429,"")</x:f>
        <x:v>5.6056680000000005</x:v>
      </x:c>
      <x:c r="U429" s="41" t="n">
        <x:f>IFERROR(E429-M429,"")</x:f>
        <x:v>5.893908000000001</x:v>
      </x:c>
      <x:c r="V429" s="41" t="str">
        <x:f>IF(AND(I429&gt;M429,J429&gt;N429),"Sí","No")</x:f>
        <x:v>Sí</x:v>
      </x:c>
      <x:c r="W429" s="41" t="str">
        <x:f>IF(AND(E429&gt;M429,F429&gt;N429),"Sí","No")</x:f>
        <x:v>Sí</x:v>
      </x:c>
      <x:c r="X429" s="41" t="str">
        <x:f>IF(L429&gt;=H429,"Weekly","No weekly")</x:f>
        <x:v>Weekly</x:v>
      </x:c>
      <x:c r="Y429" s="41" t="n">
        <x:f>IFERROR(I429-E429,"")</x:f>
        <x:v>-0.28824000000000005</x:v>
      </x:c>
      <x:c r="Z429" s="41" t="n">
        <x:f>IFERROR(J429-F429,"")</x:f>
        <x:v>3.0206610000000005</x:v>
      </x:c>
      <x:c r="AA429" s="41" t="n">
        <x:v>12456</x:v>
      </x:c>
      <x:c r="AB429" s="41" t="n">
        <x:v>6011</x:v>
      </x:c>
    </x:row>
    <x:row r="430">
      <x:c r="A430" s="41" t="str">
        <x:v>HYP_REFINE_AUTO002_TOPN_6_V1_DDGRID_LONGRUN_STRICT_STRICT_NEXT_CLOSE_R11_C22_E75_CR40_REDD_DD8_SL18</x:v>
      </x:c>
      <x:c r="B430" s="41" t="str">
        <x:v>strict_longrun_ddgrid</x:v>
      </x:c>
      <x:c r="C430" s="41" t="str">
        <x:v>1999-01-04</x:v>
      </x:c>
      <x:c r="D430" s="41" t="str">
        <x:v>2026-05-22</x:v>
      </x:c>
      <x:c r="E430" s="41" t="n">
        <x:v>13.410549</x:v>
      </x:c>
      <x:c r="F430" s="41" t="n">
        <x:v>-31.901485</x:v>
      </x:c>
      <x:c r="G430" s="41" t="n">
        <x:v>3035.667534</x:v>
      </x:c>
      <x:c r="H430" s="41" t="n">
        <x:f>IFERROR(E430/ABS(F430),"")</x:f>
        <x:v>0.4203738164539989</x:v>
      </x:c>
      <x:c r="I430" s="41" t="n">
        <x:v>11.717308</x:v>
      </x:c>
      <x:c r="J430" s="41" t="n">
        <x:v>-30.591892</x:v>
      </x:c>
      <x:c r="K430" s="41" t="n">
        <x:v>1977.143209</x:v>
      </x:c>
      <x:c r="L430" s="41" t="n">
        <x:f>IFERROR(I430/ABS(J430),"")</x:f>
        <x:v>0.38302004988772836</x:v>
      </x:c>
      <x:c r="M430" s="41" t="n">
        <x:v>6.802475</x:v>
      </x:c>
      <x:c r="N430" s="41" t="n">
        <x:v>-56.473669</x:v>
      </x:c>
      <x:c r="O430" s="41" t="n">
        <x:v>506.057416</x:v>
      </x:c>
      <x:c r="P430" s="41" t="n">
        <x:f>IFERROR(M430/ABS(N430),"")</x:f>
        <x:v>0.12045392340278087</x:v>
      </x:c>
      <x:c r="Q430" s="41" t="str">
        <x:f>IF(L430&gt;=MAX(H430,P430),"Weekly",IF(H430&gt;=MAX(L430,P430),"No weekly","SPY"))</x:f>
        <x:v>No weekly</x:v>
      </x:c>
      <x:c r="R430" s="41" t="n">
        <x:f>IFERROR(L430-P430,"")</x:f>
        <x:v>0.2625661264849475</x:v>
      </x:c>
      <x:c r="S430" s="41" t="n">
        <x:f>IFERROR(H430-P430,"")</x:f>
        <x:v>0.299919893051218</x:v>
      </x:c>
      <x:c r="T430" s="41" t="n">
        <x:f>IFERROR(I430-M430,"")</x:f>
        <x:v>4.914832999999999</x:v>
      </x:c>
      <x:c r="U430" s="41" t="n">
        <x:f>IFERROR(E430-M430,"")</x:f>
        <x:v>6.608073999999999</x:v>
      </x:c>
      <x:c r="V430" s="41" t="str">
        <x:f>IF(AND(I430&gt;M430,J430&gt;N430),"Sí","No")</x:f>
        <x:v>Sí</x:v>
      </x:c>
      <x:c r="W430" s="41" t="str">
        <x:f>IF(AND(E430&gt;M430,F430&gt;N430),"Sí","No")</x:f>
        <x:v>Sí</x:v>
      </x:c>
      <x:c r="X430" s="41" t="str">
        <x:f>IF(L430&gt;=H430,"Weekly","No weekly")</x:f>
        <x:v>No weekly</x:v>
      </x:c>
      <x:c r="Y430" s="41" t="n">
        <x:f>IFERROR(I430-E430,"")</x:f>
        <x:v>-1.6932410000000004</x:v>
      </x:c>
      <x:c r="Z430" s="41" t="n">
        <x:f>IFERROR(J430-F430,"")</x:f>
        <x:v>1.3095929999999996</x:v>
      </x:c>
      <x:c r="AA430" s="41" t="n">
        <x:v>12380</x:v>
      </x:c>
      <x:c r="AB430" s="41" t="n">
        <x:v>5816</x:v>
      </x:c>
    </x:row>
    <x:row r="431">
      <x:c r="A431" s="41" t="str">
        <x:v>HYP_REFINE_AUTO002_TOPN_6_V1_DDGRID_LONGRUN_STRICT_STRICT_NEXT_CLOSE_R11_C22_E75_CR40_REDD_DD8_SL20</x:v>
      </x:c>
      <x:c r="B431" s="41" t="str">
        <x:v>strict_longrun_ddgrid</x:v>
      </x:c>
      <x:c r="C431" s="41" t="str">
        <x:v>1999-01-04</x:v>
      </x:c>
      <x:c r="D431" s="41" t="str">
        <x:v>2026-05-22</x:v>
      </x:c>
      <x:c r="E431" s="41" t="n">
        <x:v>13.583724</x:v>
      </x:c>
      <x:c r="F431" s="41" t="n">
        <x:v>-32.245056</x:v>
      </x:c>
      <x:c r="G431" s="41" t="n">
        <x:v>3169.432586</x:v>
      </x:c>
      <x:c r="H431" s="41" t="n">
        <x:f>IFERROR(E431/ABS(F431),"")</x:f>
        <x:v>0.4212653251400773</x:v>
      </x:c>
      <x:c r="I431" s="41" t="n">
        <x:v>12.62504</x:v>
      </x:c>
      <x:c r="J431" s="41" t="n">
        <x:v>-29.845302</x:v>
      </x:c>
      <x:c r="K431" s="41" t="n">
        <x:v>2492.316827</x:v>
      </x:c>
      <x:c r="L431" s="41" t="n">
        <x:f>IFERROR(I431/ABS(J431),"")</x:f>
        <x:v>0.423015990925473</x:v>
      </x:c>
      <x:c r="M431" s="41" t="n">
        <x:v>6.802475</x:v>
      </x:c>
      <x:c r="N431" s="41" t="n">
        <x:v>-56.473669</x:v>
      </x:c>
      <x:c r="O431" s="41" t="n">
        <x:v>506.057416</x:v>
      </x:c>
      <x:c r="P431" s="41" t="n">
        <x:f>IFERROR(M431/ABS(N431),"")</x:f>
        <x:v>0.12045392340278087</x:v>
      </x:c>
      <x:c r="Q431" s="41" t="str">
        <x:f>IF(L431&gt;=MAX(H431,P431),"Weekly",IF(H431&gt;=MAX(L431,P431),"No weekly","SPY"))</x:f>
        <x:v>Weekly</x:v>
      </x:c>
      <x:c r="R431" s="41" t="n">
        <x:f>IFERROR(L431-P431,"")</x:f>
        <x:v>0.3025620675226921</x:v>
      </x:c>
      <x:c r="S431" s="41" t="n">
        <x:f>IFERROR(H431-P431,"")</x:f>
        <x:v>0.3008114017372964</x:v>
      </x:c>
      <x:c r="T431" s="41" t="n">
        <x:f>IFERROR(I431-M431,"")</x:f>
        <x:v>5.822565</x:v>
      </x:c>
      <x:c r="U431" s="41" t="n">
        <x:f>IFERROR(E431-M431,"")</x:f>
        <x:v>6.781249</x:v>
      </x:c>
      <x:c r="V431" s="41" t="str">
        <x:f>IF(AND(I431&gt;M431,J431&gt;N431),"Sí","No")</x:f>
        <x:v>Sí</x:v>
      </x:c>
      <x:c r="W431" s="41" t="str">
        <x:f>IF(AND(E431&gt;M431,F431&gt;N431),"Sí","No")</x:f>
        <x:v>Sí</x:v>
      </x:c>
      <x:c r="X431" s="41" t="str">
        <x:f>IF(L431&gt;=H431,"Weekly","No weekly")</x:f>
        <x:v>Weekly</x:v>
      </x:c>
      <x:c r="Y431" s="41" t="n">
        <x:f>IFERROR(I431-E431,"")</x:f>
        <x:v>-0.9586839999999999</x:v>
      </x:c>
      <x:c r="Z431" s="41" t="n">
        <x:f>IFERROR(J431-F431,"")</x:f>
        <x:v>2.399753999999998</x:v>
      </x:c>
      <x:c r="AA431" s="41" t="n">
        <x:v>12280</x:v>
      </x:c>
      <x:c r="AB431" s="41" t="n">
        <x:v>6006</x:v>
      </x:c>
    </x:row>
    <x:row r="432">
      <x:c r="A432" s="41" t="str">
        <x:v>HYP_REFINE_AUTO002_TOPN_6_V1_DDGRID_LONGRUN_STRICT_STRICT_NEXT_CLOSE_R11_C22_E75_CR45_REDD_DD7_SL18</x:v>
      </x:c>
      <x:c r="B432" s="41" t="str">
        <x:v>strict_longrun_ddgrid</x:v>
      </x:c>
      <x:c r="C432" s="41" t="str">
        <x:v>1999-01-04</x:v>
      </x:c>
      <x:c r="D432" s="41" t="str">
        <x:v>2026-05-22</x:v>
      </x:c>
      <x:c r="E432" s="41" t="n">
        <x:v>12.863048</x:v>
      </x:c>
      <x:c r="F432" s="41" t="n">
        <x:v>-33.550777</x:v>
      </x:c>
      <x:c r="G432" s="41" t="n">
        <x:v>2646.560343</x:v>
      </x:c>
      <x:c r="H432" s="41" t="n">
        <x:f>IFERROR(E432/ABS(F432),"")</x:f>
        <x:v>0.3833904651448162</x:v>
      </x:c>
      <x:c r="I432" s="41" t="n">
        <x:v>11.385611</x:v>
      </x:c>
      <x:c r="J432" s="41" t="n">
        <x:v>-31.764195</x:v>
      </x:c>
      <x:c r="K432" s="41" t="n">
        <x:v>1814.743916</x:v>
      </x:c>
      <x:c r="L432" s="41" t="n">
        <x:f>IFERROR(I432/ABS(J432),"")</x:f>
        <x:v>0.3584416667886594</x:v>
      </x:c>
      <x:c r="M432" s="41" t="n">
        <x:v>6.802475</x:v>
      </x:c>
      <x:c r="N432" s="41" t="n">
        <x:v>-56.473669</x:v>
      </x:c>
      <x:c r="O432" s="41" t="n">
        <x:v>506.057416</x:v>
      </x:c>
      <x:c r="P432" s="41" t="n">
        <x:f>IFERROR(M432/ABS(N432),"")</x:f>
        <x:v>0.12045392340278087</x:v>
      </x:c>
      <x:c r="Q432" s="41" t="str">
        <x:f>IF(L432&gt;=MAX(H432,P432),"Weekly",IF(H432&gt;=MAX(L432,P432),"No weekly","SPY"))</x:f>
        <x:v>No weekly</x:v>
      </x:c>
      <x:c r="R432" s="41" t="n">
        <x:f>IFERROR(L432-P432,"")</x:f>
        <x:v>0.23798774338587853</x:v>
      </x:c>
      <x:c r="S432" s="41" t="n">
        <x:f>IFERROR(H432-P432,"")</x:f>
        <x:v>0.2629365417420353</x:v>
      </x:c>
      <x:c r="T432" s="41" t="n">
        <x:f>IFERROR(I432-M432,"")</x:f>
        <x:v>4.5831360000000005</x:v>
      </x:c>
      <x:c r="U432" s="41" t="n">
        <x:f>IFERROR(E432-M432,"")</x:f>
        <x:v>6.060572999999999</x:v>
      </x:c>
      <x:c r="V432" s="41" t="str">
        <x:f>IF(AND(I432&gt;M432,J432&gt;N432),"Sí","No")</x:f>
        <x:v>Sí</x:v>
      </x:c>
      <x:c r="W432" s="41" t="str">
        <x:f>IF(AND(E432&gt;M432,F432&gt;N432),"Sí","No")</x:f>
        <x:v>Sí</x:v>
      </x:c>
      <x:c r="X432" s="41" t="str">
        <x:f>IF(L432&gt;=H432,"Weekly","No weekly")</x:f>
        <x:v>No weekly</x:v>
      </x:c>
      <x:c r="Y432" s="41" t="n">
        <x:f>IFERROR(I432-E432,"")</x:f>
        <x:v>-1.4774369999999983</x:v>
      </x:c>
      <x:c r="Z432" s="41" t="n">
        <x:f>IFERROR(J432-F432,"")</x:f>
        <x:v>1.7865819999999957</x:v>
      </x:c>
      <x:c r="AA432" s="41" t="n">
        <x:v>12538</x:v>
      </x:c>
      <x:c r="AB432" s="41" t="n">
        <x:v>6052</x:v>
      </x:c>
    </x:row>
    <x:row r="433">
      <x:c r="A433" s="41" t="str">
        <x:v>HYP_REFINE_AUTO002_TOPN_6_V1_DDGRID_LONGRUN_STRICT_STRICT_NEXT_CLOSE_R11_C22_E78_CR36_REDD_DD7_SL18</x:v>
      </x:c>
      <x:c r="B433" s="41" t="str">
        <x:v>strict_longrun_ddgrid</x:v>
      </x:c>
      <x:c r="C433" s="41" t="str">
        <x:v>1999-01-04</x:v>
      </x:c>
      <x:c r="D433" s="41" t="str">
        <x:v>2026-05-22</x:v>
      </x:c>
      <x:c r="E433" s="41" t="n">
        <x:v>11.267118</x:v>
      </x:c>
      <x:c r="F433" s="41" t="n">
        <x:v>-31.63462</x:v>
      </x:c>
      <x:c r="G433" s="41" t="n">
        <x:v>1759.751386</x:v>
      </x:c>
      <x:c r="H433" s="41" t="n">
        <x:f>IFERROR(E433/ABS(F433),"")</x:f>
        <x:v>0.3561641644502131</x:v>
      </x:c>
      <x:c r="I433" s="41" t="n">
        <x:v>11.16051</x:v>
      </x:c>
      <x:c r="J433" s="41" t="n">
        <x:v>-30.030447</x:v>
      </x:c>
      <x:c r="K433" s="41" t="n">
        <x:v>1711.577562</x:v>
      </x:c>
      <x:c r="L433" s="41" t="n">
        <x:f>IFERROR(I433/ABS(J433),"")</x:f>
        <x:v>0.37163982274389723</x:v>
      </x:c>
      <x:c r="M433" s="41" t="n">
        <x:v>6.802475</x:v>
      </x:c>
      <x:c r="N433" s="41" t="n">
        <x:v>-56.473669</x:v>
      </x:c>
      <x:c r="O433" s="41" t="n">
        <x:v>506.057416</x:v>
      </x:c>
      <x:c r="P433" s="41" t="n">
        <x:f>IFERROR(M433/ABS(N433),"")</x:f>
        <x:v>0.12045392340278087</x:v>
      </x:c>
      <x:c r="Q433" s="41" t="str">
        <x:f>IF(L433&gt;=MAX(H433,P433),"Weekly",IF(H433&gt;=MAX(L433,P433),"No weekly","SPY"))</x:f>
        <x:v>Weekly</x:v>
      </x:c>
      <x:c r="R433" s="41" t="n">
        <x:f>IFERROR(L433-P433,"")</x:f>
        <x:v>0.25118589934111635</x:v>
      </x:c>
      <x:c r="S433" s="41" t="n">
        <x:f>IFERROR(H433-P433,"")</x:f>
        <x:v>0.2357102410474322</x:v>
      </x:c>
      <x:c r="T433" s="41" t="n">
        <x:f>IFERROR(I433-M433,"")</x:f>
        <x:v>4.358035</x:v>
      </x:c>
      <x:c r="U433" s="41" t="n">
        <x:f>IFERROR(E433-M433,"")</x:f>
        <x:v>4.464643</x:v>
      </x:c>
      <x:c r="V433" s="41" t="str">
        <x:f>IF(AND(I433&gt;M433,J433&gt;N433),"Sí","No")</x:f>
        <x:v>Sí</x:v>
      </x:c>
      <x:c r="W433" s="41" t="str">
        <x:f>IF(AND(E433&gt;M433,F433&gt;N433),"Sí","No")</x:f>
        <x:v>Sí</x:v>
      </x:c>
      <x:c r="X433" s="41" t="str">
        <x:f>IF(L433&gt;=H433,"Weekly","No weekly")</x:f>
        <x:v>Weekly</x:v>
      </x:c>
      <x:c r="Y433" s="41" t="n">
        <x:f>IFERROR(I433-E433,"")</x:f>
        <x:v>-0.10660799999999959</x:v>
      </x:c>
      <x:c r="Z433" s="41" t="n">
        <x:f>IFERROR(J433-F433,"")</x:f>
        <x:v>1.604173000000003</x:v>
      </x:c>
      <x:c r="AA433" s="41" t="n">
        <x:v>12724</x:v>
      </x:c>
      <x:c r="AB433" s="41" t="n">
        <x:v>6402</x:v>
      </x:c>
    </x:row>
    <x:row r="434">
      <x:c r="A434" s="41" t="str">
        <x:v>HYP_REFINE_AUTO002_TOPN_6_V1_DDGRID_LONGRUN_STRICT_STRICT_NEXT_CLOSE_R11_C22_E78_CR40_REDD_DD7_SL18</x:v>
      </x:c>
      <x:c r="B434" s="41" t="str">
        <x:v>strict_longrun_ddgrid</x:v>
      </x:c>
      <x:c r="C434" s="41" t="str">
        <x:v>1999-01-04</x:v>
      </x:c>
      <x:c r="D434" s="41" t="str">
        <x:v>2026-05-22</x:v>
      </x:c>
      <x:c r="E434" s="41" t="n">
        <x:v>11.459031</x:v>
      </x:c>
      <x:c r="F434" s="41" t="n">
        <x:v>-32.531938</x:v>
      </x:c>
      <x:c r="G434" s="41" t="n">
        <x:v>1849.600594</x:v>
      </x:c>
      <x:c r="H434" s="41" t="n">
        <x:f>IFERROR(E434/ABS(F434),"")</x:f>
        <x:v>0.3522394208423734</x:v>
      </x:c>
      <x:c r="I434" s="41" t="n">
        <x:v>11.733198</x:v>
      </x:c>
      <x:c r="J434" s="41" t="n">
        <x:v>-31.287824</x:v>
      </x:c>
      <x:c r="K434" s="41" t="n">
        <x:v>1985.247109</x:v>
      </x:c>
      <x:c r="L434" s="41" t="n">
        <x:f>IFERROR(I434/ABS(J434),"")</x:f>
        <x:v>0.3750084377871724</x:v>
      </x:c>
      <x:c r="M434" s="41" t="n">
        <x:v>6.802475</x:v>
      </x:c>
      <x:c r="N434" s="41" t="n">
        <x:v>-56.473669</x:v>
      </x:c>
      <x:c r="O434" s="41" t="n">
        <x:v>506.057416</x:v>
      </x:c>
      <x:c r="P434" s="41" t="n">
        <x:f>IFERROR(M434/ABS(N434),"")</x:f>
        <x:v>0.12045392340278087</x:v>
      </x:c>
      <x:c r="Q434" s="41" t="str">
        <x:f>IF(L434&gt;=MAX(H434,P434),"Weekly",IF(H434&gt;=MAX(L434,P434),"No weekly","SPY"))</x:f>
        <x:v>Weekly</x:v>
      </x:c>
      <x:c r="R434" s="41" t="n">
        <x:f>IFERROR(L434-P434,"")</x:f>
        <x:v>0.25455451438439153</x:v>
      </x:c>
      <x:c r="S434" s="41" t="n">
        <x:f>IFERROR(H434-P434,"")</x:f>
        <x:v>0.23178549743959254</x:v>
      </x:c>
      <x:c r="T434" s="41" t="n">
        <x:f>IFERROR(I434-M434,"")</x:f>
        <x:v>4.9307229999999995</x:v>
      </x:c>
      <x:c r="U434" s="41" t="n">
        <x:f>IFERROR(E434-M434,"")</x:f>
        <x:v>4.656555999999999</x:v>
      </x:c>
      <x:c r="V434" s="41" t="str">
        <x:f>IF(AND(I434&gt;M434,J434&gt;N434),"Sí","No")</x:f>
        <x:v>Sí</x:v>
      </x:c>
      <x:c r="W434" s="41" t="str">
        <x:f>IF(AND(E434&gt;M434,F434&gt;N434),"Sí","No")</x:f>
        <x:v>Sí</x:v>
      </x:c>
      <x:c r="X434" s="41" t="str">
        <x:f>IF(L434&gt;=H434,"Weekly","No weekly")</x:f>
        <x:v>Weekly</x:v>
      </x:c>
      <x:c r="Y434" s="41" t="n">
        <x:f>IFERROR(I434-E434,"")</x:f>
        <x:v>0.27416700000000027</x:v>
      </x:c>
      <x:c r="Z434" s="41" t="n">
        <x:f>IFERROR(J434-F434,"")</x:f>
        <x:v>1.2441139999999962</x:v>
      </x:c>
      <x:c r="AA434" s="41" t="n">
        <x:v>12598</x:v>
      </x:c>
      <x:c r="AB434" s="41" t="n">
        <x:v>6147</x:v>
      </x:c>
    </x:row>
    <x:row r="435">
      <x:c r="A435" s="41" t="str">
        <x:v>HYP_REFINE_AUTO002_TOPN_6_V1_DDGRID_LONGRUN_STRICT_STRICT_NEXT_CLOSE_R11_C22_E80_CR40_REDD_DD7_SL18</x:v>
      </x:c>
      <x:c r="B435" s="41" t="str">
        <x:v>strict_longrun_ddgrid</x:v>
      </x:c>
      <x:c r="C435" s="41" t="str">
        <x:v>1999-01-04</x:v>
      </x:c>
      <x:c r="D435" s="41" t="str">
        <x:v>2026-05-22</x:v>
      </x:c>
      <x:c r="E435" s="41" t="n">
        <x:v>11.836524</x:v>
      </x:c>
      <x:c r="F435" s="41" t="n">
        <x:v>-32.548032</x:v>
      </x:c>
      <x:c r="G435" s="41" t="n">
        <x:v>2038.691599</x:v>
      </x:c>
      <x:c r="H435" s="41" t="n">
        <x:f>IFERROR(E435/ABS(F435),"")</x:f>
        <x:v>0.363663277706007</x:v>
      </x:c>
      <x:c r="I435" s="41" t="n">
        <x:v>11.80859</x:v>
      </x:c>
      <x:c r="J435" s="41" t="n">
        <x:v>-31.792847</x:v>
      </x:c>
      <x:c r="K435" s="41" t="n">
        <x:v>2024.114067</x:v>
      </x:c>
      <x:c r="L435" s="41" t="n">
        <x:f>IFERROR(I435/ABS(J435),"")</x:f>
        <x:v>0.37142285495853833</x:v>
      </x:c>
      <x:c r="M435" s="41" t="n">
        <x:v>6.802475</x:v>
      </x:c>
      <x:c r="N435" s="41" t="n">
        <x:v>-56.473669</x:v>
      </x:c>
      <x:c r="O435" s="41" t="n">
        <x:v>506.057416</x:v>
      </x:c>
      <x:c r="P435" s="41" t="n">
        <x:f>IFERROR(M435/ABS(N435),"")</x:f>
        <x:v>0.12045392340278087</x:v>
      </x:c>
      <x:c r="Q435" s="41" t="str">
        <x:f>IF(L435&gt;=MAX(H435,P435),"Weekly",IF(H435&gt;=MAX(L435,P435),"No weekly","SPY"))</x:f>
        <x:v>Weekly</x:v>
      </x:c>
      <x:c r="R435" s="41" t="n">
        <x:f>IFERROR(L435-P435,"")</x:f>
        <x:v>0.25096893155575745</x:v>
      </x:c>
      <x:c r="S435" s="41" t="n">
        <x:f>IFERROR(H435-P435,"")</x:f>
        <x:v>0.2432093543032261</x:v>
      </x:c>
      <x:c r="T435" s="41" t="n">
        <x:f>IFERROR(I435-M435,"")</x:f>
        <x:v>5.006115</x:v>
      </x:c>
      <x:c r="U435" s="41" t="n">
        <x:f>IFERROR(E435-M435,"")</x:f>
        <x:v>5.034049</x:v>
      </x:c>
      <x:c r="V435" s="41" t="str">
        <x:f>IF(AND(I435&gt;M435,J435&gt;N435),"Sí","No")</x:f>
        <x:v>Sí</x:v>
      </x:c>
      <x:c r="W435" s="41" t="str">
        <x:f>IF(AND(E435&gt;M435,F435&gt;N435),"Sí","No")</x:f>
        <x:v>Sí</x:v>
      </x:c>
      <x:c r="X435" s="41" t="str">
        <x:f>IF(L435&gt;=H435,"Weekly","No weekly")</x:f>
        <x:v>Weekly</x:v>
      </x:c>
      <x:c r="Y435" s="41" t="n">
        <x:f>IFERROR(I435-E435,"")</x:f>
        <x:v>-0.027934000000000125</x:v>
      </x:c>
      <x:c r="Z435" s="41" t="n">
        <x:f>IFERROR(J435-F435,"")</x:f>
        <x:v>0.7551850000000009</x:v>
      </x:c>
      <x:c r="AA435" s="41" t="n">
        <x:v>12543</x:v>
      </x:c>
      <x:c r="AB435" s="41" t="n">
        <x:v>6143</x:v>
      </x:c>
    </x:row>
    <x:row r="436">
      <x:c r="A436" s="41" t="str">
        <x:v>HYP_REFINE_AUTO002_TOPN_6_V1_DDGRID_LONGRUN_STRICT_STRICT_NEXT_CLOSE_R11_C23_E75_CR40_REDD_DD7_SL18</x:v>
      </x:c>
      <x:c r="B436" s="41" t="str">
        <x:v>strict_longrun_ddgrid</x:v>
      </x:c>
      <x:c r="C436" s="41" t="str">
        <x:v>1999-01-04</x:v>
      </x:c>
      <x:c r="D436" s="41" t="str">
        <x:v>2026-05-22</x:v>
      </x:c>
      <x:c r="E436" s="41" t="n">
        <x:v>13.075899</x:v>
      </x:c>
      <x:c r="F436" s="41" t="n">
        <x:v>-32.999952</x:v>
      </x:c>
      <x:c r="G436" s="41" t="n">
        <x:v>2791.960195</x:v>
      </x:c>
      <x:c r="H436" s="41" t="n">
        <x:f>IFERROR(E436/ABS(F436),"")</x:f>
        <x:v>0.3962399399853672</x:v>
      </x:c>
      <x:c r="I436" s="41" t="n">
        <x:v>11.535926</x:v>
      </x:c>
      <x:c r="J436" s="41" t="n">
        <x:v>-31.777609</x:v>
      </x:c>
      <x:c r="K436" s="41" t="n">
        <x:v>1886.761799</x:v>
      </x:c>
      <x:c r="L436" s="41" t="n">
        <x:f>IFERROR(I436/ABS(J436),"")</x:f>
        <x:v>0.3630205784204847</x:v>
      </x:c>
      <x:c r="M436" s="41" t="n">
        <x:v>6.802475</x:v>
      </x:c>
      <x:c r="N436" s="41" t="n">
        <x:v>-56.473669</x:v>
      </x:c>
      <x:c r="O436" s="41" t="n">
        <x:v>506.057416</x:v>
      </x:c>
      <x:c r="P436" s="41" t="n">
        <x:f>IFERROR(M436/ABS(N436),"")</x:f>
        <x:v>0.12045392340278087</x:v>
      </x:c>
      <x:c r="Q436" s="41" t="str">
        <x:f>IF(L436&gt;=MAX(H436,P436),"Weekly",IF(H436&gt;=MAX(L436,P436),"No weekly","SPY"))</x:f>
        <x:v>No weekly</x:v>
      </x:c>
      <x:c r="R436" s="41" t="n">
        <x:f>IFERROR(L436-P436,"")</x:f>
        <x:v>0.2425666550177038</x:v>
      </x:c>
      <x:c r="S436" s="41" t="n">
        <x:f>IFERROR(H436-P436,"")</x:f>
        <x:v>0.27578601658258634</x:v>
      </x:c>
      <x:c r="T436" s="41" t="n">
        <x:f>IFERROR(I436-M436,"")</x:f>
        <x:v>4.733451</x:v>
      </x:c>
      <x:c r="U436" s="41" t="n">
        <x:f>IFERROR(E436-M436,"")</x:f>
        <x:v>6.2734239999999994</x:v>
      </x:c>
      <x:c r="V436" s="41" t="str">
        <x:f>IF(AND(I436&gt;M436,J436&gt;N436),"Sí","No")</x:f>
        <x:v>Sí</x:v>
      </x:c>
      <x:c r="W436" s="41" t="str">
        <x:f>IF(AND(E436&gt;M436,F436&gt;N436),"Sí","No")</x:f>
        <x:v>Sí</x:v>
      </x:c>
      <x:c r="X436" s="41" t="str">
        <x:f>IF(L436&gt;=H436,"Weekly","No weekly")</x:f>
        <x:v>No weekly</x:v>
      </x:c>
      <x:c r="Y436" s="41" t="n">
        <x:f>IFERROR(I436-E436,"")</x:f>
        <x:v>-1.5399729999999998</x:v>
      </x:c>
      <x:c r="Z436" s="41" t="n">
        <x:f>IFERROR(J436-F436,"")</x:f>
        <x:v>1.2223429999999986</x:v>
      </x:c>
      <x:c r="AA436" s="41" t="n">
        <x:v>12765</x:v>
      </x:c>
      <x:c r="AB436" s="41" t="n">
        <x:v>5810</x:v>
      </x:c>
    </x:row>
    <x:row r="437">
      <x:c r="A437" s="41" t="str">
        <x:v>HYP_REFINE_AUTO002_TOPN_6_V1_DDGRID_LONGRUN_STRICT_STRICT_NEXT_CLOSE_R12_C20_E75_CR33_REDD_DD8_SL20</x:v>
      </x:c>
      <x:c r="B437" s="41" t="str">
        <x:v>strict_longrun_ddgrid</x:v>
      </x:c>
      <x:c r="C437" s="41" t="str">
        <x:v>1999-01-04</x:v>
      </x:c>
      <x:c r="D437" s="41" t="str">
        <x:v>2026-05-22</x:v>
      </x:c>
      <x:c r="E437" s="41" t="n">
        <x:v>11.250303</x:v>
      </x:c>
      <x:c r="F437" s="41" t="n">
        <x:v>-30.798169</x:v>
      </x:c>
      <x:c r="G437" s="41" t="n">
        <x:v>1752.072087</x:v>
      </x:c>
      <x:c r="H437" s="41" t="n">
        <x:f>IFERROR(E437/ABS(F437),"")</x:f>
        <x:v>0.3652912937778866</x:v>
      </x:c>
      <x:c r="I437" s="41" t="n">
        <x:v>9.658997</x:v>
      </x:c>
      <x:c r="J437" s="41" t="n">
        <x:v>-28.924977</x:v>
      </x:c>
      <x:c r="K437" s="41" t="n">
        <x:v>1148.395996</x:v>
      </x:c>
      <x:c r="L437" s="41" t="n">
        <x:f>IFERROR(I437/ABS(J437),"")</x:f>
        <x:v>0.33393274608308243</x:v>
      </x:c>
      <x:c r="M437" s="41" t="n">
        <x:v>6.802475</x:v>
      </x:c>
      <x:c r="N437" s="41" t="n">
        <x:v>-56.473669</x:v>
      </x:c>
      <x:c r="O437" s="41" t="n">
        <x:v>506.057416</x:v>
      </x:c>
      <x:c r="P437" s="41" t="n">
        <x:f>IFERROR(M437/ABS(N437),"")</x:f>
        <x:v>0.12045392340278087</x:v>
      </x:c>
      <x:c r="Q437" s="41" t="str">
        <x:f>IF(L437&gt;=MAX(H437,P437),"Weekly",IF(H437&gt;=MAX(L437,P437),"No weekly","SPY"))</x:f>
        <x:v>No weekly</x:v>
      </x:c>
      <x:c r="R437" s="41" t="n">
        <x:f>IFERROR(L437-P437,"")</x:f>
        <x:v>0.21347882268030155</x:v>
      </x:c>
      <x:c r="S437" s="41" t="n">
        <x:f>IFERROR(H437-P437,"")</x:f>
        <x:v>0.24483737037510572</x:v>
      </x:c>
      <x:c r="T437" s="41" t="n">
        <x:f>IFERROR(I437-M437,"")</x:f>
        <x:v>2.856521999999999</x:v>
      </x:c>
      <x:c r="U437" s="41" t="n">
        <x:f>IFERROR(E437-M437,"")</x:f>
        <x:v>4.447828</x:v>
      </x:c>
      <x:c r="V437" s="41" t="str">
        <x:f>IF(AND(I437&gt;M437,J437&gt;N437),"Sí","No")</x:f>
        <x:v>Sí</x:v>
      </x:c>
      <x:c r="W437" s="41" t="str">
        <x:f>IF(AND(E437&gt;M437,F437&gt;N437),"Sí","No")</x:f>
        <x:v>Sí</x:v>
      </x:c>
      <x:c r="X437" s="41" t="str">
        <x:f>IF(L437&gt;=H437,"Weekly","No weekly")</x:f>
        <x:v>No weekly</x:v>
      </x:c>
      <x:c r="Y437" s="41" t="n">
        <x:f>IFERROR(I437-E437,"")</x:f>
        <x:v>-1.5913060000000012</x:v>
      </x:c>
      <x:c r="Z437" s="41" t="n">
        <x:f>IFERROR(J437-F437,"")</x:f>
        <x:v>1.873192000000003</x:v>
      </x:c>
      <x:c r="AA437" s="41" t="n">
        <x:v>13148</x:v>
      </x:c>
      <x:c r="AB437" s="41" t="n">
        <x:v>6087</x:v>
      </x:c>
    </x:row>
    <x:row r="438">
      <x:c r="A438" s="41" t="str">
        <x:v>HYP_REFINE_AUTO002_TOPN_6_V1_DDGRID_LONGRUN_STRICT_STRICT_NEXT_CLOSE_R12_C21_E70_CR33_REDD_DD8_SL20</x:v>
      </x:c>
      <x:c r="B438" s="41" t="str">
        <x:v>strict_longrun_ddgrid</x:v>
      </x:c>
      <x:c r="C438" s="41" t="str">
        <x:v>1999-01-04</x:v>
      </x:c>
      <x:c r="D438" s="41" t="str">
        <x:v>2026-05-22</x:v>
      </x:c>
      <x:c r="E438" s="41" t="n">
        <x:v>11.872616</x:v>
      </x:c>
      <x:c r="F438" s="41" t="n">
        <x:v>-32.479162</x:v>
      </x:c>
      <x:c r="G438" s="41" t="n">
        <x:v>2057.66881</x:v>
      </x:c>
      <x:c r="H438" s="41" t="n">
        <x:f>IFERROR(E438/ABS(F438),"")</x:f>
        <x:v>0.36554563815408786</x:v>
      </x:c>
      <x:c r="I438" s="41" t="n">
        <x:v>12.279402</x:v>
      </x:c>
      <x:c r="J438" s="41" t="n">
        <x:v>-28.41006</x:v>
      </x:c>
      <x:c r="K438" s="41" t="n">
        <x:v>2283.095571</x:v>
      </x:c>
      <x:c r="L438" s="41" t="n">
        <x:f>IFERROR(I438/ABS(J438),"")</x:f>
        <x:v>0.4322202065043157</x:v>
      </x:c>
      <x:c r="M438" s="41" t="n">
        <x:v>6.802475</x:v>
      </x:c>
      <x:c r="N438" s="41" t="n">
        <x:v>-56.473669</x:v>
      </x:c>
      <x:c r="O438" s="41" t="n">
        <x:v>506.057416</x:v>
      </x:c>
      <x:c r="P438" s="41" t="n">
        <x:f>IFERROR(M438/ABS(N438),"")</x:f>
        <x:v>0.12045392340278087</x:v>
      </x:c>
      <x:c r="Q438" s="41" t="str">
        <x:f>IF(L438&gt;=MAX(H438,P438),"Weekly",IF(H438&gt;=MAX(L438,P438),"No weekly","SPY"))</x:f>
        <x:v>Weekly</x:v>
      </x:c>
      <x:c r="R438" s="41" t="n">
        <x:f>IFERROR(L438-P438,"")</x:f>
        <x:v>0.3117662831015348</x:v>
      </x:c>
      <x:c r="S438" s="41" t="n">
        <x:f>IFERROR(H438-P438,"")</x:f>
        <x:v>0.24509171475130698</x:v>
      </x:c>
      <x:c r="T438" s="41" t="n">
        <x:f>IFERROR(I438-M438,"")</x:f>
        <x:v>5.476926999999999</x:v>
      </x:c>
      <x:c r="U438" s="41" t="n">
        <x:f>IFERROR(E438-M438,"")</x:f>
        <x:v>5.0701410000000005</x:v>
      </x:c>
      <x:c r="V438" s="41" t="str">
        <x:f>IF(AND(I438&gt;M438,J438&gt;N438),"Sí","No")</x:f>
        <x:v>Sí</x:v>
      </x:c>
      <x:c r="W438" s="41" t="str">
        <x:f>IF(AND(E438&gt;M438,F438&gt;N438),"Sí","No")</x:f>
        <x:v>Sí</x:v>
      </x:c>
      <x:c r="X438" s="41" t="str">
        <x:f>IF(L438&gt;=H438,"Weekly","No weekly")</x:f>
        <x:v>Weekly</x:v>
      </x:c>
      <x:c r="Y438" s="41" t="n">
        <x:f>IFERROR(I438-E438,"")</x:f>
        <x:v>0.40678599999999854</x:v>
      </x:c>
      <x:c r="Z438" s="41" t="n">
        <x:f>IFERROR(J438-F438,"")</x:f>
        <x:v>4.069102000000001</x:v>
      </x:c>
      <x:c r="AA438" s="41" t="n">
        <x:v>12366</x:v>
      </x:c>
      <x:c r="AB438" s="41" t="n">
        <x:v>6189</x:v>
      </x:c>
    </x:row>
    <x:row r="439">
      <x:c r="A439" s="41" t="str">
        <x:v>HYP_REFINE_AUTO002_TOPN_6_V1_DDGRID_LONGRUN_STRICT_STRICT_NEXT_CLOSE_R12_C21_E72_CR30_REDD_DD8_SL20</x:v>
      </x:c>
      <x:c r="B439" s="41" t="str">
        <x:v>strict_longrun_ddgrid</x:v>
      </x:c>
      <x:c r="C439" s="41" t="str">
        <x:v>1999-01-04</x:v>
      </x:c>
      <x:c r="D439" s="41" t="str">
        <x:v>2026-05-22</x:v>
      </x:c>
      <x:c r="E439" s="41" t="n">
        <x:v>11.223021</x:v>
      </x:c>
      <x:c r="F439" s="41" t="n">
        <x:v>-31.955522</x:v>
      </x:c>
      <x:c r="G439" s="41" t="n">
        <x:v>1739.677326</x:v>
      </x:c>
      <x:c r="H439" s="41" t="n">
        <x:f>IFERROR(E439/ABS(F439),"")</x:f>
        <x:v>0.3512075628118358</x:v>
      </x:c>
      <x:c r="I439" s="41" t="n">
        <x:v>10.786261</x:v>
      </x:c>
      <x:c r="J439" s="41" t="n">
        <x:v>-27.754083</x:v>
      </x:c>
      <x:c r="K439" s="41" t="n">
        <x:v>1551.801019</x:v>
      </x:c>
      <x:c r="L439" s="41" t="n">
        <x:f>IFERROR(I439/ABS(J439),"")</x:f>
        <x:v>0.3886369079461209</x:v>
      </x:c>
      <x:c r="M439" s="41" t="n">
        <x:v>6.802475</x:v>
      </x:c>
      <x:c r="N439" s="41" t="n">
        <x:v>-56.473669</x:v>
      </x:c>
      <x:c r="O439" s="41" t="n">
        <x:v>506.057416</x:v>
      </x:c>
      <x:c r="P439" s="41" t="n">
        <x:f>IFERROR(M439/ABS(N439),"")</x:f>
        <x:v>0.12045392340278087</x:v>
      </x:c>
      <x:c r="Q439" s="41" t="str">
        <x:f>IF(L439&gt;=MAX(H439,P439),"Weekly",IF(H439&gt;=MAX(L439,P439),"No weekly","SPY"))</x:f>
        <x:v>Weekly</x:v>
      </x:c>
      <x:c r="R439" s="41" t="n">
        <x:f>IFERROR(L439-P439,"")</x:f>
        <x:v>0.26818298454334</x:v>
      </x:c>
      <x:c r="S439" s="41" t="n">
        <x:f>IFERROR(H439-P439,"")</x:f>
        <x:v>0.2307536394090549</x:v>
      </x:c>
      <x:c r="T439" s="41" t="n">
        <x:f>IFERROR(I439-M439,"")</x:f>
        <x:v>3.9837859999999994</x:v>
      </x:c>
      <x:c r="U439" s="41" t="n">
        <x:f>IFERROR(E439-M439,"")</x:f>
        <x:v>4.420545999999999</x:v>
      </x:c>
      <x:c r="V439" s="41" t="str">
        <x:f>IF(AND(I439&gt;M439,J439&gt;N439),"Sí","No")</x:f>
        <x:v>Sí</x:v>
      </x:c>
      <x:c r="W439" s="41" t="str">
        <x:f>IF(AND(E439&gt;M439,F439&gt;N439),"Sí","No")</x:f>
        <x:v>Sí</x:v>
      </x:c>
      <x:c r="X439" s="41" t="str">
        <x:f>IF(L439&gt;=H439,"Weekly","No weekly")</x:f>
        <x:v>Weekly</x:v>
      </x:c>
      <x:c r="Y439" s="41" t="n">
        <x:f>IFERROR(I439-E439,"")</x:f>
        <x:v>-0.4367599999999996</x:v>
      </x:c>
      <x:c r="Z439" s="41" t="n">
        <x:f>IFERROR(J439-F439,"")</x:f>
        <x:v>4.201438999999997</x:v>
      </x:c>
      <x:c r="AA439" s="41" t="n">
        <x:v>12702</x:v>
      </x:c>
      <x:c r="AB439" s="41" t="n">
        <x:v>6314</x:v>
      </x:c>
    </x:row>
    <x:row r="440">
      <x:c r="A440" s="41" t="str">
        <x:v>HYP_REFINE_AUTO002_TOPN_6_V1_DDGRID_LONGRUN_STRICT_STRICT_NEXT_CLOSE_R12_C21_E72_CR33_REDD_DD8_SL20</x:v>
      </x:c>
      <x:c r="B440" s="41" t="str">
        <x:v>strict_longrun_ddgrid</x:v>
      </x:c>
      <x:c r="C440" s="41" t="str">
        <x:v>1999-01-04</x:v>
      </x:c>
      <x:c r="D440" s="41" t="str">
        <x:v>2026-05-22</x:v>
      </x:c>
      <x:c r="E440" s="41" t="n">
        <x:v>11.79155</x:v>
      </x:c>
      <x:c r="F440" s="41" t="n">
        <x:v>-32.555451</x:v>
      </x:c>
      <x:c r="G440" s="41" t="n">
        <x:v>2015.26904</x:v>
      </x:c>
      <x:c r="H440" s="41" t="n">
        <x:f>IFERROR(E440/ABS(F440),"")</x:f>
        <x:v>0.3621989448095805</x:v>
      </x:c>
      <x:c r="I440" s="41" t="n">
        <x:v>11.712275</x:v>
      </x:c>
      <x:c r="J440" s="41" t="n">
        <x:v>-27.867632</x:v>
      </x:c>
      <x:c r="K440" s="41" t="n">
        <x:v>1974.582772</x:v>
      </x:c>
      <x:c r="L440" s="41" t="n">
        <x:f>IFERROR(I440/ABS(J440),"")</x:f>
        <x:v>0.4202823906961309</x:v>
      </x:c>
      <x:c r="M440" s="41" t="n">
        <x:v>6.802475</x:v>
      </x:c>
      <x:c r="N440" s="41" t="n">
        <x:v>-56.473669</x:v>
      </x:c>
      <x:c r="O440" s="41" t="n">
        <x:v>506.057416</x:v>
      </x:c>
      <x:c r="P440" s="41" t="n">
        <x:f>IFERROR(M440/ABS(N440),"")</x:f>
        <x:v>0.12045392340278087</x:v>
      </x:c>
      <x:c r="Q440" s="41" t="str">
        <x:f>IF(L440&gt;=MAX(H440,P440),"Weekly",IF(H440&gt;=MAX(L440,P440),"No weekly","SPY"))</x:f>
        <x:v>Weekly</x:v>
      </x:c>
      <x:c r="R440" s="41" t="n">
        <x:f>IFERROR(L440-P440,"")</x:f>
        <x:v>0.29982846729335</x:v>
      </x:c>
      <x:c r="S440" s="41" t="n">
        <x:f>IFERROR(H440-P440,"")</x:f>
        <x:v>0.2417450214067996</x:v>
      </x:c>
      <x:c r="T440" s="41" t="n">
        <x:f>IFERROR(I440-M440,"")</x:f>
        <x:v>4.9098</x:v>
      </x:c>
      <x:c r="U440" s="41" t="n">
        <x:f>IFERROR(E440-M440,"")</x:f>
        <x:v>4.989075000000001</x:v>
      </x:c>
      <x:c r="V440" s="41" t="str">
        <x:f>IF(AND(I440&gt;M440,J440&gt;N440),"Sí","No")</x:f>
        <x:v>Sí</x:v>
      </x:c>
      <x:c r="W440" s="41" t="str">
        <x:f>IF(AND(E440&gt;M440,F440&gt;N440),"Sí","No")</x:f>
        <x:v>Sí</x:v>
      </x:c>
      <x:c r="X440" s="41" t="str">
        <x:f>IF(L440&gt;=H440,"Weekly","No weekly")</x:f>
        <x:v>Weekly</x:v>
      </x:c>
      <x:c r="Y440" s="41" t="n">
        <x:f>IFERROR(I440-E440,"")</x:f>
        <x:v>-0.07927500000000087</x:v>
      </x:c>
      <x:c r="Z440" s="41" t="n">
        <x:f>IFERROR(J440-F440,"")</x:f>
        <x:v>4.6878189999999975</x:v>
      </x:c>
      <x:c r="AA440" s="41" t="n">
        <x:v>12562</x:v>
      </x:c>
      <x:c r="AB440" s="41" t="n">
        <x:v>6057</x:v>
      </x:c>
    </x:row>
    <x:row r="441">
      <x:c r="A441" s="41" t="str">
        <x:v>HYP_REFINE_AUTO002_TOPN_6_V1_DDGRID_LONGRUN_STRICT_STRICT_NEXT_CLOSE_R12_C21_E72_CR36_REDD_DD8_SL20</x:v>
      </x:c>
      <x:c r="B441" s="41" t="str">
        <x:v>strict_longrun_ddgrid</x:v>
      </x:c>
      <x:c r="C441" s="41" t="str">
        <x:v>1999-01-04</x:v>
      </x:c>
      <x:c r="D441" s="41" t="str">
        <x:v>2026-05-22</x:v>
      </x:c>
      <x:c r="E441" s="41" t="n">
        <x:v>12.293094</x:v>
      </x:c>
      <x:c r="F441" s="41" t="n">
        <x:v>-33.154006</x:v>
      </x:c>
      <x:c r="G441" s="41" t="n">
        <x:v>2291.064543</x:v>
      </x:c>
      <x:c r="H441" s="41" t="n">
        <x:f>IFERROR(E441/ABS(F441),"")</x:f>
        <x:v>0.3707875904950973</x:v>
      </x:c>
      <x:c r="I441" s="41" t="n">
        <x:v>12.296165</x:v>
      </x:c>
      <x:c r="J441" s="41" t="n">
        <x:v>-28.330111</x:v>
      </x:c>
      <x:c r="K441" s="41" t="n">
        <x:v>2292.85588</x:v>
      </x:c>
      <x:c r="L441" s="41" t="n">
        <x:f>IFERROR(I441/ABS(J441),"")</x:f>
        <x:v>0.4340316562826034</x:v>
      </x:c>
      <x:c r="M441" s="41" t="n">
        <x:v>6.802475</x:v>
      </x:c>
      <x:c r="N441" s="41" t="n">
        <x:v>-56.473669</x:v>
      </x:c>
      <x:c r="O441" s="41" t="n">
        <x:v>506.057416</x:v>
      </x:c>
      <x:c r="P441" s="41" t="n">
        <x:f>IFERROR(M441/ABS(N441),"")</x:f>
        <x:v>0.12045392340278087</x:v>
      </x:c>
      <x:c r="Q441" s="41" t="str">
        <x:f>IF(L441&gt;=MAX(H441,P441),"Weekly",IF(H441&gt;=MAX(L441,P441),"No weekly","SPY"))</x:f>
        <x:v>Weekly</x:v>
      </x:c>
      <x:c r="R441" s="41" t="n">
        <x:f>IFERROR(L441-P441,"")</x:f>
        <x:v>0.3135777328798225</x:v>
      </x:c>
      <x:c r="S441" s="41" t="n">
        <x:f>IFERROR(H441-P441,"")</x:f>
        <x:v>0.2503336670923164</x:v>
      </x:c>
      <x:c r="T441" s="41" t="n">
        <x:f>IFERROR(I441-M441,"")</x:f>
        <x:v>5.49369</x:v>
      </x:c>
      <x:c r="U441" s="41" t="n">
        <x:f>IFERROR(E441-M441,"")</x:f>
        <x:v>5.490619</x:v>
      </x:c>
      <x:c r="V441" s="41" t="str">
        <x:f>IF(AND(I441&gt;M441,J441&gt;N441),"Sí","No")</x:f>
        <x:v>Sí</x:v>
      </x:c>
      <x:c r="W441" s="41" t="str">
        <x:f>IF(AND(E441&gt;M441,F441&gt;N441),"Sí","No")</x:f>
        <x:v>Sí</x:v>
      </x:c>
      <x:c r="X441" s="41" t="str">
        <x:f>IF(L441&gt;=H441,"Weekly","No weekly")</x:f>
        <x:v>Weekly</x:v>
      </x:c>
      <x:c r="Y441" s="41" t="n">
        <x:f>IFERROR(I441-E441,"")</x:f>
        <x:v>0.003071000000000268</x:v>
      </x:c>
      <x:c r="Z441" s="41" t="n">
        <x:f>IFERROR(J441-F441,"")</x:f>
        <x:v>4.823895000000004</x:v>
      </x:c>
      <x:c r="AA441" s="41" t="n">
        <x:v>11992</x:v>
      </x:c>
      <x:c r="AB441" s="41" t="n">
        <x:v>5996</x:v>
      </x:c>
    </x:row>
    <x:row r="442">
      <x:c r="A442" s="41" t="str">
        <x:v>HYP_REFINE_AUTO002_TOPN_6_V1_DDGRID_LONGRUN_STRICT_STRICT_NEXT_CLOSE_R12_C21_E75_CR30_REDD_DD8_SL20</x:v>
      </x:c>
      <x:c r="B442" s="41" t="str">
        <x:v>strict_longrun_ddgrid</x:v>
      </x:c>
      <x:c r="C442" s="41" t="str">
        <x:v>1999-01-04</x:v>
      </x:c>
      <x:c r="D442" s="41" t="str">
        <x:v>2026-05-22</x:v>
      </x:c>
      <x:c r="E442" s="41" t="n">
        <x:v>11.491572</x:v>
      </x:c>
      <x:c r="F442" s="41" t="n">
        <x:v>-32.077878</x:v>
      </x:c>
      <x:c r="G442" s="41" t="n">
        <x:v>1865.244221</x:v>
      </x:c>
      <x:c r="H442" s="41" t="n">
        <x:f>IFERROR(E442/ABS(F442),"")</x:f>
        <x:v>0.3582397813221935</x:v>
      </x:c>
      <x:c r="I442" s="41" t="n">
        <x:v>11.611606</x:v>
      </x:c>
      <x:c r="J442" s="41" t="n">
        <x:v>-27.61317</x:v>
      </x:c>
      <x:c r="K442" s="41" t="n">
        <x:v>1924.002566</x:v>
      </x:c>
      <x:c r="L442" s="41" t="n">
        <x:f>IFERROR(I442/ABS(J442),"")</x:f>
        <x:v>0.4205097060569286</x:v>
      </x:c>
      <x:c r="M442" s="41" t="n">
        <x:v>6.802475</x:v>
      </x:c>
      <x:c r="N442" s="41" t="n">
        <x:v>-56.473669</x:v>
      </x:c>
      <x:c r="O442" s="41" t="n">
        <x:v>506.057416</x:v>
      </x:c>
      <x:c r="P442" s="41" t="n">
        <x:f>IFERROR(M442/ABS(N442),"")</x:f>
        <x:v>0.12045392340278087</x:v>
      </x:c>
      <x:c r="Q442" s="41" t="str">
        <x:f>IF(L442&gt;=MAX(H442,P442),"Weekly",IF(H442&gt;=MAX(L442,P442),"No weekly","SPY"))</x:f>
        <x:v>Weekly</x:v>
      </x:c>
      <x:c r="R442" s="41" t="n">
        <x:f>IFERROR(L442-P442,"")</x:f>
        <x:v>0.30005578265414773</x:v>
      </x:c>
      <x:c r="S442" s="41" t="n">
        <x:f>IFERROR(H442-P442,"")</x:f>
        <x:v>0.2377858579194126</x:v>
      </x:c>
      <x:c r="T442" s="41" t="n">
        <x:f>IFERROR(I442-M442,"")</x:f>
        <x:v>4.809131</x:v>
      </x:c>
      <x:c r="U442" s="41" t="n">
        <x:f>IFERROR(E442-M442,"")</x:f>
        <x:v>4.689096999999999</x:v>
      </x:c>
      <x:c r="V442" s="41" t="str">
        <x:f>IF(AND(I442&gt;M442,J442&gt;N442),"Sí","No")</x:f>
        <x:v>Sí</x:v>
      </x:c>
      <x:c r="W442" s="41" t="str">
        <x:f>IF(AND(E442&gt;M442,F442&gt;N442),"Sí","No")</x:f>
        <x:v>Sí</x:v>
      </x:c>
      <x:c r="X442" s="41" t="str">
        <x:f>IF(L442&gt;=H442,"Weekly","No weekly")</x:f>
        <x:v>Weekly</x:v>
      </x:c>
      <x:c r="Y442" s="41" t="n">
        <x:f>IFERROR(I442-E442,"")</x:f>
        <x:v>0.12003400000000042</x:v>
      </x:c>
      <x:c r="Z442" s="41" t="n">
        <x:f>IFERROR(J442-F442,"")</x:f>
        <x:v>4.464707999999998</x:v>
      </x:c>
      <x:c r="AA442" s="41" t="n">
        <x:v>12253</x:v>
      </x:c>
      <x:c r="AB442" s="41" t="n">
        <x:v>5904</x:v>
      </x:c>
    </x:row>
    <x:row r="443">
      <x:c r="A443" s="41" t="str">
        <x:v>HYP_REFINE_AUTO002_TOPN_6_V1_DDGRID_LONGRUN_STRICT_STRICT_NEXT_CLOSE_R12_C21_E75_CR33_REDD_DD7_SL20</x:v>
      </x:c>
      <x:c r="B443" s="41" t="str">
        <x:v>strict_longrun_ddgrid</x:v>
      </x:c>
      <x:c r="C443" s="41" t="str">
        <x:v>1999-01-04</x:v>
      </x:c>
      <x:c r="D443" s="41" t="str">
        <x:v>2026-05-22</x:v>
      </x:c>
      <x:c r="E443" s="41" t="n">
        <x:v>11.536454</x:v>
      </x:c>
      <x:c r="F443" s="41" t="n">
        <x:v>-31.49152</x:v>
      </x:c>
      <x:c r="G443" s="41" t="n">
        <x:v>1887.019641</x:v>
      </x:c>
      <x:c r="H443" s="41" t="n">
        <x:f>IFERROR(E443/ABS(F443),"")</x:f>
        <x:v>0.3663352546971375</x:v>
      </x:c>
      <x:c r="I443" s="41" t="n">
        <x:v>10.773227</x:v>
      </x:c>
      <x:c r="J443" s="41" t="n">
        <x:v>-28.183785</x:v>
      </x:c>
      <x:c r="K443" s="41" t="n">
        <x:v>1546.488448</x:v>
      </x:c>
      <x:c r="L443" s="41" t="n">
        <x:f>IFERROR(I443/ABS(J443),"")</x:f>
        <x:v>0.38224911948483853</x:v>
      </x:c>
      <x:c r="M443" s="41" t="n">
        <x:v>6.802475</x:v>
      </x:c>
      <x:c r="N443" s="41" t="n">
        <x:v>-56.473669</x:v>
      </x:c>
      <x:c r="O443" s="41" t="n">
        <x:v>506.057416</x:v>
      </x:c>
      <x:c r="P443" s="41" t="n">
        <x:f>IFERROR(M443/ABS(N443),"")</x:f>
        <x:v>0.12045392340278087</x:v>
      </x:c>
      <x:c r="Q443" s="41" t="str">
        <x:f>IF(L443&gt;=MAX(H443,P443),"Weekly",IF(H443&gt;=MAX(L443,P443),"No weekly","SPY"))</x:f>
        <x:v>Weekly</x:v>
      </x:c>
      <x:c r="R443" s="41" t="n">
        <x:f>IFERROR(L443-P443,"")</x:f>
        <x:v>0.26179519608205765</x:v>
      </x:c>
      <x:c r="S443" s="41" t="n">
        <x:f>IFERROR(H443-P443,"")</x:f>
        <x:v>0.24588133129435663</x:v>
      </x:c>
      <x:c r="T443" s="41" t="n">
        <x:f>IFERROR(I443-M443,"")</x:f>
        <x:v>3.970752</x:v>
      </x:c>
      <x:c r="U443" s="41" t="n">
        <x:f>IFERROR(E443-M443,"")</x:f>
        <x:v>4.733979000000001</x:v>
      </x:c>
      <x:c r="V443" s="41" t="str">
        <x:f>IF(AND(I443&gt;M443,J443&gt;N443),"Sí","No")</x:f>
        <x:v>Sí</x:v>
      </x:c>
      <x:c r="W443" s="41" t="str">
        <x:f>IF(AND(E443&gt;M443,F443&gt;N443),"Sí","No")</x:f>
        <x:v>Sí</x:v>
      </x:c>
      <x:c r="X443" s="41" t="str">
        <x:f>IF(L443&gt;=H443,"Weekly","No weekly")</x:f>
        <x:v>Weekly</x:v>
      </x:c>
      <x:c r="Y443" s="41" t="n">
        <x:f>IFERROR(I443-E443,"")</x:f>
        <x:v>-0.7632270000000005</x:v>
      </x:c>
      <x:c r="Z443" s="41" t="n">
        <x:f>IFERROR(J443-F443,"")</x:f>
        <x:v>3.307735000000001</x:v>
      </x:c>
      <x:c r="AA443" s="41" t="n">
        <x:v>12498</x:v>
      </x:c>
      <x:c r="AB443" s="41" t="n">
        <x:v>6414</x:v>
      </x:c>
    </x:row>
    <x:row r="444">
      <x:c r="A444" s="41" t="str">
        <x:v>HYP_REFINE_AUTO002_TOPN_6_V1_DDGRID_LONGRUN_STRICT_STRICT_NEXT_CLOSE_R12_C21_E75_CR33_REDD_DD8_SL18</x:v>
      </x:c>
      <x:c r="B444" s="41" t="str">
        <x:v>strict_longrun_ddgrid</x:v>
      </x:c>
      <x:c r="C444" s="41" t="str">
        <x:v>1999-01-04</x:v>
      </x:c>
      <x:c r="D444" s="41" t="str">
        <x:v>2026-05-22</x:v>
      </x:c>
      <x:c r="E444" s="41" t="n">
        <x:v>11.395214</x:v>
      </x:c>
      <x:c r="F444" s="41" t="n">
        <x:v>-32.359299</x:v>
      </x:c>
      <x:c r="G444" s="41" t="n">
        <x:v>1819.2685</x:v>
      </x:c>
      <x:c r="H444" s="41" t="n">
        <x:f>IFERROR(E444/ABS(F444),"")</x:f>
        <x:v>0.35214650354446797</x:v>
      </x:c>
      <x:c r="I444" s="41" t="n">
        <x:v>9.511161</x:v>
      </x:c>
      <x:c r="J444" s="41" t="n">
        <x:v>-29.02238</x:v>
      </x:c>
      <x:c r="K444" s="41" t="n">
        <x:v>1103.127605</x:v>
      </x:c>
      <x:c r="L444" s="41" t="n">
        <x:f>IFERROR(I444/ABS(J444),"")</x:f>
        <x:v>0.32771816095027356</x:v>
      </x:c>
      <x:c r="M444" s="41" t="n">
        <x:v>6.802475</x:v>
      </x:c>
      <x:c r="N444" s="41" t="n">
        <x:v>-56.473669</x:v>
      </x:c>
      <x:c r="O444" s="41" t="n">
        <x:v>506.057416</x:v>
      </x:c>
      <x:c r="P444" s="41" t="n">
        <x:f>IFERROR(M444/ABS(N444),"")</x:f>
        <x:v>0.12045392340278087</x:v>
      </x:c>
      <x:c r="Q444" s="41" t="str">
        <x:f>IF(L444&gt;=MAX(H444,P444),"Weekly",IF(H444&gt;=MAX(L444,P444),"No weekly","SPY"))</x:f>
        <x:v>No weekly</x:v>
      </x:c>
      <x:c r="R444" s="41" t="n">
        <x:f>IFERROR(L444-P444,"")</x:f>
        <x:v>0.20726423754749268</x:v>
      </x:c>
      <x:c r="S444" s="41" t="n">
        <x:f>IFERROR(H444-P444,"")</x:f>
        <x:v>0.2316925801416871</x:v>
      </x:c>
      <x:c r="T444" s="41" t="n">
        <x:f>IFERROR(I444-M444,"")</x:f>
        <x:v>2.7086859999999993</x:v>
      </x:c>
      <x:c r="U444" s="41" t="n">
        <x:f>IFERROR(E444-M444,"")</x:f>
        <x:v>4.592738999999999</x:v>
      </x:c>
      <x:c r="V444" s="41" t="str">
        <x:f>IF(AND(I444&gt;M444,J444&gt;N444),"Sí","No")</x:f>
        <x:v>Sí</x:v>
      </x:c>
      <x:c r="W444" s="41" t="str">
        <x:f>IF(AND(E444&gt;M444,F444&gt;N444),"Sí","No")</x:f>
        <x:v>Sí</x:v>
      </x:c>
      <x:c r="X444" s="41" t="str">
        <x:f>IF(L444&gt;=H444,"Weekly","No weekly")</x:f>
        <x:v>No weekly</x:v>
      </x:c>
      <x:c r="Y444" s="41" t="n">
        <x:f>IFERROR(I444-E444,"")</x:f>
        <x:v>-1.8840529999999998</x:v>
      </x:c>
      <x:c r="Z444" s="41" t="n">
        <x:f>IFERROR(J444-F444,"")</x:f>
        <x:v>3.3369190000000017</x:v>
      </x:c>
      <x:c r="AA444" s="41" t="n">
        <x:v>12856</x:v>
      </x:c>
      <x:c r="AB444" s="41" t="n">
        <x:v>6401</x:v>
      </x:c>
    </x:row>
    <x:row r="445">
      <x:c r="A445" s="41" t="str">
        <x:v>HYP_REFINE_AUTO002_TOPN_6_V1_DDGRID_LONGRUN_STRICT_STRICT_NEXT_CLOSE_R12_C21_E75_CR33_REDD_DD8_SL20</x:v>
      </x:c>
      <x:c r="B445" s="41" t="str">
        <x:v>strict_longrun_ddgrid</x:v>
      </x:c>
      <x:c r="C445" s="41" t="str">
        <x:v>1999-01-04</x:v>
      </x:c>
      <x:c r="D445" s="41" t="str">
        <x:v>2026-05-22</x:v>
      </x:c>
      <x:c r="E445" s="41" t="n">
        <x:v>11.611157</x:v>
      </x:c>
      <x:c r="F445" s="41" t="n">
        <x:v>-32.676707</x:v>
      </x:c>
      <x:c r="G445" s="41" t="n">
        <x:v>1923.779321</x:v>
      </x:c>
      <x:c r="H445" s="41" t="n">
        <x:f>IFERROR(E445/ABS(F445),"")</x:f>
        <x:v>0.35533436707682936</x:v>
      </x:c>
      <x:c r="I445" s="41" t="n">
        <x:v>10.492297</x:v>
      </x:c>
      <x:c r="J445" s="41" t="n">
        <x:v>-28.183785</x:v>
      </x:c>
      <x:c r="K445" s="41" t="n">
        <x:v>1435.909146</x:v>
      </x:c>
      <x:c r="L445" s="41" t="n">
        <x:f>IFERROR(I445/ABS(J445),"")</x:f>
        <x:v>0.3722813312690258</x:v>
      </x:c>
      <x:c r="M445" s="41" t="n">
        <x:v>6.802475</x:v>
      </x:c>
      <x:c r="N445" s="41" t="n">
        <x:v>-56.473669</x:v>
      </x:c>
      <x:c r="O445" s="41" t="n">
        <x:v>506.057416</x:v>
      </x:c>
      <x:c r="P445" s="41" t="n">
        <x:f>IFERROR(M445/ABS(N445),"")</x:f>
        <x:v>0.12045392340278087</x:v>
      </x:c>
      <x:c r="Q445" s="41" t="str">
        <x:f>IF(L445&gt;=MAX(H445,P445),"Weekly",IF(H445&gt;=MAX(L445,P445),"No weekly","SPY"))</x:f>
        <x:v>Weekly</x:v>
      </x:c>
      <x:c r="R445" s="41" t="n">
        <x:f>IFERROR(L445-P445,"")</x:f>
        <x:v>0.2518274078662449</x:v>
      </x:c>
      <x:c r="S445" s="41" t="n">
        <x:f>IFERROR(H445-P445,"")</x:f>
        <x:v>0.23488044367404848</x:v>
      </x:c>
      <x:c r="T445" s="41" t="n">
        <x:f>IFERROR(I445-M445,"")</x:f>
        <x:v>3.6898220000000004</x:v>
      </x:c>
      <x:c r="U445" s="41" t="n">
        <x:f>IFERROR(E445-M445,"")</x:f>
        <x:v>4.808682</x:v>
      </x:c>
      <x:c r="V445" s="41" t="str">
        <x:f>IF(AND(I445&gt;M445,J445&gt;N445),"Sí","No")</x:f>
        <x:v>Sí</x:v>
      </x:c>
      <x:c r="W445" s="41" t="str">
        <x:f>IF(AND(E445&gt;M445,F445&gt;N445),"Sí","No")</x:f>
        <x:v>Sí</x:v>
      </x:c>
      <x:c r="X445" s="41" t="str">
        <x:f>IF(L445&gt;=H445,"Weekly","No weekly")</x:f>
        <x:v>Weekly</x:v>
      </x:c>
      <x:c r="Y445" s="41" t="n">
        <x:f>IFERROR(I445-E445,"")</x:f>
        <x:v>-1.1188599999999997</x:v>
      </x:c>
      <x:c r="Z445" s="41" t="n">
        <x:f>IFERROR(J445-F445,"")</x:f>
        <x:v>4.492922</x:v>
      </x:c>
      <x:c r="AA445" s="41" t="n">
        <x:v>12454</x:v>
      </x:c>
      <x:c r="AB445" s="41" t="n">
        <x:v>6405</x:v>
      </x:c>
    </x:row>
    <x:row r="446">
      <x:c r="A446" s="41" t="str">
        <x:v>HYP_REFINE_AUTO002_TOPN_6_V1_DDGRID_LONGRUN_STRICT_STRICT_NEXT_CLOSE_R12_C21_E75_CR33_REDD_DD8_SL22</x:v>
      </x:c>
      <x:c r="B446" s="41" t="str">
        <x:v>strict_longrun_ddgrid</x:v>
      </x:c>
      <x:c r="C446" s="41" t="str">
        <x:v>1999-01-04</x:v>
      </x:c>
      <x:c r="D446" s="41" t="str">
        <x:v>2026-05-22</x:v>
      </x:c>
      <x:c r="E446" s="41" t="n">
        <x:v>11.462271</x:v>
      </x:c>
      <x:c r="F446" s="41" t="n">
        <x:v>-31.131922</x:v>
      </x:c>
      <x:c r="G446" s="41" t="n">
        <x:v>1851.152405</x:v>
      </x:c>
      <x:c r="H446" s="41" t="n">
        <x:f>IFERROR(E446/ABS(F446),"")</x:f>
        <x:v>0.36818385321664365</x:v>
      </x:c>
      <x:c r="I446" s="41" t="n">
        <x:v>12.506997</x:v>
      </x:c>
      <x:c r="J446" s="41" t="n">
        <x:v>-28.067122</x:v>
      </x:c>
      <x:c r="K446" s="41" t="n">
        <x:v>2418.948217</x:v>
      </x:c>
      <x:c r="L446" s="41" t="n">
        <x:f>IFERROR(I446/ABS(J446),"")</x:f>
        <x:v>0.4456102410500086</x:v>
      </x:c>
      <x:c r="M446" s="41" t="n">
        <x:v>6.802475</x:v>
      </x:c>
      <x:c r="N446" s="41" t="n">
        <x:v>-56.473669</x:v>
      </x:c>
      <x:c r="O446" s="41" t="n">
        <x:v>506.057416</x:v>
      </x:c>
      <x:c r="P446" s="41" t="n">
        <x:f>IFERROR(M446/ABS(N446),"")</x:f>
        <x:v>0.12045392340278087</x:v>
      </x:c>
      <x:c r="Q446" s="41" t="str">
        <x:f>IF(L446&gt;=MAX(H446,P446),"Weekly",IF(H446&gt;=MAX(L446,P446),"No weekly","SPY"))</x:f>
        <x:v>Weekly</x:v>
      </x:c>
      <x:c r="R446" s="41" t="n">
        <x:f>IFERROR(L446-P446,"")</x:f>
        <x:v>0.32515631764722774</x:v>
      </x:c>
      <x:c r="S446" s="41" t="n">
        <x:f>IFERROR(H446-P446,"")</x:f>
        <x:v>0.24772992981386277</x:v>
      </x:c>
      <x:c r="T446" s="41" t="n">
        <x:f>IFERROR(I446-M446,"")</x:f>
        <x:v>5.704522</x:v>
      </x:c>
      <x:c r="U446" s="41" t="n">
        <x:f>IFERROR(E446-M446,"")</x:f>
        <x:v>4.659795999999999</x:v>
      </x:c>
      <x:c r="V446" s="41" t="str">
        <x:f>IF(AND(I446&gt;M446,J446&gt;N446),"Sí","No")</x:f>
        <x:v>Sí</x:v>
      </x:c>
      <x:c r="W446" s="41" t="str">
        <x:f>IF(AND(E446&gt;M446,F446&gt;N446),"Sí","No")</x:f>
        <x:v>Sí</x:v>
      </x:c>
      <x:c r="X446" s="41" t="str">
        <x:f>IF(L446&gt;=H446,"Weekly","No weekly")</x:f>
        <x:v>Weekly</x:v>
      </x:c>
      <x:c r="Y446" s="41" t="n">
        <x:f>IFERROR(I446-E446,"")</x:f>
        <x:v>1.0447260000000007</x:v>
      </x:c>
      <x:c r="Z446" s="41" t="n">
        <x:f>IFERROR(J446-F446,"")</x:f>
        <x:v>3.064799999999998</x:v>
      </x:c>
      <x:c r="AA446" s="41" t="n">
        <x:v>12135</x:v>
      </x:c>
      <x:c r="AB446" s="41" t="n">
        <x:v>6048</x:v>
      </x:c>
    </x:row>
    <x:row r="447">
      <x:c r="A447" s="41" t="str">
        <x:v>HYP_REFINE_AUTO002_TOPN_6_V1_DDGRID_LONGRUN_STRICT_STRICT_NEXT_CLOSE_R12_C21_E75_CR33_REDD_DD9_SL20</x:v>
      </x:c>
      <x:c r="B447" s="41" t="str">
        <x:v>strict_longrun_ddgrid</x:v>
      </x:c>
      <x:c r="C447" s="41" t="str">
        <x:v>1999-01-04</x:v>
      </x:c>
      <x:c r="D447" s="41" t="str">
        <x:v>2026-05-22</x:v>
      </x:c>
      <x:c r="E447" s="41" t="n">
        <x:v>10.636594</x:v>
      </x:c>
      <x:c r="F447" s="41" t="n">
        <x:v>-32.674103</x:v>
      </x:c>
      <x:c r="G447" s="41" t="n">
        <x:v>1491.781931</x:v>
      </x:c>
      <x:c r="H447" s="41" t="n">
        <x:f>IFERROR(E447/ABS(F447),"")</x:f>
        <x:v>0.32553591448248786</x:v>
      </x:c>
      <x:c r="I447" s="41" t="n">
        <x:v>10.894595</x:v>
      </x:c>
      <x:c r="J447" s="41" t="n">
        <x:v>-28.611545</x:v>
      </x:c>
      <x:c r="K447" s="41" t="n">
        <x:v>1596.598956</x:v>
      </x:c>
      <x:c r="L447" s="41" t="n">
        <x:f>IFERROR(I447/ABS(J447),"")</x:f>
        <x:v>0.38077618667569335</x:v>
      </x:c>
      <x:c r="M447" s="41" t="n">
        <x:v>6.802475</x:v>
      </x:c>
      <x:c r="N447" s="41" t="n">
        <x:v>-56.473669</x:v>
      </x:c>
      <x:c r="O447" s="41" t="n">
        <x:v>506.057416</x:v>
      </x:c>
      <x:c r="P447" s="41" t="n">
        <x:f>IFERROR(M447/ABS(N447),"")</x:f>
        <x:v>0.12045392340278087</x:v>
      </x:c>
      <x:c r="Q447" s="41" t="str">
        <x:f>IF(L447&gt;=MAX(H447,P447),"Weekly",IF(H447&gt;=MAX(L447,P447),"No weekly","SPY"))</x:f>
        <x:v>Weekly</x:v>
      </x:c>
      <x:c r="R447" s="41" t="n">
        <x:f>IFERROR(L447-P447,"")</x:f>
        <x:v>0.26032226327291247</x:v>
      </x:c>
      <x:c r="S447" s="41" t="n">
        <x:f>IFERROR(H447-P447,"")</x:f>
        <x:v>0.20508199107970698</x:v>
      </x:c>
      <x:c r="T447" s="41" t="n">
        <x:f>IFERROR(I447-M447,"")</x:f>
        <x:v>4.09212</x:v>
      </x:c>
      <x:c r="U447" s="41" t="n">
        <x:f>IFERROR(E447-M447,"")</x:f>
        <x:v>3.8341190000000003</x:v>
      </x:c>
      <x:c r="V447" s="41" t="str">
        <x:f>IF(AND(I447&gt;M447,J447&gt;N447),"Sí","No")</x:f>
        <x:v>Sí</x:v>
      </x:c>
      <x:c r="W447" s="41" t="str">
        <x:f>IF(AND(E447&gt;M447,F447&gt;N447),"Sí","No")</x:f>
        <x:v>Sí</x:v>
      </x:c>
      <x:c r="X447" s="41" t="str">
        <x:f>IF(L447&gt;=H447,"Weekly","No weekly")</x:f>
        <x:v>Weekly</x:v>
      </x:c>
      <x:c r="Y447" s="41" t="n">
        <x:f>IFERROR(I447-E447,"")</x:f>
        <x:v>0.25800100000000015</x:v>
      </x:c>
      <x:c r="Z447" s="41" t="n">
        <x:f>IFERROR(J447-F447,"")</x:f>
        <x:v>4.062558000000003</x:v>
      </x:c>
      <x:c r="AA447" s="41" t="n">
        <x:v>12587</x:v>
      </x:c>
      <x:c r="AB447" s="41" t="n">
        <x:v>6173</x:v>
      </x:c>
    </x:row>
    <x:row r="448">
      <x:c r="A448" s="41" t="str">
        <x:v>HYP_REFINE_AUTO002_TOPN_6_V1_DDGRID_LONGRUN_STRICT_STRICT_NEXT_CLOSE_R12_C21_E75_CR36_REDD_DD8_SL20</x:v>
      </x:c>
      <x:c r="B448" s="41" t="str">
        <x:v>strict_longrun_ddgrid</x:v>
      </x:c>
      <x:c r="C448" s="41" t="str">
        <x:v>1999-01-04</x:v>
      </x:c>
      <x:c r="D448" s="41" t="str">
        <x:v>2026-05-22</x:v>
      </x:c>
      <x:c r="E448" s="41" t="n">
        <x:v>11.990978</x:v>
      </x:c>
      <x:c r="F448" s="41" t="n">
        <x:v>-33.274746</x:v>
      </x:c>
      <x:c r="G448" s="41" t="n">
        <x:v>2121.049284</x:v>
      </x:c>
      <x:c r="H448" s="41" t="n">
        <x:f>IFERROR(E448/ABS(F448),"")</x:f>
        <x:v>0.36036272072520104</x:v>
      </x:c>
      <x:c r="I448" s="41" t="n">
        <x:v>12.438426</x:v>
      </x:c>
      <x:c r="J448" s="41" t="n">
        <x:v>-28.688073</x:v>
      </x:c>
      <x:c r="K448" s="41" t="n">
        <x:v>2377.251165</x:v>
      </x:c>
      <x:c r="L448" s="41" t="n">
        <x:f>IFERROR(I448/ABS(J448),"")</x:f>
        <x:v>0.4335748169631331</x:v>
      </x:c>
      <x:c r="M448" s="41" t="n">
        <x:v>6.802475</x:v>
      </x:c>
      <x:c r="N448" s="41" t="n">
        <x:v>-56.473669</x:v>
      </x:c>
      <x:c r="O448" s="41" t="n">
        <x:v>506.057416</x:v>
      </x:c>
      <x:c r="P448" s="41" t="n">
        <x:f>IFERROR(M448/ABS(N448),"")</x:f>
        <x:v>0.12045392340278087</x:v>
      </x:c>
      <x:c r="Q448" s="41" t="str">
        <x:f>IF(L448&gt;=MAX(H448,P448),"Weekly",IF(H448&gt;=MAX(L448,P448),"No weekly","SPY"))</x:f>
        <x:v>Weekly</x:v>
      </x:c>
      <x:c r="R448" s="41" t="n">
        <x:f>IFERROR(L448-P448,"")</x:f>
        <x:v>0.3131208935603522</x:v>
      </x:c>
      <x:c r="S448" s="41" t="n">
        <x:f>IFERROR(H448-P448,"")</x:f>
        <x:v>0.23990879732242015</x:v>
      </x:c>
      <x:c r="T448" s="41" t="n">
        <x:f>IFERROR(I448-M448,"")</x:f>
        <x:v>5.6359509999999995</x:v>
      </x:c>
      <x:c r="U448" s="41" t="n">
        <x:f>IFERROR(E448-M448,"")</x:f>
        <x:v>5.188503</x:v>
      </x:c>
      <x:c r="V448" s="41" t="str">
        <x:f>IF(AND(I448&gt;M448,J448&gt;N448),"Sí","No")</x:f>
        <x:v>Sí</x:v>
      </x:c>
      <x:c r="W448" s="41" t="str">
        <x:f>IF(AND(E448&gt;M448,F448&gt;N448),"Sí","No")</x:f>
        <x:v>Sí</x:v>
      </x:c>
      <x:c r="X448" s="41" t="str">
        <x:f>IF(L448&gt;=H448,"Weekly","No weekly")</x:f>
        <x:v>Weekly</x:v>
      </x:c>
      <x:c r="Y448" s="41" t="n">
        <x:f>IFERROR(I448-E448,"")</x:f>
        <x:v>0.4474479999999996</x:v>
      </x:c>
      <x:c r="Z448" s="41" t="n">
        <x:f>IFERROR(J448-F448,"")</x:f>
        <x:v>4.586673000000001</x:v>
      </x:c>
      <x:c r="AA448" s="41" t="n">
        <x:v>11950</x:v>
      </x:c>
      <x:c r="AB448" s="41" t="n">
        <x:v>5928</x:v>
      </x:c>
    </x:row>
    <x:row r="449">
      <x:c r="A449" s="41" t="str">
        <x:v>HYP_REFINE_AUTO002_TOPN_6_V1_DDGRID_LONGRUN_STRICT_STRICT_NEXT_CLOSE_R12_C21_E75_CR40_REDD_DD7_SL18</x:v>
      </x:c>
      <x:c r="B449" s="41" t="str">
        <x:v>strict_longrun_ddgrid</x:v>
      </x:c>
      <x:c r="C449" s="41" t="str">
        <x:v>1999-01-04</x:v>
      </x:c>
      <x:c r="D449" s="41" t="str">
        <x:v>2026-05-22</x:v>
      </x:c>
      <x:c r="E449" s="41" t="n">
        <x:v>11.748497</x:v>
      </x:c>
      <x:c r="F449" s="41" t="n">
        <x:v>-32.635792</x:v>
      </x:c>
      <x:c r="G449" s="41" t="n">
        <x:v>1993.078275</x:v>
      </x:c>
      <x:c r="H449" s="41" t="n">
        <x:f>IFERROR(E449/ABS(F449),"")</x:f>
        <x:v>0.35998810753543226</x:v>
      </x:c>
      <x:c r="I449" s="41" t="n">
        <x:v>12.089529</x:v>
      </x:c>
      <x:c r="J449" s="41" t="n">
        <x:v>-30.055145</x:v>
      </x:c>
      <x:c r="K449" s="41" t="n">
        <x:v>2175.185999</x:v>
      </x:c>
      <x:c r="L449" s="41" t="n">
        <x:f>IFERROR(I449/ABS(J449),"")</x:f>
        <x:v>0.4022449068204462</x:v>
      </x:c>
      <x:c r="M449" s="41" t="n">
        <x:v>6.802475</x:v>
      </x:c>
      <x:c r="N449" s="41" t="n">
        <x:v>-56.473669</x:v>
      </x:c>
      <x:c r="O449" s="41" t="n">
        <x:v>506.057416</x:v>
      </x:c>
      <x:c r="P449" s="41" t="n">
        <x:f>IFERROR(M449/ABS(N449),"")</x:f>
        <x:v>0.12045392340278087</x:v>
      </x:c>
      <x:c r="Q449" s="41" t="str">
        <x:f>IF(L449&gt;=MAX(H449,P449),"Weekly",IF(H449&gt;=MAX(L449,P449),"No weekly","SPY"))</x:f>
        <x:v>Weekly</x:v>
      </x:c>
      <x:c r="R449" s="41" t="n">
        <x:f>IFERROR(L449-P449,"")</x:f>
        <x:v>0.28179098341766534</x:v>
      </x:c>
      <x:c r="S449" s="41" t="n">
        <x:f>IFERROR(H449-P449,"")</x:f>
        <x:v>0.23953418413265137</x:v>
      </x:c>
      <x:c r="T449" s="41" t="n">
        <x:f>IFERROR(I449-M449,"")</x:f>
        <x:v>5.287054</x:v>
      </x:c>
      <x:c r="U449" s="41" t="n">
        <x:f>IFERROR(E449-M449,"")</x:f>
        <x:v>4.946022</x:v>
      </x:c>
      <x:c r="V449" s="41" t="str">
        <x:f>IF(AND(I449&gt;M449,J449&gt;N449),"Sí","No")</x:f>
        <x:v>Sí</x:v>
      </x:c>
      <x:c r="W449" s="41" t="str">
        <x:f>IF(AND(E449&gt;M449,F449&gt;N449),"Sí","No")</x:f>
        <x:v>Sí</x:v>
      </x:c>
      <x:c r="X449" s="41" t="str">
        <x:f>IF(L449&gt;=H449,"Weekly","No weekly")</x:f>
        <x:v>Weekly</x:v>
      </x:c>
      <x:c r="Y449" s="41" t="n">
        <x:f>IFERROR(I449-E449,"")</x:f>
        <x:v>0.3410320000000002</x:v>
      </x:c>
      <x:c r="Z449" s="41" t="n">
        <x:f>IFERROR(J449-F449,"")</x:f>
        <x:v>2.5806470000000026</x:v>
      </x:c>
      <x:c r="AA449" s="41" t="n">
        <x:v>12094</x:v>
      </x:c>
      <x:c r="AB449" s="41" t="n">
        <x:v>6014</x:v>
      </x:c>
    </x:row>
    <x:row r="450">
      <x:c r="A450" s="41" t="str">
        <x:v>HYP_REFINE_AUTO002_TOPN_6_V1_DDGRID_LONGRUN_STRICT_STRICT_NEXT_CLOSE_R12_C21_E75_CR40_REDD_DD7_SL20</x:v>
      </x:c>
      <x:c r="B450" s="41" t="str">
        <x:v>strict_longrun_ddgrid</x:v>
      </x:c>
      <x:c r="C450" s="41" t="str">
        <x:v>1999-01-04</x:v>
      </x:c>
      <x:c r="D450" s="41" t="str">
        <x:v>2026-05-22</x:v>
      </x:c>
      <x:c r="E450" s="41" t="n">
        <x:v>12.347452</x:v>
      </x:c>
      <x:c r="F450" s="41" t="n">
        <x:v>-33.069456</x:v>
      </x:c>
      <x:c r="G450" s="41" t="n">
        <x:v>2322.957325</x:v>
      </x:c>
      <x:c r="H450" s="41" t="n">
        <x:f>IFERROR(E450/ABS(F450),"")</x:f>
        <x:v>0.3733793504193114</x:v>
      </x:c>
      <x:c r="I450" s="41" t="n">
        <x:v>12.094415</x:v>
      </x:c>
      <x:c r="J450" s="41" t="n">
        <x:v>-29.474247</x:v>
      </x:c>
      <x:c r="K450" s="41" t="n">
        <x:v>2177.903089</x:v>
      </x:c>
      <x:c r="L450" s="41" t="n">
        <x:f>IFERROR(I450/ABS(J450),"")</x:f>
        <x:v>0.41033838794931726</x:v>
      </x:c>
      <x:c r="M450" s="41" t="n">
        <x:v>6.802475</x:v>
      </x:c>
      <x:c r="N450" s="41" t="n">
        <x:v>-56.473669</x:v>
      </x:c>
      <x:c r="O450" s="41" t="n">
        <x:v>506.057416</x:v>
      </x:c>
      <x:c r="P450" s="41" t="n">
        <x:f>IFERROR(M450/ABS(N450),"")</x:f>
        <x:v>0.12045392340278087</x:v>
      </x:c>
      <x:c r="Q450" s="41" t="str">
        <x:f>IF(L450&gt;=MAX(H450,P450),"Weekly",IF(H450&gt;=MAX(L450,P450),"No weekly","SPY"))</x:f>
        <x:v>Weekly</x:v>
      </x:c>
      <x:c r="R450" s="41" t="n">
        <x:f>IFERROR(L450-P450,"")</x:f>
        <x:v>0.2898844645465364</x:v>
      </x:c>
      <x:c r="S450" s="41" t="n">
        <x:f>IFERROR(H450-P450,"")</x:f>
        <x:v>0.25292542701653054</x:v>
      </x:c>
      <x:c r="T450" s="41" t="n">
        <x:f>IFERROR(I450-M450,"")</x:f>
        <x:v>5.291939999999999</x:v>
      </x:c>
      <x:c r="U450" s="41" t="n">
        <x:f>IFERROR(E450-M450,"")</x:f>
        <x:v>5.544977</x:v>
      </x:c>
      <x:c r="V450" s="41" t="str">
        <x:f>IF(AND(I450&gt;M450,J450&gt;N450),"Sí","No")</x:f>
        <x:v>Sí</x:v>
      </x:c>
      <x:c r="W450" s="41" t="str">
        <x:f>IF(AND(E450&gt;M450,F450&gt;N450),"Sí","No")</x:f>
        <x:v>Sí</x:v>
      </x:c>
      <x:c r="X450" s="41" t="str">
        <x:f>IF(L450&gt;=H450,"Weekly","No weekly")</x:f>
        <x:v>Weekly</x:v>
      </x:c>
      <x:c r="Y450" s="41" t="n">
        <x:f>IFERROR(I450-E450,"")</x:f>
        <x:v>-0.25303700000000084</x:v>
      </x:c>
      <x:c r="Z450" s="41" t="n">
        <x:f>IFERROR(J450-F450,"")</x:f>
        <x:v>3.595209000000004</x:v>
      </x:c>
      <x:c r="AA450" s="41" t="n">
        <x:v>12106</x:v>
      </x:c>
      <x:c r="AB450" s="41" t="n">
        <x:v>6069</x:v>
      </x:c>
    </x:row>
    <x:row r="451">
      <x:c r="A451" s="41" t="str">
        <x:v>HYP_REFINE_AUTO002_TOPN_6_V1_DDGRID_LONGRUN_STRICT_STRICT_NEXT_CLOSE_R12_C21_E75_CR40_REDD_DD8_SL20</x:v>
      </x:c>
      <x:c r="B451" s="41" t="str">
        <x:v>strict_longrun_ddgrid</x:v>
      </x:c>
      <x:c r="C451" s="41" t="str">
        <x:v>1999-01-04</x:v>
      </x:c>
      <x:c r="D451" s="41" t="str">
        <x:v>2026-05-22</x:v>
      </x:c>
      <x:c r="E451" s="41" t="n">
        <x:v>12.353528</x:v>
      </x:c>
      <x:c r="F451" s="41" t="n">
        <x:v>-34.070395</x:v>
      </x:c>
      <x:c r="G451" s="41" t="n">
        <x:v>2326.547152</x:v>
      </x:c>
      <x:c r="H451" s="41" t="n">
        <x:f>IFERROR(E451/ABS(F451),"")</x:f>
        <x:v>0.362588340992231</x:v>
      </x:c>
      <x:c r="I451" s="41" t="n">
        <x:v>12.784985</x:v>
      </x:c>
      <x:c r="J451" s="41" t="n">
        <x:v>-29.474247</x:v>
      </x:c>
      <x:c r="K451" s="41" t="n">
        <x:v>2595.021517</x:v>
      </x:c>
      <x:c r="L451" s="41" t="n">
        <x:f>IFERROR(I451/ABS(J451),"")</x:f>
        <x:v>0.4337679941407834</x:v>
      </x:c>
      <x:c r="M451" s="41" t="n">
        <x:v>6.802475</x:v>
      </x:c>
      <x:c r="N451" s="41" t="n">
        <x:v>-56.473669</x:v>
      </x:c>
      <x:c r="O451" s="41" t="n">
        <x:v>506.057416</x:v>
      </x:c>
      <x:c r="P451" s="41" t="n">
        <x:f>IFERROR(M451/ABS(N451),"")</x:f>
        <x:v>0.12045392340278087</x:v>
      </x:c>
      <x:c r="Q451" s="41" t="str">
        <x:f>IF(L451&gt;=MAX(H451,P451),"Weekly",IF(H451&gt;=MAX(L451,P451),"No weekly","SPY"))</x:f>
        <x:v>Weekly</x:v>
      </x:c>
      <x:c r="R451" s="41" t="n">
        <x:f>IFERROR(L451-P451,"")</x:f>
        <x:v>0.3133140707380025</x:v>
      </x:c>
      <x:c r="S451" s="41" t="n">
        <x:f>IFERROR(H451-P451,"")</x:f>
        <x:v>0.2421344175894501</x:v>
      </x:c>
      <x:c r="T451" s="41" t="n">
        <x:f>IFERROR(I451-M451,"")</x:f>
        <x:v>5.98251</x:v>
      </x:c>
      <x:c r="U451" s="41" t="n">
        <x:f>IFERROR(E451-M451,"")</x:f>
        <x:v>5.5510530000000005</x:v>
      </x:c>
      <x:c r="V451" s="41" t="str">
        <x:f>IF(AND(I451&gt;M451,J451&gt;N451),"Sí","No")</x:f>
        <x:v>Sí</x:v>
      </x:c>
      <x:c r="W451" s="41" t="str">
        <x:f>IF(AND(E451&gt;M451,F451&gt;N451),"Sí","No")</x:f>
        <x:v>Sí</x:v>
      </x:c>
      <x:c r="X451" s="41" t="str">
        <x:f>IF(L451&gt;=H451,"Weekly","No weekly")</x:f>
        <x:v>Weekly</x:v>
      </x:c>
      <x:c r="Y451" s="41" t="n">
        <x:f>IFERROR(I451-E451,"")</x:f>
        <x:v>0.431457</x:v>
      </x:c>
      <x:c r="Z451" s="41" t="n">
        <x:f>IFERROR(J451-F451,"")</x:f>
        <x:v>4.5961479999999995</x:v>
      </x:c>
      <x:c r="AA451" s="41" t="n">
        <x:v>11867</x:v>
      </x:c>
      <x:c r="AB451" s="41" t="n">
        <x:v>5804</x:v>
      </x:c>
    </x:row>
    <x:row r="452">
      <x:c r="A452" s="41" t="str">
        <x:v>HYP_REFINE_AUTO002_TOPN_6_V1_DDGRID_LONGRUN_STRICT_STRICT_NEXT_CLOSE_R12_C21_E78_CR30_REDD_DD8_SL20</x:v>
      </x:c>
      <x:c r="B452" s="41" t="str">
        <x:v>strict_longrun_ddgrid</x:v>
      </x:c>
      <x:c r="C452" s="41" t="str">
        <x:v>1999-01-04</x:v>
      </x:c>
      <x:c r="D452" s="41" t="str">
        <x:v>2026-05-22</x:v>
      </x:c>
      <x:c r="E452" s="41" t="n">
        <x:v>10.814636</x:v>
      </x:c>
      <x:c r="F452" s="41" t="n">
        <x:v>-32.107799</x:v>
      </x:c>
      <x:c r="G452" s="41" t="n">
        <x:v>1563.423178</x:v>
      </x:c>
      <x:c r="H452" s="41" t="n">
        <x:f>IFERROR(E452/ABS(F452),"")</x:f>
        <x:v>0.3368227140078957</x:v>
      </x:c>
      <x:c r="I452" s="41" t="n">
        <x:v>11.155897</x:v>
      </x:c>
      <x:c r="J452" s="41" t="n">
        <x:v>-27.768749</x:v>
      </x:c>
      <x:c r="K452" s="41" t="n">
        <x:v>1709.520701</x:v>
      </x:c>
      <x:c r="L452" s="41" t="n">
        <x:f>IFERROR(I452/ABS(J452),"")</x:f>
        <x:v>0.40174287289643473</x:v>
      </x:c>
      <x:c r="M452" s="41" t="n">
        <x:v>6.802475</x:v>
      </x:c>
      <x:c r="N452" s="41" t="n">
        <x:v>-56.473669</x:v>
      </x:c>
      <x:c r="O452" s="41" t="n">
        <x:v>506.057416</x:v>
      </x:c>
      <x:c r="P452" s="41" t="n">
        <x:f>IFERROR(M452/ABS(N452),"")</x:f>
        <x:v>0.12045392340278087</x:v>
      </x:c>
      <x:c r="Q452" s="41" t="str">
        <x:f>IF(L452&gt;=MAX(H452,P452),"Weekly",IF(H452&gt;=MAX(L452,P452),"No weekly","SPY"))</x:f>
        <x:v>Weekly</x:v>
      </x:c>
      <x:c r="R452" s="41" t="n">
        <x:f>IFERROR(L452-P452,"")</x:f>
        <x:v>0.28128894949365385</x:v>
      </x:c>
      <x:c r="S452" s="41" t="n">
        <x:f>IFERROR(H452-P452,"")</x:f>
        <x:v>0.21636879060511482</x:v>
      </x:c>
      <x:c r="T452" s="41" t="n">
        <x:f>IFERROR(I452-M452,"")</x:f>
        <x:v>4.353421999999999</x:v>
      </x:c>
      <x:c r="U452" s="41" t="n">
        <x:f>IFERROR(E452-M452,"")</x:f>
        <x:v>4.012161</x:v>
      </x:c>
      <x:c r="V452" s="41" t="str">
        <x:f>IF(AND(I452&gt;M452,J452&gt;N452),"Sí","No")</x:f>
        <x:v>Sí</x:v>
      </x:c>
      <x:c r="W452" s="41" t="str">
        <x:f>IF(AND(E452&gt;M452,F452&gt;N452),"Sí","No")</x:f>
        <x:v>Sí</x:v>
      </x:c>
      <x:c r="X452" s="41" t="str">
        <x:f>IF(L452&gt;=H452,"Weekly","No weekly")</x:f>
        <x:v>Weekly</x:v>
      </x:c>
      <x:c r="Y452" s="41" t="n">
        <x:f>IFERROR(I452-E452,"")</x:f>
        <x:v>0.34126099999999937</x:v>
      </x:c>
      <x:c r="Z452" s="41" t="n">
        <x:f>IFERROR(J452-F452,"")</x:f>
        <x:v>4.33905</x:v>
      </x:c>
      <x:c r="AA452" s="41" t="n">
        <x:v>12698</x:v>
      </x:c>
      <x:c r="AB452" s="41" t="n">
        <x:v>6385</x:v>
      </x:c>
    </x:row>
    <x:row r="453">
      <x:c r="A453" s="41" t="str">
        <x:v>HYP_REFINE_AUTO002_TOPN_6_V1_DDGRID_LONGRUN_STRICT_STRICT_NEXT_CLOSE_R12_C21_E78_CR33_REDD_DD8_SL20</x:v>
      </x:c>
      <x:c r="B453" s="41" t="str">
        <x:v>strict_longrun_ddgrid</x:v>
      </x:c>
      <x:c r="C453" s="41" t="str">
        <x:v>1999-01-04</x:v>
      </x:c>
      <x:c r="D453" s="41" t="str">
        <x:v>2026-05-22</x:v>
      </x:c>
      <x:c r="E453" s="41" t="n">
        <x:v>10.912674</x:v>
      </x:c>
      <x:c r="F453" s="41" t="n">
        <x:v>-32.704642</x:v>
      </x:c>
      <x:c r="G453" s="41" t="n">
        <x:v>1604.187771</x:v>
      </x:c>
      <x:c r="H453" s="41" t="n">
        <x:f>IFERROR(E453/ABS(F453),"")</x:f>
        <x:v>0.3336735500728001</x:v>
      </x:c>
      <x:c r="I453" s="41" t="n">
        <x:v>12.085863</x:v>
      </x:c>
      <x:c r="J453" s="41" t="n">
        <x:v>-28.237056</x:v>
      </x:c>
      <x:c r="K453" s="41" t="n">
        <x:v>2173.149873</x:v>
      </x:c>
      <x:c r="L453" s="41" t="n">
        <x:f>IFERROR(I453/ABS(J453),"")</x:f>
        <x:v>0.42801427315935486</x:v>
      </x:c>
      <x:c r="M453" s="41" t="n">
        <x:v>6.802475</x:v>
      </x:c>
      <x:c r="N453" s="41" t="n">
        <x:v>-56.473669</x:v>
      </x:c>
      <x:c r="O453" s="41" t="n">
        <x:v>506.057416</x:v>
      </x:c>
      <x:c r="P453" s="41" t="n">
        <x:f>IFERROR(M453/ABS(N453),"")</x:f>
        <x:v>0.12045392340278087</x:v>
      </x:c>
      <x:c r="Q453" s="41" t="str">
        <x:f>IF(L453&gt;=MAX(H453,P453),"Weekly",IF(H453&gt;=MAX(L453,P453),"No weekly","SPY"))</x:f>
        <x:v>Weekly</x:v>
      </x:c>
      <x:c r="R453" s="41" t="n">
        <x:f>IFERROR(L453-P453,"")</x:f>
        <x:v>0.307560349756574</x:v>
      </x:c>
      <x:c r="S453" s="41" t="n">
        <x:f>IFERROR(H453-P453,"")</x:f>
        <x:v>0.2132196266700192</x:v>
      </x:c>
      <x:c r="T453" s="41" t="n">
        <x:f>IFERROR(I453-M453,"")</x:f>
        <x:v>5.2833879999999995</x:v>
      </x:c>
      <x:c r="U453" s="41" t="n">
        <x:f>IFERROR(E453-M453,"")</x:f>
        <x:v>4.110199000000001</x:v>
      </x:c>
      <x:c r="V453" s="41" t="str">
        <x:f>IF(AND(I453&gt;M453,J453&gt;N453),"Sí","No")</x:f>
        <x:v>Sí</x:v>
      </x:c>
      <x:c r="W453" s="41" t="str">
        <x:f>IF(AND(E453&gt;M453,F453&gt;N453),"Sí","No")</x:f>
        <x:v>Sí</x:v>
      </x:c>
      <x:c r="X453" s="41" t="str">
        <x:f>IF(L453&gt;=H453,"Weekly","No weekly")</x:f>
        <x:v>Weekly</x:v>
      </x:c>
      <x:c r="Y453" s="41" t="n">
        <x:f>IFERROR(I453-E453,"")</x:f>
        <x:v>1.173188999999999</x:v>
      </x:c>
      <x:c r="Z453" s="41" t="n">
        <x:f>IFERROR(J453-F453,"")</x:f>
        <x:v>4.467586000000001</x:v>
      </x:c>
      <x:c r="AA453" s="41" t="n">
        <x:v>12016</x:v>
      </x:c>
      <x:c r="AB453" s="41" t="n">
        <x:v>6272</x:v>
      </x:c>
    </x:row>
    <x:row r="454">
      <x:c r="A454" s="41" t="str">
        <x:v>HYP_REFINE_AUTO002_TOPN_6_V1_DDGRID_LONGRUN_STRICT_STRICT_NEXT_CLOSE_R12_C21_E78_CR36_REDD_DD8_SL20</x:v>
      </x:c>
      <x:c r="B454" s="41" t="str">
        <x:v>strict_longrun_ddgrid</x:v>
      </x:c>
      <x:c r="C454" s="41" t="str">
        <x:v>1999-01-04</x:v>
      </x:c>
      <x:c r="D454" s="41" t="str">
        <x:v>2026-05-22</x:v>
      </x:c>
      <x:c r="E454" s="41" t="n">
        <x:v>11.796402</x:v>
      </x:c>
      <x:c r="F454" s="41" t="n">
        <x:v>-33.33149</x:v>
      </x:c>
      <x:c r="G454" s="41" t="n">
        <x:v>2017.783709</x:v>
      </x:c>
      <x:c r="H454" s="41" t="n">
        <x:f>IFERROR(E454/ABS(F454),"")</x:f>
        <x:v>0.3539116313132116</x:v>
      </x:c>
      <x:c r="I454" s="41" t="n">
        <x:v>12.959185</x:v>
      </x:c>
      <x:c r="J454" s="41" t="n">
        <x:v>-28.839842</x:v>
      </x:c>
      <x:c r="K454" s="41" t="n">
        <x:v>2711.338032</x:v>
      </x:c>
      <x:c r="L454" s="41" t="n">
        <x:f>IFERROR(I454/ABS(J454),"")</x:f>
        <x:v>0.449350069254887</x:v>
      </x:c>
      <x:c r="M454" s="41" t="n">
        <x:v>6.802475</x:v>
      </x:c>
      <x:c r="N454" s="41" t="n">
        <x:v>-56.473669</x:v>
      </x:c>
      <x:c r="O454" s="41" t="n">
        <x:v>506.057416</x:v>
      </x:c>
      <x:c r="P454" s="41" t="n">
        <x:f>IFERROR(M454/ABS(N454),"")</x:f>
        <x:v>0.12045392340278087</x:v>
      </x:c>
      <x:c r="Q454" s="41" t="str">
        <x:f>IF(L454&gt;=MAX(H454,P454),"Weekly",IF(H454&gt;=MAX(L454,P454),"No weekly","SPY"))</x:f>
        <x:v>Weekly</x:v>
      </x:c>
      <x:c r="R454" s="41" t="n">
        <x:f>IFERROR(L454-P454,"")</x:f>
        <x:v>0.32889614585210614</x:v>
      </x:c>
      <x:c r="S454" s="41" t="n">
        <x:f>IFERROR(H454-P454,"")</x:f>
        <x:v>0.23345770791043075</x:v>
      </x:c>
      <x:c r="T454" s="41" t="n">
        <x:f>IFERROR(I454-M454,"")</x:f>
        <x:v>6.1567099999999995</x:v>
      </x:c>
      <x:c r="U454" s="41" t="n">
        <x:f>IFERROR(E454-M454,"")</x:f>
        <x:v>4.993927</x:v>
      </x:c>
      <x:c r="V454" s="41" t="str">
        <x:f>IF(AND(I454&gt;M454,J454&gt;N454),"Sí","No")</x:f>
        <x:v>Sí</x:v>
      </x:c>
      <x:c r="W454" s="41" t="str">
        <x:f>IF(AND(E454&gt;M454,F454&gt;N454),"Sí","No")</x:f>
        <x:v>Sí</x:v>
      </x:c>
      <x:c r="X454" s="41" t="str">
        <x:f>IF(L454&gt;=H454,"Weekly","No weekly")</x:f>
        <x:v>Weekly</x:v>
      </x:c>
      <x:c r="Y454" s="41" t="n">
        <x:f>IFERROR(I454-E454,"")</x:f>
        <x:v>1.1627829999999992</x:v>
      </x:c>
      <x:c r="Z454" s="41" t="n">
        <x:f>IFERROR(J454-F454,"")</x:f>
        <x:v>4.491648000000001</x:v>
      </x:c>
      <x:c r="AA454" s="41" t="n">
        <x:v>11951</x:v>
      </x:c>
      <x:c r="AB454" s="41" t="n">
        <x:v>5849</x:v>
      </x:c>
    </x:row>
    <x:row r="455">
      <x:c r="A455" s="41" t="str">
        <x:v>HYP_REFINE_AUTO002_TOPN_6_V1_DDGRID_LONGRUN_STRICT_STRICT_NEXT_CLOSE_R12_C21_E80_CR33_REDD_DD8_SL20</x:v>
      </x:c>
      <x:c r="B455" s="41" t="str">
        <x:v>strict_longrun_ddgrid</x:v>
      </x:c>
      <x:c r="C455" s="41" t="str">
        <x:v>1999-01-04</x:v>
      </x:c>
      <x:c r="D455" s="41" t="str">
        <x:v>2026-05-22</x:v>
      </x:c>
      <x:c r="E455" s="41" t="n">
        <x:v>11.870494</x:v>
      </x:c>
      <x:c r="F455" s="41" t="n">
        <x:v>-32.729828</x:v>
      </x:c>
      <x:c r="G455" s="41" t="n">
        <x:v>2056.548259</x:v>
      </x:c>
      <x:c r="H455" s="41" t="n">
        <x:f>IFERROR(E455/ABS(F455),"")</x:f>
        <x:v>0.362681221545069</x:v>
      </x:c>
      <x:c r="I455" s="41" t="n">
        <x:v>12.195288</x:v>
      </x:c>
      <x:c r="J455" s="41" t="n">
        <x:v>-28.249323</x:v>
      </x:c>
      <x:c r="K455" s="41" t="n">
        <x:v>2234.696492</x:v>
      </x:c>
      <x:c r="L455" s="41" t="n">
        <x:f>IFERROR(I455/ABS(J455),"")</x:f>
        <x:v>0.4317019561849323</x:v>
      </x:c>
      <x:c r="M455" s="41" t="n">
        <x:v>6.802475</x:v>
      </x:c>
      <x:c r="N455" s="41" t="n">
        <x:v>-56.473669</x:v>
      </x:c>
      <x:c r="O455" s="41" t="n">
        <x:v>506.057416</x:v>
      </x:c>
      <x:c r="P455" s="41" t="n">
        <x:f>IFERROR(M455/ABS(N455),"")</x:f>
        <x:v>0.12045392340278087</x:v>
      </x:c>
      <x:c r="Q455" s="41" t="str">
        <x:f>IF(L455&gt;=MAX(H455,P455),"Weekly",IF(H455&gt;=MAX(L455,P455),"No weekly","SPY"))</x:f>
        <x:v>Weekly</x:v>
      </x:c>
      <x:c r="R455" s="41" t="n">
        <x:f>IFERROR(L455-P455,"")</x:f>
        <x:v>0.3112480327821514</x:v>
      </x:c>
      <x:c r="S455" s="41" t="n">
        <x:f>IFERROR(H455-P455,"")</x:f>
        <x:v>0.2422272981422881</x:v>
      </x:c>
      <x:c r="T455" s="41" t="n">
        <x:f>IFERROR(I455-M455,"")</x:f>
        <x:v>5.392812999999999</x:v>
      </x:c>
      <x:c r="U455" s="41" t="n">
        <x:f>IFERROR(E455-M455,"")</x:f>
        <x:v>5.0680190000000005</x:v>
      </x:c>
      <x:c r="V455" s="41" t="str">
        <x:f>IF(AND(I455&gt;M455,J455&gt;N455),"Sí","No")</x:f>
        <x:v>Sí</x:v>
      </x:c>
      <x:c r="W455" s="41" t="str">
        <x:f>IF(AND(E455&gt;M455,F455&gt;N455),"Sí","No")</x:f>
        <x:v>Sí</x:v>
      </x:c>
      <x:c r="X455" s="41" t="str">
        <x:f>IF(L455&gt;=H455,"Weekly","No weekly")</x:f>
        <x:v>Weekly</x:v>
      </x:c>
      <x:c r="Y455" s="41" t="n">
        <x:f>IFERROR(I455-E455,"")</x:f>
        <x:v>0.3247939999999989</x:v>
      </x:c>
      <x:c r="Z455" s="41" t="n">
        <x:f>IFERROR(J455-F455,"")</x:f>
        <x:v>4.480504999999997</x:v>
      </x:c>
      <x:c r="AA455" s="41" t="n">
        <x:v>12339</x:v>
      </x:c>
      <x:c r="AB455" s="41" t="n">
        <x:v>5726</x:v>
      </x:c>
    </x:row>
    <x:row r="456">
      <x:c r="A456" s="41" t="str">
        <x:v>HYP_REFINE_AUTO002_TOPN_6_V1_DDGRID_LONGRUN_STRICT_STRICT_NEXT_CLOSE_R12_C22_E70_CR40_REDD_DD7_SL18</x:v>
      </x:c>
      <x:c r="B456" s="41" t="str">
        <x:v>strict_longrun_ddgrid</x:v>
      </x:c>
      <x:c r="C456" s="41" t="str">
        <x:v>1999-01-04</x:v>
      </x:c>
      <x:c r="D456" s="41" t="str">
        <x:v>2026-05-22</x:v>
      </x:c>
      <x:c r="E456" s="41" t="n">
        <x:v>12.07742</x:v>
      </x:c>
      <x:c r="F456" s="41" t="n">
        <x:v>-31.890849</x:v>
      </x:c>
      <x:c r="G456" s="41" t="n">
        <x:v>2168.466567</x:v>
      </x:c>
      <x:c r="H456" s="41" t="n">
        <x:f>IFERROR(E456/ABS(F456),"")</x:f>
        <x:v>0.3787111468873093</x:v>
      </x:c>
      <x:c r="I456" s="41" t="n">
        <x:v>10.867641</x:v>
      </x:c>
      <x:c r="J456" s="41" t="n">
        <x:v>-30.778989</x:v>
      </x:c>
      <x:c r="K456" s="41" t="n">
        <x:v>1585.344768</x:v>
      </x:c>
      <x:c r="L456" s="41" t="n">
        <x:f>IFERROR(I456/ABS(J456),"")</x:f>
        <x:v>0.35308635381103654</x:v>
      </x:c>
      <x:c r="M456" s="41" t="n">
        <x:v>6.802475</x:v>
      </x:c>
      <x:c r="N456" s="41" t="n">
        <x:v>-56.473669</x:v>
      </x:c>
      <x:c r="O456" s="41" t="n">
        <x:v>506.057416</x:v>
      </x:c>
      <x:c r="P456" s="41" t="n">
        <x:f>IFERROR(M456/ABS(N456),"")</x:f>
        <x:v>0.12045392340278087</x:v>
      </x:c>
      <x:c r="Q456" s="41" t="str">
        <x:f>IF(L456&gt;=MAX(H456,P456),"Weekly",IF(H456&gt;=MAX(L456,P456),"No weekly","SPY"))</x:f>
        <x:v>No weekly</x:v>
      </x:c>
      <x:c r="R456" s="41" t="n">
        <x:f>IFERROR(L456-P456,"")</x:f>
        <x:v>0.23263243040825565</x:v>
      </x:c>
      <x:c r="S456" s="41" t="n">
        <x:f>IFERROR(H456-P456,"")</x:f>
        <x:v>0.2582572234845284</x:v>
      </x:c>
      <x:c r="T456" s="41" t="n">
        <x:f>IFERROR(I456-M456,"")</x:f>
        <x:v>4.0651660000000005</x:v>
      </x:c>
      <x:c r="U456" s="41" t="n">
        <x:f>IFERROR(E456-M456,"")</x:f>
        <x:v>5.274945</x:v>
      </x:c>
      <x:c r="V456" s="41" t="str">
        <x:f>IF(AND(I456&gt;M456,J456&gt;N456),"Sí","No")</x:f>
        <x:v>Sí</x:v>
      </x:c>
      <x:c r="W456" s="41" t="str">
        <x:f>IF(AND(E456&gt;M456,F456&gt;N456),"Sí","No")</x:f>
        <x:v>Sí</x:v>
      </x:c>
      <x:c r="X456" s="41" t="str">
        <x:f>IF(L456&gt;=H456,"Weekly","No weekly")</x:f>
        <x:v>No weekly</x:v>
      </x:c>
      <x:c r="Y456" s="41" t="n">
        <x:f>IFERROR(I456-E456,"")</x:f>
        <x:v>-1.2097789999999993</x:v>
      </x:c>
      <x:c r="Z456" s="41" t="n">
        <x:f>IFERROR(J456-F456,"")</x:f>
        <x:v>1.11186</x:v>
      </x:c>
      <x:c r="AA456" s="41" t="n">
        <x:v>12669</x:v>
      </x:c>
      <x:c r="AB456" s="41" t="n">
        <x:v>5988</x:v>
      </x:c>
    </x:row>
    <x:row r="457">
      <x:c r="A457" s="41" t="str">
        <x:v>HYP_REFINE_AUTO002_TOPN_6_V1_DDGRID_LONGRUN_STRICT_STRICT_NEXT_CLOSE_R12_C22_E70_CR40_REDD_DD7_SL20</x:v>
      </x:c>
      <x:c r="B457" s="41" t="str">
        <x:v>strict_longrun_ddgrid</x:v>
      </x:c>
      <x:c r="C457" s="41" t="str">
        <x:v>1999-01-04</x:v>
      </x:c>
      <x:c r="D457" s="41" t="str">
        <x:v>2026-05-22</x:v>
      </x:c>
      <x:c r="E457" s="41" t="n">
        <x:v>11.953535</x:v>
      </x:c>
      <x:c r="F457" s="41" t="n">
        <x:v>-32.588882</x:v>
      </x:c>
      <x:c r="G457" s="41" t="n">
        <x:v>2100.807474</x:v>
      </x:c>
      <x:c r="H457" s="41" t="n">
        <x:f>IFERROR(E457/ABS(F457),"")</x:f>
        <x:v>0.3667979466125902</x:v>
      </x:c>
      <x:c r="I457" s="41" t="n">
        <x:v>12.261783</x:v>
      </x:c>
      <x:c r="J457" s="41" t="n">
        <x:v>-30.187279</x:v>
      </x:c>
      <x:c r="K457" s="41" t="n">
        <x:v>2272.878391</x:v>
      </x:c>
      <x:c r="L457" s="41" t="n">
        <x:f>IFERROR(I457/ABS(J457),"")</x:f>
        <x:v>0.4061904022552016</x:v>
      </x:c>
      <x:c r="M457" s="41" t="n">
        <x:v>6.802475</x:v>
      </x:c>
      <x:c r="N457" s="41" t="n">
        <x:v>-56.473669</x:v>
      </x:c>
      <x:c r="O457" s="41" t="n">
        <x:v>506.057416</x:v>
      </x:c>
      <x:c r="P457" s="41" t="n">
        <x:f>IFERROR(M457/ABS(N457),"")</x:f>
        <x:v>0.12045392340278087</x:v>
      </x:c>
      <x:c r="Q457" s="41" t="str">
        <x:f>IF(L457&gt;=MAX(H457,P457),"Weekly",IF(H457&gt;=MAX(L457,P457),"No weekly","SPY"))</x:f>
        <x:v>Weekly</x:v>
      </x:c>
      <x:c r="R457" s="41" t="n">
        <x:f>IFERROR(L457-P457,"")</x:f>
        <x:v>0.2857364788524207</x:v>
      </x:c>
      <x:c r="S457" s="41" t="n">
        <x:f>IFERROR(H457-P457,"")</x:f>
        <x:v>0.2463440232098093</x:v>
      </x:c>
      <x:c r="T457" s="41" t="n">
        <x:f>IFERROR(I457-M457,"")</x:f>
        <x:v>5.459307999999999</x:v>
      </x:c>
      <x:c r="U457" s="41" t="n">
        <x:f>IFERROR(E457-M457,"")</x:f>
        <x:v>5.15106</x:v>
      </x:c>
      <x:c r="V457" s="41" t="str">
        <x:f>IF(AND(I457&gt;M457,J457&gt;N457),"Sí","No")</x:f>
        <x:v>Sí</x:v>
      </x:c>
      <x:c r="W457" s="41" t="str">
        <x:f>IF(AND(E457&gt;M457,F457&gt;N457),"Sí","No")</x:f>
        <x:v>Sí</x:v>
      </x:c>
      <x:c r="X457" s="41" t="str">
        <x:f>IF(L457&gt;=H457,"Weekly","No weekly")</x:f>
        <x:v>Weekly</x:v>
      </x:c>
      <x:c r="Y457" s="41" t="n">
        <x:f>IFERROR(I457-E457,"")</x:f>
        <x:v>0.30824799999999897</x:v>
      </x:c>
      <x:c r="Z457" s="41" t="n">
        <x:f>IFERROR(J457-F457,"")</x:f>
        <x:v>2.401602999999998</x:v>
      </x:c>
      <x:c r="AA457" s="41" t="n">
        <x:v>12033</x:v>
      </x:c>
      <x:c r="AB457" s="41" t="n">
        <x:v>6099</x:v>
      </x:c>
    </x:row>
    <x:row r="458">
      <x:c r="A458" s="41" t="str">
        <x:v>HYP_REFINE_AUTO002_TOPN_6_V1_DDGRID_LONGRUN_STRICT_STRICT_NEXT_CLOSE_R12_C22_E70_CR40_REDD_DD8_SL20</x:v>
      </x:c>
      <x:c r="B458" s="41" t="str">
        <x:v>strict_longrun_ddgrid</x:v>
      </x:c>
      <x:c r="C458" s="41" t="str">
        <x:v>1999-01-04</x:v>
      </x:c>
      <x:c r="D458" s="41" t="str">
        <x:v>2026-05-22</x:v>
      </x:c>
      <x:c r="E458" s="41" t="n">
        <x:v>12.861091</x:v>
      </x:c>
      <x:c r="F458" s="41" t="n">
        <x:v>-33.115226</x:v>
      </x:c>
      <x:c r="G458" s="41" t="n">
        <x:v>2645.256714</x:v>
      </x:c>
      <x:c r="H458" s="41" t="n">
        <x:f>IFERROR(E458/ABS(F458),"")</x:f>
        <x:v>0.38837394617207205</x:v>
      </x:c>
      <x:c r="I458" s="41" t="n">
        <x:v>12.336615</x:v>
      </x:c>
      <x:c r="J458" s="41" t="n">
        <x:v>-30.187279</x:v>
      </x:c>
      <x:c r="K458" s="41" t="n">
        <x:v>2316.566555</x:v>
      </x:c>
      <x:c r="L458" s="41" t="n">
        <x:f>IFERROR(I458/ABS(J458),"")</x:f>
        <x:v>0.4086693272354888</x:v>
      </x:c>
      <x:c r="M458" s="41" t="n">
        <x:v>6.802475</x:v>
      </x:c>
      <x:c r="N458" s="41" t="n">
        <x:v>-56.473669</x:v>
      </x:c>
      <x:c r="O458" s="41" t="n">
        <x:v>506.057416</x:v>
      </x:c>
      <x:c r="P458" s="41" t="n">
        <x:f>IFERROR(M458/ABS(N458),"")</x:f>
        <x:v>0.12045392340278087</x:v>
      </x:c>
      <x:c r="Q458" s="41" t="str">
        <x:f>IF(L458&gt;=MAX(H458,P458),"Weekly",IF(H458&gt;=MAX(L458,P458),"No weekly","SPY"))</x:f>
        <x:v>Weekly</x:v>
      </x:c>
      <x:c r="R458" s="41" t="n">
        <x:f>IFERROR(L458-P458,"")</x:f>
        <x:v>0.28821540383270794</x:v>
      </x:c>
      <x:c r="S458" s="41" t="n">
        <x:f>IFERROR(H458-P458,"")</x:f>
        <x:v>0.26792002276929117</x:v>
      </x:c>
      <x:c r="T458" s="41" t="n">
        <x:f>IFERROR(I458-M458,"")</x:f>
        <x:v>5.53414</x:v>
      </x:c>
      <x:c r="U458" s="41" t="n">
        <x:f>IFERROR(E458-M458,"")</x:f>
        <x:v>6.058616</x:v>
      </x:c>
      <x:c r="V458" s="41" t="str">
        <x:f>IF(AND(I458&gt;M458,J458&gt;N458),"Sí","No")</x:f>
        <x:v>Sí</x:v>
      </x:c>
      <x:c r="W458" s="41" t="str">
        <x:f>IF(AND(E458&gt;M458,F458&gt;N458),"Sí","No")</x:f>
        <x:v>Sí</x:v>
      </x:c>
      <x:c r="X458" s="41" t="str">
        <x:f>IF(L458&gt;=H458,"Weekly","No weekly")</x:f>
        <x:v>Weekly</x:v>
      </x:c>
      <x:c r="Y458" s="41" t="n">
        <x:f>IFERROR(I458-E458,"")</x:f>
        <x:v>-0.5244759999999999</x:v>
      </x:c>
      <x:c r="Z458" s="41" t="n">
        <x:f>IFERROR(J458-F458,"")</x:f>
        <x:v>2.9279469999999996</x:v>
      </x:c>
      <x:c r="AA458" s="41" t="n">
        <x:v>11779</x:v>
      </x:c>
      <x:c r="AB458" s="41" t="n">
        <x:v>5941</x:v>
      </x:c>
    </x:row>
    <x:row r="459">
      <x:c r="A459" s="41" t="str">
        <x:v>HYP_REFINE_AUTO002_TOPN_6_V1_DDGRID_LONGRUN_STRICT_STRICT_NEXT_CLOSE_R12_C22_E72_CR40_REDD_DD7_SL18</x:v>
      </x:c>
      <x:c r="B459" s="41" t="str">
        <x:v>strict_longrun_ddgrid</x:v>
      </x:c>
      <x:c r="C459" s="41" t="str">
        <x:v>1999-01-04</x:v>
      </x:c>
      <x:c r="D459" s="41" t="str">
        <x:v>2026-05-22</x:v>
      </x:c>
      <x:c r="E459" s="41" t="n">
        <x:v>12.194073</x:v>
      </x:c>
      <x:c r="F459" s="41" t="n">
        <x:v>-32.25508</x:v>
      </x:c>
      <x:c r="G459" s="41" t="n">
        <x:v>2234.004552</x:v>
      </x:c>
      <x:c r="H459" s="41" t="n">
        <x:f>IFERROR(E459/ABS(F459),"")</x:f>
        <x:v>0.3780512403007526</x:v>
      </x:c>
      <x:c r="I459" s="41" t="n">
        <x:v>11.393009</x:v>
      </x:c>
      <x:c r="J459" s="41" t="n">
        <x:v>-30.389499</x:v>
      </x:c>
      <x:c r="K459" s="41" t="n">
        <x:v>1818.228787</x:v>
      </x:c>
      <x:c r="L459" s="41" t="n">
        <x:f>IFERROR(I459/ABS(J459),"")</x:f>
        <x:v>0.37489953355269195</x:v>
      </x:c>
      <x:c r="M459" s="41" t="n">
        <x:v>6.802475</x:v>
      </x:c>
      <x:c r="N459" s="41" t="n">
        <x:v>-56.473669</x:v>
      </x:c>
      <x:c r="O459" s="41" t="n">
        <x:v>506.057416</x:v>
      </x:c>
      <x:c r="P459" s="41" t="n">
        <x:f>IFERROR(M459/ABS(N459),"")</x:f>
        <x:v>0.12045392340278087</x:v>
      </x:c>
      <x:c r="Q459" s="41" t="str">
        <x:f>IF(L459&gt;=MAX(H459,P459),"Weekly",IF(H459&gt;=MAX(L459,P459),"No weekly","SPY"))</x:f>
        <x:v>No weekly</x:v>
      </x:c>
      <x:c r="R459" s="41" t="n">
        <x:f>IFERROR(L459-P459,"")</x:f>
        <x:v>0.2544456101499111</x:v>
      </x:c>
      <x:c r="S459" s="41" t="n">
        <x:f>IFERROR(H459-P459,"")</x:f>
        <x:v>0.2575973168979717</x:v>
      </x:c>
      <x:c r="T459" s="41" t="n">
        <x:f>IFERROR(I459-M459,"")</x:f>
        <x:v>4.590533999999999</x:v>
      </x:c>
      <x:c r="U459" s="41" t="n">
        <x:f>IFERROR(E459-M459,"")</x:f>
        <x:v>5.391597999999999</x:v>
      </x:c>
      <x:c r="V459" s="41" t="str">
        <x:f>IF(AND(I459&gt;M459,J459&gt;N459),"Sí","No")</x:f>
        <x:v>Sí</x:v>
      </x:c>
      <x:c r="W459" s="41" t="str">
        <x:f>IF(AND(E459&gt;M459,F459&gt;N459),"Sí","No")</x:f>
        <x:v>Sí</x:v>
      </x:c>
      <x:c r="X459" s="41" t="str">
        <x:f>IF(L459&gt;=H459,"Weekly","No weekly")</x:f>
        <x:v>No weekly</x:v>
      </x:c>
      <x:c r="Y459" s="41" t="n">
        <x:f>IFERROR(I459-E459,"")</x:f>
        <x:v>-0.8010640000000002</x:v>
      </x:c>
      <x:c r="Z459" s="41" t="n">
        <x:f>IFERROR(J459-F459,"")</x:f>
        <x:v>1.8655809999999988</x:v>
      </x:c>
      <x:c r="AA459" s="41" t="n">
        <x:v>12410</x:v>
      </x:c>
      <x:c r="AB459" s="41" t="n">
        <x:v>5769</x:v>
      </x:c>
    </x:row>
    <x:row r="460">
      <x:c r="A460" s="41" t="str">
        <x:v>HYP_REFINE_AUTO002_TOPN_6_V1_DDGRID_LONGRUN_STRICT_STRICT_NEXT_CLOSE_R12_C22_E72_CR40_REDD_DD7_SL20</x:v>
      </x:c>
      <x:c r="B460" s="41" t="str">
        <x:v>strict_longrun_ddgrid</x:v>
      </x:c>
      <x:c r="C460" s="41" t="str">
        <x:v>1999-01-04</x:v>
      </x:c>
      <x:c r="D460" s="41" t="str">
        <x:v>2026-05-22</x:v>
      </x:c>
      <x:c r="E460" s="41" t="n">
        <x:v>11.846514</x:v>
      </x:c>
      <x:c r="F460" s="41" t="n">
        <x:v>-32.690617</x:v>
      </x:c>
      <x:c r="G460" s="41" t="n">
        <x:v>2043.927896</x:v>
      </x:c>
      <x:c r="H460" s="41" t="n">
        <x:f>IFERROR(E460/ABS(F460),"")</x:f>
        <x:v>0.3623826983748884</x:v>
      </x:c>
      <x:c r="I460" s="41" t="n">
        <x:v>11.975857</x:v>
      </x:c>
      <x:c r="J460" s="41" t="n">
        <x:v>-30.38409</x:v>
      </x:c>
      <x:c r="K460" s="41" t="n">
        <x:v>2112.853194</x:v>
      </x:c>
      <x:c r="L460" s="41" t="n">
        <x:f>IFERROR(I460/ABS(J460),"")</x:f>
        <x:v>0.39414894439820314</x:v>
      </x:c>
      <x:c r="M460" s="41" t="n">
        <x:v>6.802475</x:v>
      </x:c>
      <x:c r="N460" s="41" t="n">
        <x:v>-56.473669</x:v>
      </x:c>
      <x:c r="O460" s="41" t="n">
        <x:v>506.057416</x:v>
      </x:c>
      <x:c r="P460" s="41" t="n">
        <x:f>IFERROR(M460/ABS(N460),"")</x:f>
        <x:v>0.12045392340278087</x:v>
      </x:c>
      <x:c r="Q460" s="41" t="str">
        <x:f>IF(L460&gt;=MAX(H460,P460),"Weekly",IF(H460&gt;=MAX(L460,P460),"No weekly","SPY"))</x:f>
        <x:v>Weekly</x:v>
      </x:c>
      <x:c r="R460" s="41" t="n">
        <x:f>IFERROR(L460-P460,"")</x:f>
        <x:v>0.27369502099542226</x:v>
      </x:c>
      <x:c r="S460" s="41" t="n">
        <x:f>IFERROR(H460-P460,"")</x:f>
        <x:v>0.24192877497210752</x:v>
      </x:c>
      <x:c r="T460" s="41" t="n">
        <x:f>IFERROR(I460-M460,"")</x:f>
        <x:v>5.173381999999999</x:v>
      </x:c>
      <x:c r="U460" s="41" t="n">
        <x:f>IFERROR(E460-M460,"")</x:f>
        <x:v>5.044039000000001</x:v>
      </x:c>
      <x:c r="V460" s="41" t="str">
        <x:f>IF(AND(I460&gt;M460,J460&gt;N460),"Sí","No")</x:f>
        <x:v>Sí</x:v>
      </x:c>
      <x:c r="W460" s="41" t="str">
        <x:f>IF(AND(E460&gt;M460,F460&gt;N460),"Sí","No")</x:f>
        <x:v>Sí</x:v>
      </x:c>
      <x:c r="X460" s="41" t="str">
        <x:f>IF(L460&gt;=H460,"Weekly","No weekly")</x:f>
        <x:v>Weekly</x:v>
      </x:c>
      <x:c r="Y460" s="41" t="n">
        <x:f>IFERROR(I460-E460,"")</x:f>
        <x:v>0.12934299999999865</x:v>
      </x:c>
      <x:c r="Z460" s="41" t="n">
        <x:f>IFERROR(J460-F460,"")</x:f>
        <x:v>2.3065270000000027</x:v>
      </x:c>
      <x:c r="AA460" s="41" t="n">
        <x:v>12353</x:v>
      </x:c>
      <x:c r="AB460" s="41" t="n">
        <x:v>5913</x:v>
      </x:c>
    </x:row>
    <x:row r="461">
      <x:c r="A461" s="41" t="str">
        <x:v>HYP_REFINE_AUTO002_TOPN_6_V1_DDGRID_LONGRUN_STRICT_STRICT_NEXT_CLOSE_R12_C22_E72_CR40_REDD_DD8_SL20</x:v>
      </x:c>
      <x:c r="B461" s="41" t="str">
        <x:v>strict_longrun_ddgrid</x:v>
      </x:c>
      <x:c r="C461" s="41" t="str">
        <x:v>1999-01-04</x:v>
      </x:c>
      <x:c r="D461" s="41" t="str">
        <x:v>2026-05-22</x:v>
      </x:c>
      <x:c r="E461" s="41" t="n">
        <x:v>12.894208</x:v>
      </x:c>
      <x:c r="F461" s="41" t="n">
        <x:v>-33.130931</x:v>
      </x:c>
      <x:c r="G461" s="41" t="n">
        <x:v>2667.39687</x:v>
      </x:c>
      <x:c r="H461" s="41" t="n">
        <x:f>IFERROR(E461/ABS(F461),"")</x:f>
        <x:v>0.38918942543449814</x:v>
      </x:c>
      <x:c r="I461" s="41" t="n">
        <x:v>12.48983</x:v>
      </x:c>
      <x:c r="J461" s="41" t="n">
        <x:v>-30.38409</x:v>
      </x:c>
      <x:c r="K461" s="41" t="n">
        <x:v>2408.446359</x:v>
      </x:c>
      <x:c r="L461" s="41" t="n">
        <x:f>IFERROR(I461/ABS(J461),"")</x:f>
        <x:v>0.41106480398129414</x:v>
      </x:c>
      <x:c r="M461" s="41" t="n">
        <x:v>6.802475</x:v>
      </x:c>
      <x:c r="N461" s="41" t="n">
        <x:v>-56.473669</x:v>
      </x:c>
      <x:c r="O461" s="41" t="n">
        <x:v>506.057416</x:v>
      </x:c>
      <x:c r="P461" s="41" t="n">
        <x:f>IFERROR(M461/ABS(N461),"")</x:f>
        <x:v>0.12045392340278087</x:v>
      </x:c>
      <x:c r="Q461" s="41" t="str">
        <x:f>IF(L461&gt;=MAX(H461,P461),"Weekly",IF(H461&gt;=MAX(L461,P461),"No weekly","SPY"))</x:f>
        <x:v>Weekly</x:v>
      </x:c>
      <x:c r="R461" s="41" t="n">
        <x:f>IFERROR(L461-P461,"")</x:f>
        <x:v>0.29061088057851325</x:v>
      </x:c>
      <x:c r="S461" s="41" t="n">
        <x:f>IFERROR(H461-P461,"")</x:f>
        <x:v>0.26873550203171725</x:v>
      </x:c>
      <x:c r="T461" s="41" t="n">
        <x:f>IFERROR(I461-M461,"")</x:f>
        <x:v>5.687354999999999</x:v>
      </x:c>
      <x:c r="U461" s="41" t="n">
        <x:f>IFERROR(E461-M461,"")</x:f>
        <x:v>6.0917330000000005</x:v>
      </x:c>
      <x:c r="V461" s="41" t="str">
        <x:f>IF(AND(I461&gt;M461,J461&gt;N461),"Sí","No")</x:f>
        <x:v>Sí</x:v>
      </x:c>
      <x:c r="W461" s="41" t="str">
        <x:f>IF(AND(E461&gt;M461,F461&gt;N461),"Sí","No")</x:f>
        <x:v>Sí</x:v>
      </x:c>
      <x:c r="X461" s="41" t="str">
        <x:f>IF(L461&gt;=H461,"Weekly","No weekly")</x:f>
        <x:v>Weekly</x:v>
      </x:c>
      <x:c r="Y461" s="41" t="n">
        <x:f>IFERROR(I461-E461,"")</x:f>
        <x:v>-0.40437800000000124</x:v>
      </x:c>
      <x:c r="Z461" s="41" t="n">
        <x:f>IFERROR(J461-F461,"")</x:f>
        <x:v>2.7468409999999963</x:v>
      </x:c>
      <x:c r="AA461" s="41" t="n">
        <x:v>12116</x:v>
      </x:c>
      <x:c r="AB461" s="41" t="n">
        <x:v>5813</x:v>
      </x:c>
    </x:row>
    <x:row r="462">
      <x:c r="A462" s="41" t="str">
        <x:v>HYP_REFINE_AUTO002_TOPN_6_V1_DDGRID_LONGRUN_STRICT_STRICT_NEXT_CLOSE_R12_C22_E75_CR33_REDD_DD7_SL18</x:v>
      </x:c>
      <x:c r="B462" s="41" t="str">
        <x:v>strict_longrun_ddgrid</x:v>
      </x:c>
      <x:c r="C462" s="41" t="str">
        <x:v>1999-01-04</x:v>
      </x:c>
      <x:c r="D462" s="41" t="str">
        <x:v>2026-05-22</x:v>
      </x:c>
      <x:c r="E462" s="41" t="n">
        <x:v>11.143561</x:v>
      </x:c>
      <x:c r="F462" s="41" t="n">
        <x:v>-30.850125</x:v>
      </x:c>
      <x:c r="G462" s="41" t="n">
        <x:v>1704.030283</x:v>
      </x:c>
      <x:c r="H462" s="41" t="n">
        <x:f>IFERROR(E462/ABS(F462),"")</x:f>
        <x:v>0.3612160728684244</x:v>
      </x:c>
      <x:c r="I462" s="41" t="n">
        <x:v>11.046675</x:v>
      </x:c>
      <x:c r="J462" s="41" t="n">
        <x:v>-29.10587</x:v>
      </x:c>
      <x:c r="K462" s="41" t="n">
        <x:v>1661.46608</x:v>
      </x:c>
      <x:c r="L462" s="41" t="n">
        <x:f>IFERROR(I462/ABS(J462),"")</x:f>
        <x:v>0.37953426576838284</x:v>
      </x:c>
      <x:c r="M462" s="41" t="n">
        <x:v>6.802475</x:v>
      </x:c>
      <x:c r="N462" s="41" t="n">
        <x:v>-56.473669</x:v>
      </x:c>
      <x:c r="O462" s="41" t="n">
        <x:v>506.057416</x:v>
      </x:c>
      <x:c r="P462" s="41" t="n">
        <x:f>IFERROR(M462/ABS(N462),"")</x:f>
        <x:v>0.12045392340278087</x:v>
      </x:c>
      <x:c r="Q462" s="41" t="str">
        <x:f>IF(L462&gt;=MAX(H462,P462),"Weekly",IF(H462&gt;=MAX(L462,P462),"No weekly","SPY"))</x:f>
        <x:v>Weekly</x:v>
      </x:c>
      <x:c r="R462" s="41" t="n">
        <x:f>IFERROR(L462-P462,"")</x:f>
        <x:v>0.25908034236560196</x:v>
      </x:c>
      <x:c r="S462" s="41" t="n">
        <x:f>IFERROR(H462-P462,"")</x:f>
        <x:v>0.2407621494656435</x:v>
      </x:c>
      <x:c r="T462" s="41" t="n">
        <x:f>IFERROR(I462-M462,"")</x:f>
        <x:v>4.2442</x:v>
      </x:c>
      <x:c r="U462" s="41" t="n">
        <x:f>IFERROR(E462-M462,"")</x:f>
        <x:v>4.341086</x:v>
      </x:c>
      <x:c r="V462" s="41" t="str">
        <x:f>IF(AND(I462&gt;M462,J462&gt;N462),"Sí","No")</x:f>
        <x:v>Sí</x:v>
      </x:c>
      <x:c r="W462" s="41" t="str">
        <x:f>IF(AND(E462&gt;M462,F462&gt;N462),"Sí","No")</x:f>
        <x:v>Sí</x:v>
      </x:c>
      <x:c r="X462" s="41" t="str">
        <x:f>IF(L462&gt;=H462,"Weekly","No weekly")</x:f>
        <x:v>Weekly</x:v>
      </x:c>
      <x:c r="Y462" s="41" t="n">
        <x:f>IFERROR(I462-E462,"")</x:f>
        <x:v>-0.09688599999999958</x:v>
      </x:c>
      <x:c r="Z462" s="41" t="n">
        <x:f>IFERROR(J462-F462,"")</x:f>
        <x:v>1.744254999999999</x:v>
      </x:c>
      <x:c r="AA462" s="41" t="n">
        <x:v>12268</x:v>
      </x:c>
      <x:c r="AB462" s="41" t="n">
        <x:v>6581</x:v>
      </x:c>
    </x:row>
    <x:row r="463">
      <x:c r="A463" s="41" t="str">
        <x:v>HYP_REFINE_AUTO002_TOPN_6_V1_DDGRID_LONGRUN_STRICT_STRICT_NEXT_CLOSE_R12_C22_E75_CR33_REDD_DD7_SL20</x:v>
      </x:c>
      <x:c r="B463" s="41" t="str">
        <x:v>strict_longrun_ddgrid</x:v>
      </x:c>
      <x:c r="C463" s="41" t="str">
        <x:v>1999-01-04</x:v>
      </x:c>
      <x:c r="D463" s="41" t="str">
        <x:v>2026-05-22</x:v>
      </x:c>
      <x:c r="E463" s="41" t="n">
        <x:v>13.567977</x:v>
      </x:c>
      <x:c r="F463" s="41" t="n">
        <x:v>-31.212187</x:v>
      </x:c>
      <x:c r="G463" s="41" t="n">
        <x:v>3157.045313</x:v>
      </x:c>
      <x:c r="H463" s="41" t="n">
        <x:f>IFERROR(E463/ABS(F463),"")</x:f>
        <x:v>0.43470125947918997</x:v>
      </x:c>
      <x:c r="I463" s="41" t="n">
        <x:v>12.408865</x:v>
      </x:c>
      <x:c r="J463" s="41" t="n">
        <x:v>-29.059406</x:v>
      </x:c>
      <x:c r="K463" s="41" t="n">
        <x:v>2359.482001</x:v>
      </x:c>
      <x:c r="L463" s="41" t="n">
        <x:f>IFERROR(I463/ABS(J463),"")</x:f>
        <x:v>0.42701715926333805</x:v>
      </x:c>
      <x:c r="M463" s="41" t="n">
        <x:v>6.802475</x:v>
      </x:c>
      <x:c r="N463" s="41" t="n">
        <x:v>-56.473669</x:v>
      </x:c>
      <x:c r="O463" s="41" t="n">
        <x:v>506.057416</x:v>
      </x:c>
      <x:c r="P463" s="41" t="n">
        <x:f>IFERROR(M463/ABS(N463),"")</x:f>
        <x:v>0.12045392340278087</x:v>
      </x:c>
      <x:c r="Q463" s="41" t="str">
        <x:f>IF(L463&gt;=MAX(H463,P463),"Weekly",IF(H463&gt;=MAX(L463,P463),"No weekly","SPY"))</x:f>
        <x:v>No weekly</x:v>
      </x:c>
      <x:c r="R463" s="41" t="n">
        <x:f>IFERROR(L463-P463,"")</x:f>
        <x:v>0.30656323586055717</x:v>
      </x:c>
      <x:c r="S463" s="41" t="n">
        <x:f>IFERROR(H463-P463,"")</x:f>
        <x:v>0.3142473360764091</x:v>
      </x:c>
      <x:c r="T463" s="41" t="n">
        <x:f>IFERROR(I463-M463,"")</x:f>
        <x:v>5.60639</x:v>
      </x:c>
      <x:c r="U463" s="41" t="n">
        <x:f>IFERROR(E463-M463,"")</x:f>
        <x:v>6.765502000000001</x:v>
      </x:c>
      <x:c r="V463" s="41" t="str">
        <x:f>IF(AND(I463&gt;M463,J463&gt;N463),"Sí","No")</x:f>
        <x:v>Sí</x:v>
      </x:c>
      <x:c r="W463" s="41" t="str">
        <x:f>IF(AND(E463&gt;M463,F463&gt;N463),"Sí","No")</x:f>
        <x:v>Sí</x:v>
      </x:c>
      <x:c r="X463" s="41" t="str">
        <x:f>IF(L463&gt;=H463,"Weekly","No weekly")</x:f>
        <x:v>No weekly</x:v>
      </x:c>
      <x:c r="Y463" s="41" t="n">
        <x:f>IFERROR(I463-E463,"")</x:f>
        <x:v>-1.1591120000000004</x:v>
      </x:c>
      <x:c r="Z463" s="41" t="n">
        <x:f>IFERROR(J463-F463,"")</x:f>
        <x:v>2.152781000000001</x:v>
      </x:c>
      <x:c r="AA463" s="41" t="n">
        <x:v>12119</x:v>
      </x:c>
      <x:c r="AB463" s="41" t="n">
        <x:v>6225</x:v>
      </x:c>
    </x:row>
    <x:row r="464">
      <x:c r="A464" s="41" t="str">
        <x:v>HYP_REFINE_AUTO002_TOPN_6_V1_DDGRID_LONGRUN_STRICT_STRICT_NEXT_CLOSE_R12_C22_E75_CR33_REDD_DD8_SL20</x:v>
      </x:c>
      <x:c r="B464" s="41" t="str">
        <x:v>strict_longrun_ddgrid</x:v>
      </x:c>
      <x:c r="C464" s="41" t="str">
        <x:v>1999-01-04</x:v>
      </x:c>
      <x:c r="D464" s="41" t="str">
        <x:v>2026-05-22</x:v>
      </x:c>
      <x:c r="E464" s="41" t="n">
        <x:v>12.262474</x:v>
      </x:c>
      <x:c r="F464" s="41" t="n">
        <x:v>-31.517162</x:v>
      </x:c>
      <x:c r="G464" s="41" t="n">
        <x:v>2273.277879</x:v>
      </x:c>
      <x:c r="H464" s="41" t="n">
        <x:f>IFERROR(E464/ABS(F464),"")</x:f>
        <x:v>0.3890729120851681</x:v>
      </x:c>
      <x:c r="I464" s="41" t="n">
        <x:v>12.697074</x:v>
      </x:c>
      <x:c r="J464" s="41" t="n">
        <x:v>-29.059406</x:v>
      </x:c>
      <x:c r="K464" s="41" t="n">
        <x:v>2538.09623</x:v>
      </x:c>
      <x:c r="L464" s="41" t="n">
        <x:f>IFERROR(I464/ABS(J464),"")</x:f>
        <x:v>0.43693508394493685</x:v>
      </x:c>
      <x:c r="M464" s="41" t="n">
        <x:v>6.802475</x:v>
      </x:c>
      <x:c r="N464" s="41" t="n">
        <x:v>-56.473669</x:v>
      </x:c>
      <x:c r="O464" s="41" t="n">
        <x:v>506.057416</x:v>
      </x:c>
      <x:c r="P464" s="41" t="n">
        <x:f>IFERROR(M464/ABS(N464),"")</x:f>
        <x:v>0.12045392340278087</x:v>
      </x:c>
      <x:c r="Q464" s="41" t="str">
        <x:f>IF(L464&gt;=MAX(H464,P464),"Weekly",IF(H464&gt;=MAX(L464,P464),"No weekly","SPY"))</x:f>
        <x:v>Weekly</x:v>
      </x:c>
      <x:c r="R464" s="41" t="n">
        <x:f>IFERROR(L464-P464,"")</x:f>
        <x:v>0.31648116054215597</x:v>
      </x:c>
      <x:c r="S464" s="41" t="n">
        <x:f>IFERROR(H464-P464,"")</x:f>
        <x:v>0.2686189886823872</x:v>
      </x:c>
      <x:c r="T464" s="41" t="n">
        <x:f>IFERROR(I464-M464,"")</x:f>
        <x:v>5.894599</x:v>
      </x:c>
      <x:c r="U464" s="41" t="n">
        <x:f>IFERROR(E464-M464,"")</x:f>
        <x:v>5.459998999999999</x:v>
      </x:c>
      <x:c r="V464" s="41" t="str">
        <x:f>IF(AND(I464&gt;M464,J464&gt;N464),"Sí","No")</x:f>
        <x:v>Sí</x:v>
      </x:c>
      <x:c r="W464" s="41" t="str">
        <x:f>IF(AND(E464&gt;M464,F464&gt;N464),"Sí","No")</x:f>
        <x:v>Sí</x:v>
      </x:c>
      <x:c r="X464" s="41" t="str">
        <x:f>IF(L464&gt;=H464,"Weekly","No weekly")</x:f>
        <x:v>Weekly</x:v>
      </x:c>
      <x:c r="Y464" s="41" t="n">
        <x:f>IFERROR(I464-E464,"")</x:f>
        <x:v>0.43460000000000143</x:v>
      </x:c>
      <x:c r="Z464" s="41" t="n">
        <x:f>IFERROR(J464-F464,"")</x:f>
        <x:v>2.457756</x:v>
      </x:c>
      <x:c r="AA464" s="41" t="n">
        <x:v>11970</x:v>
      </x:c>
      <x:c r="AB464" s="41" t="n">
        <x:v>6366</x:v>
      </x:c>
    </x:row>
    <x:row r="465">
      <x:c r="A465" s="41" t="str">
        <x:v>HYP_REFINE_AUTO002_TOPN_6_V1_DDGRID_LONGRUN_STRICT_STRICT_NEXT_CLOSE_R12_C22_E75_CR36_REDD_DD7_SL18</x:v>
      </x:c>
      <x:c r="B465" s="41" t="str">
        <x:v>strict_longrun_ddgrid</x:v>
      </x:c>
      <x:c r="C465" s="41" t="str">
        <x:v>1999-01-04</x:v>
      </x:c>
      <x:c r="D465" s="41" t="str">
        <x:v>2026-05-22</x:v>
      </x:c>
      <x:c r="E465" s="41" t="n">
        <x:v>11.359067</x:v>
      </x:c>
      <x:c r="F465" s="41" t="n">
        <x:v>-31.529397</x:v>
      </x:c>
      <x:c r="G465" s="41" t="n">
        <x:v>1802.28992</x:v>
      </x:c>
      <x:c r="H465" s="41" t="n">
        <x:f>IFERROR(E465/ABS(F465),"")</x:f>
        <x:v>0.3602690847528736</x:v>
      </x:c>
      <x:c r="I465" s="41" t="n">
        <x:v>10.523451</x:v>
      </x:c>
      <x:c r="J465" s="41" t="n">
        <x:v>-29.904592</x:v>
      </x:c>
      <x:c r="K465" s="41" t="n">
        <x:v>1447.810022</x:v>
      </x:c>
      <x:c r="L465" s="41" t="n">
        <x:f>IFERROR(I465/ABS(J465),"")</x:f>
        <x:v>0.3519008385066748</x:v>
      </x:c>
      <x:c r="M465" s="41" t="n">
        <x:v>6.802475</x:v>
      </x:c>
      <x:c r="N465" s="41" t="n">
        <x:v>-56.473669</x:v>
      </x:c>
      <x:c r="O465" s="41" t="n">
        <x:v>506.057416</x:v>
      </x:c>
      <x:c r="P465" s="41" t="n">
        <x:f>IFERROR(M465/ABS(N465),"")</x:f>
        <x:v>0.12045392340278087</x:v>
      </x:c>
      <x:c r="Q465" s="41" t="str">
        <x:f>IF(L465&gt;=MAX(H465,P465),"Weekly",IF(H465&gt;=MAX(L465,P465),"No weekly","SPY"))</x:f>
        <x:v>No weekly</x:v>
      </x:c>
      <x:c r="R465" s="41" t="n">
        <x:f>IFERROR(L465-P465,"")</x:f>
        <x:v>0.23144691510389392</x:v>
      </x:c>
      <x:c r="S465" s="41" t="n">
        <x:f>IFERROR(H465-P465,"")</x:f>
        <x:v>0.23981516135009273</x:v>
      </x:c>
      <x:c r="T465" s="41" t="n">
        <x:f>IFERROR(I465-M465,"")</x:f>
        <x:v>3.7209759999999994</x:v>
      </x:c>
      <x:c r="U465" s="41" t="n">
        <x:f>IFERROR(E465-M465,"")</x:f>
        <x:v>4.556591999999999</x:v>
      </x:c>
      <x:c r="V465" s="41" t="str">
        <x:f>IF(AND(I465&gt;M465,J465&gt;N465),"Sí","No")</x:f>
        <x:v>Sí</x:v>
      </x:c>
      <x:c r="W465" s="41" t="str">
        <x:f>IF(AND(E465&gt;M465,F465&gt;N465),"Sí","No")</x:f>
        <x:v>Sí</x:v>
      </x:c>
      <x:c r="X465" s="41" t="str">
        <x:f>IF(L465&gt;=H465,"Weekly","No weekly")</x:f>
        <x:v>No weekly</x:v>
      </x:c>
      <x:c r="Y465" s="41" t="n">
        <x:f>IFERROR(I465-E465,"")</x:f>
        <x:v>-0.8356159999999999</x:v>
      </x:c>
      <x:c r="Z465" s="41" t="n">
        <x:f>IFERROR(J465-F465,"")</x:f>
        <x:v>1.6248049999999985</x:v>
      </x:c>
      <x:c r="AA465" s="41" t="n">
        <x:v>12717</x:v>
      </x:c>
      <x:c r="AB465" s="41" t="n">
        <x:v>6092</x:v>
      </x:c>
    </x:row>
    <x:row r="466">
      <x:c r="A466" s="41" t="str">
        <x:v>HYP_REFINE_AUTO002_TOPN_6_V1_DDGRID_LONGRUN_STRICT_STRICT_NEXT_CLOSE_R12_C22_E75_CR36_REDD_DD7_SL20</x:v>
      </x:c>
      <x:c r="B466" s="41" t="str">
        <x:v>strict_longrun_ddgrid</x:v>
      </x:c>
      <x:c r="C466" s="41" t="str">
        <x:v>1999-01-04</x:v>
      </x:c>
      <x:c r="D466" s="41" t="str">
        <x:v>2026-05-22</x:v>
      </x:c>
      <x:c r="E466" s="41" t="n">
        <x:v>12.705316</x:v>
      </x:c>
      <x:c r="F466" s="41" t="n">
        <x:v>-31.922841</x:v>
      </x:c>
      <x:c r="G466" s="41" t="n">
        <x:v>2543.383389</x:v>
      </x:c>
      <x:c r="H466" s="41" t="n">
        <x:f>IFERROR(E466/ABS(F466),"")</x:f>
        <x:v>0.398000791972118</x:v>
      </x:c>
      <x:c r="I466" s="41" t="n">
        <x:v>12.475109</x:v>
      </x:c>
      <x:c r="J466" s="41" t="n">
        <x:v>-29.616002</x:v>
      </x:c>
      <x:c r="K466" s="41" t="n">
        <x:v>2399.474145</x:v>
      </x:c>
      <x:c r="L466" s="41" t="n">
        <x:f>IFERROR(I466/ABS(J466),"")</x:f>
        <x:v>0.42122866550319654</x:v>
      </x:c>
      <x:c r="M466" s="41" t="n">
        <x:v>6.802475</x:v>
      </x:c>
      <x:c r="N466" s="41" t="n">
        <x:v>-56.473669</x:v>
      </x:c>
      <x:c r="O466" s="41" t="n">
        <x:v>506.057416</x:v>
      </x:c>
      <x:c r="P466" s="41" t="n">
        <x:f>IFERROR(M466/ABS(N466),"")</x:f>
        <x:v>0.12045392340278087</x:v>
      </x:c>
      <x:c r="Q466" s="41" t="str">
        <x:f>IF(L466&gt;=MAX(H466,P466),"Weekly",IF(H466&gt;=MAX(L466,P466),"No weekly","SPY"))</x:f>
        <x:v>Weekly</x:v>
      </x:c>
      <x:c r="R466" s="41" t="n">
        <x:f>IFERROR(L466-P466,"")</x:f>
        <x:v>0.30077474210041566</x:v>
      </x:c>
      <x:c r="S466" s="41" t="n">
        <x:f>IFERROR(H466-P466,"")</x:f>
        <x:v>0.27754686856933714</x:v>
      </x:c>
      <x:c r="T466" s="41" t="n">
        <x:f>IFERROR(I466-M466,"")</x:f>
        <x:v>5.6726339999999995</x:v>
      </x:c>
      <x:c r="U466" s="41" t="n">
        <x:f>IFERROR(E466-M466,"")</x:f>
        <x:v>5.902841</x:v>
      </x:c>
      <x:c r="V466" s="41" t="str">
        <x:f>IF(AND(I466&gt;M466,J466&gt;N466),"Sí","No")</x:f>
        <x:v>Sí</x:v>
      </x:c>
      <x:c r="W466" s="41" t="str">
        <x:f>IF(AND(E466&gt;M466,F466&gt;N466),"Sí","No")</x:f>
        <x:v>Sí</x:v>
      </x:c>
      <x:c r="X466" s="41" t="str">
        <x:f>IF(L466&gt;=H466,"Weekly","No weekly")</x:f>
        <x:v>Weekly</x:v>
      </x:c>
      <x:c r="Y466" s="41" t="n">
        <x:f>IFERROR(I466-E466,"")</x:f>
        <x:v>-0.23020700000000005</x:v>
      </x:c>
      <x:c r="Z466" s="41" t="n">
        <x:f>IFERROR(J466-F466,"")</x:f>
        <x:v>2.3068389999999965</x:v>
      </x:c>
      <x:c r="AA466" s="41" t="n">
        <x:v>12088</x:v>
      </x:c>
      <x:c r="AB466" s="41" t="n">
        <x:v>6000</x:v>
      </x:c>
    </x:row>
    <x:row r="467">
      <x:c r="A467" s="41" t="str">
        <x:v>HYP_REFINE_AUTO002_TOPN_6_V1_DDGRID_LONGRUN_STRICT_STRICT_NEXT_CLOSE_R12_C22_E75_CR36_REDD_DD8_SL20</x:v>
      </x:c>
      <x:c r="B467" s="41" t="str">
        <x:v>strict_longrun_ddgrid</x:v>
      </x:c>
      <x:c r="C467" s="41" t="str">
        <x:v>1999-01-04</x:v>
      </x:c>
      <x:c r="D467" s="41" t="str">
        <x:v>2026-05-22</x:v>
      </x:c>
      <x:c r="E467" s="41" t="n">
        <x:v>12.395846</x:v>
      </x:c>
      <x:c r="F467" s="41" t="n">
        <x:v>-32.225413</x:v>
      </x:c>
      <x:c r="G467" s="41" t="n">
        <x:v>2351.695114</x:v>
      </x:c>
      <x:c r="H467" s="41" t="n">
        <x:f>IFERROR(E467/ABS(F467),"")</x:f>
        <x:v>0.38466057828335665</x:v>
      </x:c>
      <x:c r="I467" s="41" t="n">
        <x:v>12.852303</x:v>
      </x:c>
      <x:c r="J467" s="41" t="n">
        <x:v>-29.616002</x:v>
      </x:c>
      <x:c r="K467" s="41" t="n">
        <x:v>2639.410727</x:v>
      </x:c>
      <x:c r="L467" s="41" t="n">
        <x:f>IFERROR(I467/ABS(J467),"")</x:f>
        <x:v>0.43396482077493104</x:v>
      </x:c>
      <x:c r="M467" s="41" t="n">
        <x:v>6.802475</x:v>
      </x:c>
      <x:c r="N467" s="41" t="n">
        <x:v>-56.473669</x:v>
      </x:c>
      <x:c r="O467" s="41" t="n">
        <x:v>506.057416</x:v>
      </x:c>
      <x:c r="P467" s="41" t="n">
        <x:f>IFERROR(M467/ABS(N467),"")</x:f>
        <x:v>0.12045392340278087</x:v>
      </x:c>
      <x:c r="Q467" s="41" t="str">
        <x:f>IF(L467&gt;=MAX(H467,P467),"Weekly",IF(H467&gt;=MAX(L467,P467),"No weekly","SPY"))</x:f>
        <x:v>Weekly</x:v>
      </x:c>
      <x:c r="R467" s="41" t="n">
        <x:f>IFERROR(L467-P467,"")</x:f>
        <x:v>0.31351089737215015</x:v>
      </x:c>
      <x:c r="S467" s="41" t="n">
        <x:f>IFERROR(H467-P467,"")</x:f>
        <x:v>0.26420665488057576</x:v>
      </x:c>
      <x:c r="T467" s="41" t="n">
        <x:f>IFERROR(I467-M467,"")</x:f>
        <x:v>6.049827999999999</x:v>
      </x:c>
      <x:c r="U467" s="41" t="n">
        <x:f>IFERROR(E467-M467,"")</x:f>
        <x:v>5.593371</x:v>
      </x:c>
      <x:c r="V467" s="41" t="str">
        <x:f>IF(AND(I467&gt;M467,J467&gt;N467),"Sí","No")</x:f>
        <x:v>Sí</x:v>
      </x:c>
      <x:c r="W467" s="41" t="str">
        <x:f>IF(AND(E467&gt;M467,F467&gt;N467),"Sí","No")</x:f>
        <x:v>Sí</x:v>
      </x:c>
      <x:c r="X467" s="41" t="str">
        <x:f>IF(L467&gt;=H467,"Weekly","No weekly")</x:f>
        <x:v>Weekly</x:v>
      </x:c>
      <x:c r="Y467" s="41" t="n">
        <x:f>IFERROR(I467-E467,"")</x:f>
        <x:v>0.45645699999999856</x:v>
      </x:c>
      <x:c r="Z467" s="41" t="n">
        <x:f>IFERROR(J467-F467,"")</x:f>
        <x:v>2.6094110000000015</x:v>
      </x:c>
      <x:c r="AA467" s="41" t="n">
        <x:v>11937</x:v>
      </x:c>
      <x:c r="AB467" s="41" t="n">
        <x:v>6064</x:v>
      </x:c>
    </x:row>
    <x:row r="468">
      <x:c r="A468" s="41" t="str">
        <x:v>HYP_REFINE_AUTO002_TOPN_6_V1_DDGRID_LONGRUN_STRICT_STRICT_NEXT_CLOSE_R12_C22_E75_CR40_REDD_DD6_SL18</x:v>
      </x:c>
      <x:c r="B468" s="41" t="str">
        <x:v>strict_longrun_ddgrid</x:v>
      </x:c>
      <x:c r="C468" s="41" t="str">
        <x:v>1999-01-04</x:v>
      </x:c>
      <x:c r="D468" s="41" t="str">
        <x:v>2026-05-22</x:v>
      </x:c>
      <x:c r="E468" s="41" t="n">
        <x:v>11.769693</x:v>
      </x:c>
      <x:c r="F468" s="41" t="n">
        <x:v>-32.687454</x:v>
      </x:c>
      <x:c r="G468" s="41" t="n">
        <x:v>2003.975122</x:v>
      </x:c>
      <x:c r="H468" s="41" t="n">
        <x:f>IFERROR(E468/ABS(F468),"")</x:f>
        <x:v>0.3600675965769619</x:v>
      </x:c>
      <x:c r="I468" s="41" t="n">
        <x:v>11.61993</x:v>
      </x:c>
      <x:c r="J468" s="41" t="n">
        <x:v>-30.591892</x:v>
      </x:c>
      <x:c r="K468" s="41" t="n">
        <x:v>1928.139191</x:v>
      </x:c>
      <x:c r="L468" s="41" t="n">
        <x:f>IFERROR(I468/ABS(J468),"")</x:f>
        <x:v>0.379836918880336</x:v>
      </x:c>
      <x:c r="M468" s="41" t="n">
        <x:v>6.802475</x:v>
      </x:c>
      <x:c r="N468" s="41" t="n">
        <x:v>-56.473669</x:v>
      </x:c>
      <x:c r="O468" s="41" t="n">
        <x:v>506.057416</x:v>
      </x:c>
      <x:c r="P468" s="41" t="n">
        <x:f>IFERROR(M468/ABS(N468),"")</x:f>
        <x:v>0.12045392340278087</x:v>
      </x:c>
      <x:c r="Q468" s="41" t="str">
        <x:f>IF(L468&gt;=MAX(H468,P468),"Weekly",IF(H468&gt;=MAX(L468,P468),"No weekly","SPY"))</x:f>
        <x:v>Weekly</x:v>
      </x:c>
      <x:c r="R468" s="41" t="n">
        <x:f>IFERROR(L468-P468,"")</x:f>
        <x:v>0.2593829954775551</x:v>
      </x:c>
      <x:c r="S468" s="41" t="n">
        <x:f>IFERROR(H468-P468,"")</x:f>
        <x:v>0.23961367317418103</x:v>
      </x:c>
      <x:c r="T468" s="41" t="n">
        <x:f>IFERROR(I468-M468,"")</x:f>
        <x:v>4.817455</x:v>
      </x:c>
      <x:c r="U468" s="41" t="n">
        <x:f>IFERROR(E468-M468,"")</x:f>
        <x:v>4.967218</x:v>
      </x:c>
      <x:c r="V468" s="41" t="str">
        <x:f>IF(AND(I468&gt;M468,J468&gt;N468),"Sí","No")</x:f>
        <x:v>Sí</x:v>
      </x:c>
      <x:c r="W468" s="41" t="str">
        <x:f>IF(AND(E468&gt;M468,F468&gt;N468),"Sí","No")</x:f>
        <x:v>Sí</x:v>
      </x:c>
      <x:c r="X468" s="41" t="str">
        <x:f>IF(L468&gt;=H468,"Weekly","No weekly")</x:f>
        <x:v>Weekly</x:v>
      </x:c>
      <x:c r="Y468" s="41" t="n">
        <x:f>IFERROR(I468-E468,"")</x:f>
        <x:v>-0.1497630000000001</x:v>
      </x:c>
      <x:c r="Z468" s="41" t="n">
        <x:f>IFERROR(J468-F468,"")</x:f>
        <x:v>2.095562000000001</x:v>
      </x:c>
      <x:c r="AA468" s="41" t="n">
        <x:v>12598</x:v>
      </x:c>
      <x:c r="AB468" s="41" t="n">
        <x:v>6203</x:v>
      </x:c>
    </x:row>
    <x:row r="469">
      <x:c r="A469" s="41" t="str">
        <x:v>HYP_REFINE_AUTO002_TOPN_6_V1_DDGRID_LONGRUN_STRICT_STRICT_NEXT_CLOSE_R12_C22_E75_CR40_REDD_DD6_SL20</x:v>
      </x:c>
      <x:c r="B469" s="41" t="str">
        <x:v>strict_longrun_ddgrid</x:v>
      </x:c>
      <x:c r="C469" s="41" t="str">
        <x:v>1999-01-04</x:v>
      </x:c>
      <x:c r="D469" s="41" t="str">
        <x:v>2026-05-22</x:v>
      </x:c>
      <x:c r="E469" s="41" t="n">
        <x:v>13.828096</x:v>
      </x:c>
      <x:c r="F469" s="41" t="n">
        <x:v>-33.105555</x:v>
      </x:c>
      <x:c r="G469" s="41" t="n">
        <x:v>3367.580522</x:v>
      </x:c>
      <x:c r="H469" s="41" t="n">
        <x:f>IFERROR(E469/ABS(F469),"")</x:f>
        <x:v>0.41769715082559405</x:v>
      </x:c>
      <x:c r="I469" s="41" t="n">
        <x:v>12.305034</x:v>
      </x:c>
      <x:c r="J469" s="41" t="n">
        <x:v>-29.845302</x:v>
      </x:c>
      <x:c r="K469" s="41" t="n">
        <x:v>2298.035076</x:v>
      </x:c>
      <x:c r="L469" s="41" t="n">
        <x:f>IFERROR(I469/ABS(J469),"")</x:f>
        <x:v>0.4122938343863969</x:v>
      </x:c>
      <x:c r="M469" s="41" t="n">
        <x:v>6.802475</x:v>
      </x:c>
      <x:c r="N469" s="41" t="n">
        <x:v>-56.473669</x:v>
      </x:c>
      <x:c r="O469" s="41" t="n">
        <x:v>506.057416</x:v>
      </x:c>
      <x:c r="P469" s="41" t="n">
        <x:f>IFERROR(M469/ABS(N469),"")</x:f>
        <x:v>0.12045392340278087</x:v>
      </x:c>
      <x:c r="Q469" s="41" t="str">
        <x:f>IF(L469&gt;=MAX(H469,P469),"Weekly",IF(H469&gt;=MAX(L469,P469),"No weekly","SPY"))</x:f>
        <x:v>No weekly</x:v>
      </x:c>
      <x:c r="R469" s="41" t="n">
        <x:f>IFERROR(L469-P469,"")</x:f>
        <x:v>0.291839910983616</x:v>
      </x:c>
      <x:c r="S469" s="41" t="n">
        <x:f>IFERROR(H469-P469,"")</x:f>
        <x:v>0.29724322742281317</x:v>
      </x:c>
      <x:c r="T469" s="41" t="n">
        <x:f>IFERROR(I469-M469,"")</x:f>
        <x:v>5.502558999999999</x:v>
      </x:c>
      <x:c r="U469" s="41" t="n">
        <x:f>IFERROR(E469-M469,"")</x:f>
        <x:v>7.025621</x:v>
      </x:c>
      <x:c r="V469" s="41" t="str">
        <x:f>IF(AND(I469&gt;M469,J469&gt;N469),"Sí","No")</x:f>
        <x:v>Sí</x:v>
      </x:c>
      <x:c r="W469" s="41" t="str">
        <x:f>IF(AND(E469&gt;M469,F469&gt;N469),"Sí","No")</x:f>
        <x:v>Sí</x:v>
      </x:c>
      <x:c r="X469" s="41" t="str">
        <x:f>IF(L469&gt;=H469,"Weekly","No weekly")</x:f>
        <x:v>No weekly</x:v>
      </x:c>
      <x:c r="Y469" s="41" t="n">
        <x:f>IFERROR(I469-E469,"")</x:f>
        <x:v>-1.5230620000000012</x:v>
      </x:c>
      <x:c r="Z469" s="41" t="n">
        <x:f>IFERROR(J469-F469,"")</x:f>
        <x:v>3.2602530000000023</x:v>
      </x:c>
      <x:c r="AA469" s="41" t="n">
        <x:v>12302</x:v>
      </x:c>
      <x:c r="AB469" s="41" t="n">
        <x:v>5962</x:v>
      </x:c>
    </x:row>
    <x:row r="470">
      <x:c r="A470" s="41" t="str">
        <x:v>HYP_REFINE_AUTO002_TOPN_6_V1_DDGRID_LONGRUN_STRICT_STRICT_NEXT_CLOSE_R12_C22_E75_CR40_REDD_DD7_SL16</x:v>
      </x:c>
      <x:c r="B470" s="41" t="str">
        <x:v>strict_longrun_ddgrid</x:v>
      </x:c>
      <x:c r="C470" s="41" t="str">
        <x:v>1999-01-04</x:v>
      </x:c>
      <x:c r="D470" s="41" t="str">
        <x:v>2026-05-22</x:v>
      </x:c>
      <x:c r="E470" s="41" t="n">
        <x:v>11.688284</x:v>
      </x:c>
      <x:c r="F470" s="41" t="n">
        <x:v>-32.738333</x:v>
      </x:c>
      <x:c r="G470" s="41" t="n">
        <x:v>1962.419415</x:v>
      </x:c>
      <x:c r="H470" s="41" t="n">
        <x:f>IFERROR(E470/ABS(F470),"")</x:f>
        <x:v>0.35702135475254654</x:v>
      </x:c>
      <x:c r="I470" s="41" t="n">
        <x:v>12.138214</x:v>
      </x:c>
      <x:c r="J470" s="41" t="n">
        <x:v>-30.349886</x:v>
      </x:c>
      <x:c r="K470" s="41" t="n">
        <x:v>2202.397143</x:v>
      </x:c>
      <x:c r="L470" s="41" t="n">
        <x:f>IFERROR(I470/ABS(J470),"")</x:f>
        <x:v>0.399942655468294</x:v>
      </x:c>
      <x:c r="M470" s="41" t="n">
        <x:v>6.802475</x:v>
      </x:c>
      <x:c r="N470" s="41" t="n">
        <x:v>-56.473669</x:v>
      </x:c>
      <x:c r="O470" s="41" t="n">
        <x:v>506.057416</x:v>
      </x:c>
      <x:c r="P470" s="41" t="n">
        <x:f>IFERROR(M470/ABS(N470),"")</x:f>
        <x:v>0.12045392340278087</x:v>
      </x:c>
      <x:c r="Q470" s="41" t="str">
        <x:f>IF(L470&gt;=MAX(H470,P470),"Weekly",IF(H470&gt;=MAX(L470,P470),"No weekly","SPY"))</x:f>
        <x:v>Weekly</x:v>
      </x:c>
      <x:c r="R470" s="41" t="n">
        <x:f>IFERROR(L470-P470,"")</x:f>
        <x:v>0.2794887320655131</x:v>
      </x:c>
      <x:c r="S470" s="41" t="n">
        <x:f>IFERROR(H470-P470,"")</x:f>
        <x:v>0.23656743134976566</x:v>
      </x:c>
      <x:c r="T470" s="41" t="n">
        <x:f>IFERROR(I470-M470,"")</x:f>
        <x:v>5.335738999999999</x:v>
      </x:c>
      <x:c r="U470" s="41" t="n">
        <x:f>IFERROR(E470-M470,"")</x:f>
        <x:v>4.885808999999999</x:v>
      </x:c>
      <x:c r="V470" s="41" t="str">
        <x:f>IF(AND(I470&gt;M470,J470&gt;N470),"Sí","No")</x:f>
        <x:v>Sí</x:v>
      </x:c>
      <x:c r="W470" s="41" t="str">
        <x:f>IF(AND(E470&gt;M470,F470&gt;N470),"Sí","No")</x:f>
        <x:v>Sí</x:v>
      </x:c>
      <x:c r="X470" s="41" t="str">
        <x:f>IF(L470&gt;=H470,"Weekly","No weekly")</x:f>
        <x:v>Weekly</x:v>
      </x:c>
      <x:c r="Y470" s="41" t="n">
        <x:f>IFERROR(I470-E470,"")</x:f>
        <x:v>0.44993000000000016</x:v>
      </x:c>
      <x:c r="Z470" s="41" t="n">
        <x:f>IFERROR(J470-F470,"")</x:f>
        <x:v>2.3884469999999958</x:v>
      </x:c>
      <x:c r="AA470" s="41" t="n">
        <x:v>12277</x:v>
      </x:c>
      <x:c r="AB470" s="41" t="n">
        <x:v>5973</x:v>
      </x:c>
    </x:row>
    <x:row r="471">
      <x:c r="A471" s="41" t="str">
        <x:v>HYP_REFINE_AUTO002_TOPN_6_V1_DDGRID_LONGRUN_STRICT_STRICT_NEXT_CLOSE_R12_C22_E75_CR40_REDD_DD7_SL18</x:v>
      </x:c>
      <x:c r="B471" s="41" t="str">
        <x:v>strict_longrun_ddgrid</x:v>
      </x:c>
      <x:c r="C471" s="41" t="str">
        <x:v>1999-01-04</x:v>
      </x:c>
      <x:c r="D471" s="41" t="str">
        <x:v>2026-05-22</x:v>
      </x:c>
      <x:c r="E471" s="41" t="n">
        <x:v>11.939755</x:v>
      </x:c>
      <x:c r="F471" s="41" t="n">
        <x:v>-32.430887</x:v>
      </x:c>
      <x:c r="G471" s="41" t="n">
        <x:v>2093.403345</x:v>
      </x:c>
      <x:c r="H471" s="41" t="n">
        <x:f>IFERROR(E471/ABS(F471),"")</x:f>
        <x:v>0.36815998896360747</x:v>
      </x:c>
      <x:c r="I471" s="41" t="n">
        <x:v>11.905022</x:v>
      </x:c>
      <x:c r="J471" s="41" t="n">
        <x:v>-30.591892</x:v>
      </x:c>
      <x:c r="K471" s="41" t="n">
        <x:v>2074.845863</x:v>
      </x:c>
      <x:c r="L471" s="41" t="n">
        <x:f>IFERROR(I471/ABS(J471),"")</x:f>
        <x:v>0.3891561201902779</x:v>
      </x:c>
      <x:c r="M471" s="41" t="n">
        <x:v>6.802475</x:v>
      </x:c>
      <x:c r="N471" s="41" t="n">
        <x:v>-56.473669</x:v>
      </x:c>
      <x:c r="O471" s="41" t="n">
        <x:v>506.057416</x:v>
      </x:c>
      <x:c r="P471" s="41" t="n">
        <x:f>IFERROR(M471/ABS(N471),"")</x:f>
        <x:v>0.12045392340278087</x:v>
      </x:c>
      <x:c r="Q471" s="41" t="str">
        <x:f>IF(L471&gt;=MAX(H471,P471),"Weekly",IF(H471&gt;=MAX(L471,P471),"No weekly","SPY"))</x:f>
        <x:v>Weekly</x:v>
      </x:c>
      <x:c r="R471" s="41" t="n">
        <x:f>IFERROR(L471-P471,"")</x:f>
        <x:v>0.268702196787497</x:v>
      </x:c>
      <x:c r="S471" s="41" t="n">
        <x:f>IFERROR(H471-P471,"")</x:f>
        <x:v>0.24770606556082658</x:v>
      </x:c>
      <x:c r="T471" s="41" t="n">
        <x:f>IFERROR(I471-M471,"")</x:f>
        <x:v>5.102547</x:v>
      </x:c>
      <x:c r="U471" s="41" t="n">
        <x:f>IFERROR(E471-M471,"")</x:f>
        <x:v>5.13728</x:v>
      </x:c>
      <x:c r="V471" s="41" t="str">
        <x:f>IF(AND(I471&gt;M471,J471&gt;N471),"Sí","No")</x:f>
        <x:v>Sí</x:v>
      </x:c>
      <x:c r="W471" s="41" t="str">
        <x:f>IF(AND(E471&gt;M471,F471&gt;N471),"Sí","No")</x:f>
        <x:v>Sí</x:v>
      </x:c>
      <x:c r="X471" s="41" t="str">
        <x:f>IF(L471&gt;=H471,"Weekly","No weekly")</x:f>
        <x:v>Weekly</x:v>
      </x:c>
      <x:c r="Y471" s="41" t="n">
        <x:f>IFERROR(I471-E471,"")</x:f>
        <x:v>-0.03473299999999924</x:v>
      </x:c>
      <x:c r="Z471" s="41" t="n">
        <x:f>IFERROR(J471-F471,"")</x:f>
        <x:v>1.838994999999997</x:v>
      </x:c>
      <x:c r="AA471" s="41" t="n">
        <x:v>12323</x:v>
      </x:c>
      <x:c r="AB471" s="41" t="n">
        <x:v>6058</x:v>
      </x:c>
    </x:row>
    <x:row r="472">
      <x:c r="A472" s="41" t="str">
        <x:v>HYP_REFINE_AUTO002_TOPN_6_V1_DDGRID_LONGRUN_STRICT_STRICT_NEXT_CLOSE_R12_C22_E75_CR40_REDD_DD7_SL20</x:v>
      </x:c>
      <x:c r="B472" s="41" t="str">
        <x:v>strict_longrun_ddgrid</x:v>
      </x:c>
      <x:c r="C472" s="41" t="str">
        <x:v>1999-01-04</x:v>
      </x:c>
      <x:c r="D472" s="41" t="str">
        <x:v>2026-05-22</x:v>
      </x:c>
      <x:c r="E472" s="41" t="n">
        <x:v>12.717321</x:v>
      </x:c>
      <x:c r="F472" s="41" t="n">
        <x:v>-32.865843</x:v>
      </x:c>
      <x:c r="G472" s="41" t="n">
        <x:v>2551.103435</x:v>
      </x:c>
      <x:c r="H472" s="41" t="n">
        <x:f>IFERROR(E472/ABS(F472),"")</x:f>
        <x:v>0.3869464416293841</x:v>
      </x:c>
      <x:c r="I472" s="41" t="n">
        <x:v>12.348863</x:v>
      </x:c>
      <x:c r="J472" s="41" t="n">
        <x:v>-29.845302</x:v>
      </x:c>
      <x:c r="K472" s="41" t="n">
        <x:v>2323.790605</x:v>
      </x:c>
      <x:c r="L472" s="41" t="n">
        <x:f>IFERROR(I472/ABS(J472),"")</x:f>
        <x:v>0.4137623737230067</x:v>
      </x:c>
      <x:c r="M472" s="41" t="n">
        <x:v>6.802475</x:v>
      </x:c>
      <x:c r="N472" s="41" t="n">
        <x:v>-56.473669</x:v>
      </x:c>
      <x:c r="O472" s="41" t="n">
        <x:v>506.057416</x:v>
      </x:c>
      <x:c r="P472" s="41" t="n">
        <x:f>IFERROR(M472/ABS(N472),"")</x:f>
        <x:v>0.12045392340278087</x:v>
      </x:c>
      <x:c r="Q472" s="41" t="str">
        <x:f>IF(L472&gt;=MAX(H472,P472),"Weekly",IF(H472&gt;=MAX(L472,P472),"No weekly","SPY"))</x:f>
        <x:v>Weekly</x:v>
      </x:c>
      <x:c r="R472" s="41" t="n">
        <x:f>IFERROR(L472-P472,"")</x:f>
        <x:v>0.29330845032022584</x:v>
      </x:c>
      <x:c r="S472" s="41" t="n">
        <x:f>IFERROR(H472-P472,"")</x:f>
        <x:v>0.2664925182266032</x:v>
      </x:c>
      <x:c r="T472" s="41" t="n">
        <x:f>IFERROR(I472-M472,"")</x:f>
        <x:v>5.546387999999999</x:v>
      </x:c>
      <x:c r="U472" s="41" t="n">
        <x:f>IFERROR(E472-M472,"")</x:f>
        <x:v>5.914846</x:v>
      </x:c>
      <x:c r="V472" s="41" t="str">
        <x:f>IF(AND(I472&gt;M472,J472&gt;N472),"Sí","No")</x:f>
        <x:v>Sí</x:v>
      </x:c>
      <x:c r="W472" s="41" t="str">
        <x:f>IF(AND(E472&gt;M472,F472&gt;N472),"Sí","No")</x:f>
        <x:v>Sí</x:v>
      </x:c>
      <x:c r="X472" s="41" t="str">
        <x:f>IF(L472&gt;=H472,"Weekly","No weekly")</x:f>
        <x:v>Weekly</x:v>
      </x:c>
      <x:c r="Y472" s="41" t="n">
        <x:f>IFERROR(I472-E472,"")</x:f>
        <x:v>-0.3684580000000004</x:v>
      </x:c>
      <x:c r="Z472" s="41" t="n">
        <x:f>IFERROR(J472-F472,"")</x:f>
        <x:v>3.020540999999998</x:v>
      </x:c>
      <x:c r="AA472" s="41" t="n">
        <x:v>12094</x:v>
      </x:c>
      <x:c r="AB472" s="41" t="n">
        <x:v>5930</x:v>
      </x:c>
    </x:row>
    <x:row r="473">
      <x:c r="A473" s="41" t="str">
        <x:v>HYP_REFINE_AUTO002_TOPN_6_V1_DDGRID_LONGRUN_STRICT_STRICT_NEXT_CLOSE_R12_C22_E75_CR40_REDD_DD7_SL22</x:v>
      </x:c>
      <x:c r="B473" s="41" t="str">
        <x:v>strict_longrun_ddgrid</x:v>
      </x:c>
      <x:c r="C473" s="41" t="str">
        <x:v>1999-01-04</x:v>
      </x:c>
      <x:c r="D473" s="41" t="str">
        <x:v>2026-05-22</x:v>
      </x:c>
      <x:c r="E473" s="41" t="n">
        <x:v>13.327513</x:v>
      </x:c>
      <x:c r="F473" s="41" t="n">
        <x:v>-34.623496</x:v>
      </x:c>
      <x:c r="G473" s="41" t="n">
        <x:v>2973.413877</x:v>
      </x:c>
      <x:c r="H473" s="41" t="n">
        <x:f>IFERROR(E473/ABS(F473),"")</x:f>
        <x:v>0.38492684274285877</x:v>
      </x:c>
      <x:c r="I473" s="41" t="n">
        <x:v>12.583048</x:v>
      </x:c>
      <x:c r="J473" s="41" t="n">
        <x:v>-29.778907</x:v>
      </x:c>
      <x:c r="K473" s="41" t="n">
        <x:v>2465.984476</x:v>
      </x:c>
      <x:c r="L473" s="41" t="n">
        <x:f>IFERROR(I473/ABS(J473),"")</x:f>
        <x:v>0.422549021023505</x:v>
      </x:c>
      <x:c r="M473" s="41" t="n">
        <x:v>6.802475</x:v>
      </x:c>
      <x:c r="N473" s="41" t="n">
        <x:v>-56.473669</x:v>
      </x:c>
      <x:c r="O473" s="41" t="n">
        <x:v>506.057416</x:v>
      </x:c>
      <x:c r="P473" s="41" t="n">
        <x:f>IFERROR(M473/ABS(N473),"")</x:f>
        <x:v>0.12045392340278087</x:v>
      </x:c>
      <x:c r="Q473" s="41" t="str">
        <x:f>IF(L473&gt;=MAX(H473,P473),"Weekly",IF(H473&gt;=MAX(L473,P473),"No weekly","SPY"))</x:f>
        <x:v>Weekly</x:v>
      </x:c>
      <x:c r="R473" s="41" t="n">
        <x:f>IFERROR(L473-P473,"")</x:f>
        <x:v>0.3020950976207241</x:v>
      </x:c>
      <x:c r="S473" s="41" t="n">
        <x:f>IFERROR(H473-P473,"")</x:f>
        <x:v>0.2644729193400779</x:v>
      </x:c>
      <x:c r="T473" s="41" t="n">
        <x:f>IFERROR(I473-M473,"")</x:f>
        <x:v>5.7805729999999995</x:v>
      </x:c>
      <x:c r="U473" s="41" t="n">
        <x:f>IFERROR(E473-M473,"")</x:f>
        <x:v>6.5250379999999994</x:v>
      </x:c>
      <x:c r="V473" s="41" t="str">
        <x:f>IF(AND(I473&gt;M473,J473&gt;N473),"Sí","No")</x:f>
        <x:v>Sí</x:v>
      </x:c>
      <x:c r="W473" s="41" t="str">
        <x:f>IF(AND(E473&gt;M473,F473&gt;N473),"Sí","No")</x:f>
        <x:v>Sí</x:v>
      </x:c>
      <x:c r="X473" s="41" t="str">
        <x:f>IF(L473&gt;=H473,"Weekly","No weekly")</x:f>
        <x:v>Weekly</x:v>
      </x:c>
      <x:c r="Y473" s="41" t="n">
        <x:f>IFERROR(I473-E473,"")</x:f>
        <x:v>-0.7444649999999999</x:v>
      </x:c>
      <x:c r="Z473" s="41" t="n">
        <x:f>IFERROR(J473-F473,"")</x:f>
        <x:v>4.844589000000003</x:v>
      </x:c>
      <x:c r="AA473" s="41" t="n">
        <x:v>12221</x:v>
      </x:c>
      <x:c r="AB473" s="41" t="n">
        <x:v>5821</x:v>
      </x:c>
    </x:row>
    <x:row r="474">
      <x:c r="A474" s="41" t="str">
        <x:v>HYP_REFINE_AUTO002_TOPN_6_V1_DDGRID_LONGRUN_STRICT_STRICT_NEXT_CLOSE_R12_C22_E75_CR40_REDD_DD8_SL18</x:v>
      </x:c>
      <x:c r="B474" s="41" t="str">
        <x:v>strict_longrun_ddgrid</x:v>
      </x:c>
      <x:c r="C474" s="41" t="str">
        <x:v>1999-01-04</x:v>
      </x:c>
      <x:c r="D474" s="41" t="str">
        <x:v>2026-05-22</x:v>
      </x:c>
      <x:c r="E474" s="41" t="n">
        <x:v>11.768135</x:v>
      </x:c>
      <x:c r="F474" s="41" t="n">
        <x:v>-32.82392</x:v>
      </x:c>
      <x:c r="G474" s="41" t="n">
        <x:v>2003.172394</x:v>
      </x:c>
      <x:c r="H474" s="41" t="n">
        <x:f>IFERROR(E474/ABS(F474),"")</x:f>
        <x:v>0.35852314409735336</x:v>
      </x:c>
      <x:c r="I474" s="41" t="n">
        <x:v>12.189138</x:v>
      </x:c>
      <x:c r="J474" s="41" t="n">
        <x:v>-30.591892</x:v>
      </x:c>
      <x:c r="K474" s="41" t="n">
        <x:v>2231.195611</x:v>
      </x:c>
      <x:c r="L474" s="41" t="n">
        <x:f>IFERROR(I474/ABS(J474),"")</x:f>
        <x:v>0.39844341762189794</x:v>
      </x:c>
      <x:c r="M474" s="41" t="n">
        <x:v>6.802475</x:v>
      </x:c>
      <x:c r="N474" s="41" t="n">
        <x:v>-56.473669</x:v>
      </x:c>
      <x:c r="O474" s="41" t="n">
        <x:v>506.057416</x:v>
      </x:c>
      <x:c r="P474" s="41" t="n">
        <x:f>IFERROR(M474/ABS(N474),"")</x:f>
        <x:v>0.12045392340278087</x:v>
      </x:c>
      <x:c r="Q474" s="41" t="str">
        <x:f>IF(L474&gt;=MAX(H474,P474),"Weekly",IF(H474&gt;=MAX(L474,P474),"No weekly","SPY"))</x:f>
        <x:v>Weekly</x:v>
      </x:c>
      <x:c r="R474" s="41" t="n">
        <x:f>IFERROR(L474-P474,"")</x:f>
        <x:v>0.27798949421911706</x:v>
      </x:c>
      <x:c r="S474" s="41" t="n">
        <x:f>IFERROR(H474-P474,"")</x:f>
        <x:v>0.23806922069457248</x:v>
      </x:c>
      <x:c r="T474" s="41" t="n">
        <x:f>IFERROR(I474-M474,"")</x:f>
        <x:v>5.3866629999999995</x:v>
      </x:c>
      <x:c r="U474" s="41" t="n">
        <x:f>IFERROR(E474-M474,"")</x:f>
        <x:v>4.965659999999999</x:v>
      </x:c>
      <x:c r="V474" s="41" t="str">
        <x:f>IF(AND(I474&gt;M474,J474&gt;N474),"Sí","No")</x:f>
        <x:v>Sí</x:v>
      </x:c>
      <x:c r="W474" s="41" t="str">
        <x:f>IF(AND(E474&gt;M474,F474&gt;N474),"Sí","No")</x:f>
        <x:v>Sí</x:v>
      </x:c>
      <x:c r="X474" s="41" t="str">
        <x:f>IF(L474&gt;=H474,"Weekly","No weekly")</x:f>
        <x:v>Weekly</x:v>
      </x:c>
      <x:c r="Y474" s="41" t="n">
        <x:f>IFERROR(I474-E474,"")</x:f>
        <x:v>0.4210030000000007</x:v>
      </x:c>
      <x:c r="Z474" s="41" t="n">
        <x:f>IFERROR(J474-F474,"")</x:f>
        <x:v>2.2320279999999997</x:v>
      </x:c>
      <x:c r="AA474" s="41" t="n">
        <x:v>12237</x:v>
      </x:c>
      <x:c r="AB474" s="41" t="n">
        <x:v>5804</x:v>
      </x:c>
    </x:row>
    <x:row r="475">
      <x:c r="A475" s="41" t="str">
        <x:v>HYP_REFINE_AUTO002_TOPN_6_V1_DDGRID_LONGRUN_STRICT_STRICT_NEXT_CLOSE_R12_C22_E75_CR40_REDD_DD8_SL20</x:v>
      </x:c>
      <x:c r="B475" s="41" t="str">
        <x:v>strict_longrun_ddgrid</x:v>
      </x:c>
      <x:c r="C475" s="41" t="str">
        <x:v>1999-01-04</x:v>
      </x:c>
      <x:c r="D475" s="41" t="str">
        <x:v>2026-05-22</x:v>
      </x:c>
      <x:c r="E475" s="41" t="n">
        <x:v>12.588488</x:v>
      </x:c>
      <x:c r="F475" s="41" t="n">
        <x:v>-33.16432</x:v>
      </x:c>
      <x:c r="G475" s="41" t="n">
        <x:v>2469.38129</x:v>
      </x:c>
      <x:c r="H475" s="41" t="n">
        <x:f>IFERROR(E475/ABS(F475),"")</x:f>
        <x:v>0.3795792586731765</x:v>
      </x:c>
      <x:c r="I475" s="41" t="n">
        <x:v>12.763985</x:v>
      </x:c>
      <x:c r="J475" s="41" t="n">
        <x:v>-29.845302</x:v>
      </x:c>
      <x:c r="K475" s="41" t="n">
        <x:v>2581.317037</x:v>
      </x:c>
      <x:c r="L475" s="41" t="n">
        <x:f>IFERROR(I475/ABS(J475),"")</x:f>
        <x:v>0.42767149751073047</x:v>
      </x:c>
      <x:c r="M475" s="41" t="n">
        <x:v>6.802475</x:v>
      </x:c>
      <x:c r="N475" s="41" t="n">
        <x:v>-56.473669</x:v>
      </x:c>
      <x:c r="O475" s="41" t="n">
        <x:v>506.057416</x:v>
      </x:c>
      <x:c r="P475" s="41" t="n">
        <x:f>IFERROR(M475/ABS(N475),"")</x:f>
        <x:v>0.12045392340278087</x:v>
      </x:c>
      <x:c r="Q475" s="41" t="str">
        <x:f>IF(L475&gt;=MAX(H475,P475),"Weekly",IF(H475&gt;=MAX(L475,P475),"No weekly","SPY"))</x:f>
        <x:v>Weekly</x:v>
      </x:c>
      <x:c r="R475" s="41" t="n">
        <x:f>IFERROR(L475-P475,"")</x:f>
        <x:v>0.3072175741079496</x:v>
      </x:c>
      <x:c r="S475" s="41" t="n">
        <x:f>IFERROR(H475-P475,"")</x:f>
        <x:v>0.2591253352703956</x:v>
      </x:c>
      <x:c r="T475" s="41" t="n">
        <x:f>IFERROR(I475-M475,"")</x:f>
        <x:v>5.96151</x:v>
      </x:c>
      <x:c r="U475" s="41" t="n">
        <x:f>IFERROR(E475-M475,"")</x:f>
        <x:v>5.786013</x:v>
      </x:c>
      <x:c r="V475" s="41" t="str">
        <x:f>IF(AND(I475&gt;M475,J475&gt;N475),"Sí","No")</x:f>
        <x:v>Sí</x:v>
      </x:c>
      <x:c r="W475" s="41" t="str">
        <x:f>IF(AND(E475&gt;M475,F475&gt;N475),"Sí","No")</x:f>
        <x:v>Sí</x:v>
      </x:c>
      <x:c r="X475" s="41" t="str">
        <x:f>IF(L475&gt;=H475,"Weekly","No weekly")</x:f>
        <x:v>Weekly</x:v>
      </x:c>
      <x:c r="Y475" s="41" t="n">
        <x:f>IFERROR(I475-E475,"")</x:f>
        <x:v>0.17549700000000001</x:v>
      </x:c>
      <x:c r="Z475" s="41" t="n">
        <x:f>IFERROR(J475-F475,"")</x:f>
        <x:v>3.3190179999999962</x:v>
      </x:c>
      <x:c r="AA475" s="41" t="n">
        <x:v>11972</x:v>
      </x:c>
      <x:c r="AB475" s="41" t="n">
        <x:v>5774</x:v>
      </x:c>
    </x:row>
    <x:row r="476">
      <x:c r="A476" s="41" t="str">
        <x:v>HYP_REFINE_AUTO002_TOPN_6_V1_DDGRID_LONGRUN_STRICT_STRICT_NEXT_CLOSE_R12_C22_E75_CR40_REDD_DD8_SL22</x:v>
      </x:c>
      <x:c r="B476" s="41" t="str">
        <x:v>strict_longrun_ddgrid</x:v>
      </x:c>
      <x:c r="C476" s="41" t="str">
        <x:v>1999-01-04</x:v>
      </x:c>
      <x:c r="D476" s="41" t="str">
        <x:v>2026-05-22</x:v>
      </x:c>
      <x:c r="E476" s="41" t="n">
        <x:v>12.016826</x:v>
      </x:c>
      <x:c r="F476" s="41" t="n">
        <x:v>-34.623496</x:v>
      </x:c>
      <x:c r="G476" s="41" t="n">
        <x:v>2135.127074</x:v>
      </x:c>
      <x:c r="H476" s="41" t="n">
        <x:f>IFERROR(E476/ABS(F476),"")</x:f>
        <x:v>0.3470714222503701</x:v>
      </x:c>
      <x:c r="I476" s="41" t="n">
        <x:v>12.862282</x:v>
      </x:c>
      <x:c r="J476" s="41" t="n">
        <x:v>-29.778907</x:v>
      </x:c>
      <x:c r="K476" s="41" t="n">
        <x:v>2646.05001</x:v>
      </x:c>
      <x:c r="L476" s="41" t="n">
        <x:f>IFERROR(I476/ABS(J476),"")</x:f>
        <x:v>0.43192592662987933</x:v>
      </x:c>
      <x:c r="M476" s="41" t="n">
        <x:v>6.802475</x:v>
      </x:c>
      <x:c r="N476" s="41" t="n">
        <x:v>-56.473669</x:v>
      </x:c>
      <x:c r="O476" s="41" t="n">
        <x:v>506.057416</x:v>
      </x:c>
      <x:c r="P476" s="41" t="n">
        <x:f>IFERROR(M476/ABS(N476),"")</x:f>
        <x:v>0.12045392340278087</x:v>
      </x:c>
      <x:c r="Q476" s="41" t="str">
        <x:f>IF(L476&gt;=MAX(H476,P476),"Weekly",IF(H476&gt;=MAX(L476,P476),"No weekly","SPY"))</x:f>
        <x:v>Weekly</x:v>
      </x:c>
      <x:c r="R476" s="41" t="n">
        <x:f>IFERROR(L476-P476,"")</x:f>
        <x:v>0.31147200322709845</x:v>
      </x:c>
      <x:c r="S476" s="41" t="n">
        <x:f>IFERROR(H476-P476,"")</x:f>
        <x:v>0.2266174988475892</x:v>
      </x:c>
      <x:c r="T476" s="41" t="n">
        <x:f>IFERROR(I476-M476,"")</x:f>
        <x:v>6.059807</x:v>
      </x:c>
      <x:c r="U476" s="41" t="n">
        <x:f>IFERROR(E476-M476,"")</x:f>
        <x:v>5.214351</x:v>
      </x:c>
      <x:c r="V476" s="41" t="str">
        <x:f>IF(AND(I476&gt;M476,J476&gt;N476),"Sí","No")</x:f>
        <x:v>Sí</x:v>
      </x:c>
      <x:c r="W476" s="41" t="str">
        <x:f>IF(AND(E476&gt;M476,F476&gt;N476),"Sí","No")</x:f>
        <x:v>Sí</x:v>
      </x:c>
      <x:c r="X476" s="41" t="str">
        <x:f>IF(L476&gt;=H476,"Weekly","No weekly")</x:f>
        <x:v>Weekly</x:v>
      </x:c>
      <x:c r="Y476" s="41" t="n">
        <x:f>IFERROR(I476-E476,"")</x:f>
        <x:v>0.8454560000000004</x:v>
      </x:c>
      <x:c r="Z476" s="41" t="n">
        <x:f>IFERROR(J476-F476,"")</x:f>
        <x:v>4.844589000000003</x:v>
      </x:c>
      <x:c r="AA476" s="41" t="n">
        <x:v>12099</x:v>
      </x:c>
      <x:c r="AB476" s="41" t="n">
        <x:v>5921</x:v>
      </x:c>
    </x:row>
    <x:row r="477">
      <x:c r="A477" s="41" t="str">
        <x:v>HYP_REFINE_AUTO002_TOPN_6_V1_DDGRID_LONGRUN_STRICT_STRICT_NEXT_CLOSE_R12_C22_E75_CR40_REDD_DD9_SL20</x:v>
      </x:c>
      <x:c r="B477" s="41" t="str">
        <x:v>strict_longrun_ddgrid</x:v>
      </x:c>
      <x:c r="C477" s="41" t="str">
        <x:v>1999-01-04</x:v>
      </x:c>
      <x:c r="D477" s="41" t="str">
        <x:v>2026-05-22</x:v>
      </x:c>
      <x:c r="E477" s="41" t="n">
        <x:v>12.364196</x:v>
      </x:c>
      <x:c r="F477" s="41" t="n">
        <x:v>-33.172298</x:v>
      </x:c>
      <x:c r="G477" s="41" t="n">
        <x:v>2332.863059</x:v>
      </x:c>
      <x:c r="H477" s="41" t="n">
        <x:f>IFERROR(E477/ABS(F477),"")</x:f>
        <x:v>0.3727265442991016</x:v>
      </x:c>
      <x:c r="I477" s="41" t="n">
        <x:v>12.951906</x:v>
      </x:c>
      <x:c r="J477" s="41" t="n">
        <x:v>-29.845302</x:v>
      </x:c>
      <x:c r="K477" s="41" t="n">
        <x:v>2706.382697</x:v>
      </x:c>
      <x:c r="L477" s="41" t="n">
        <x:f>IFERROR(I477/ABS(J477),"")</x:f>
        <x:v>0.4339679993856319</x:v>
      </x:c>
      <x:c r="M477" s="41" t="n">
        <x:v>6.802475</x:v>
      </x:c>
      <x:c r="N477" s="41" t="n">
        <x:v>-56.473669</x:v>
      </x:c>
      <x:c r="O477" s="41" t="n">
        <x:v>506.057416</x:v>
      </x:c>
      <x:c r="P477" s="41" t="n">
        <x:f>IFERROR(M477/ABS(N477),"")</x:f>
        <x:v>0.12045392340278087</x:v>
      </x:c>
      <x:c r="Q477" s="41" t="str">
        <x:f>IF(L477&gt;=MAX(H477,P477),"Weekly",IF(H477&gt;=MAX(L477,P477),"No weekly","SPY"))</x:f>
        <x:v>Weekly</x:v>
      </x:c>
      <x:c r="R477" s="41" t="n">
        <x:f>IFERROR(L477-P477,"")</x:f>
        <x:v>0.313514075982851</x:v>
      </x:c>
      <x:c r="S477" s="41" t="n">
        <x:f>IFERROR(H477-P477,"")</x:f>
        <x:v>0.25227262089632074</x:v>
      </x:c>
      <x:c r="T477" s="41" t="n">
        <x:f>IFERROR(I477-M477,"")</x:f>
        <x:v>6.149430999999999</x:v>
      </x:c>
      <x:c r="U477" s="41" t="n">
        <x:f>IFERROR(E477-M477,"")</x:f>
        <x:v>5.5617209999999995</x:v>
      </x:c>
      <x:c r="V477" s="41" t="str">
        <x:f>IF(AND(I477&gt;M477,J477&gt;N477),"Sí","No")</x:f>
        <x:v>Sí</x:v>
      </x:c>
      <x:c r="W477" s="41" t="str">
        <x:f>IF(AND(E477&gt;M477,F477&gt;N477),"Sí","No")</x:f>
        <x:v>Sí</x:v>
      </x:c>
      <x:c r="X477" s="41" t="str">
        <x:f>IF(L477&gt;=H477,"Weekly","No weekly")</x:f>
        <x:v>Weekly</x:v>
      </x:c>
      <x:c r="Y477" s="41" t="n">
        <x:f>IFERROR(I477-E477,"")</x:f>
        <x:v>0.5877099999999995</x:v>
      </x:c>
      <x:c r="Z477" s="41" t="n">
        <x:f>IFERROR(J477-F477,"")</x:f>
        <x:v>3.3269959999999976</x:v>
      </x:c>
      <x:c r="AA477" s="41" t="n">
        <x:v>11935</x:v>
      </x:c>
      <x:c r="AB477" s="41" t="n">
        <x:v>5563</x:v>
      </x:c>
    </x:row>
    <x:row r="478">
      <x:c r="A478" s="41" t="str">
        <x:v>HYP_REFINE_AUTO002_TOPN_6_V1_DDGRID_LONGRUN_STRICT_STRICT_NEXT_CLOSE_R12_C22_E75_CR45_REDD_DD7_SL18</x:v>
      </x:c>
      <x:c r="B478" s="41" t="str">
        <x:v>strict_longrun_ddgrid</x:v>
      </x:c>
      <x:c r="C478" s="41" t="str">
        <x:v>1999-01-04</x:v>
      </x:c>
      <x:c r="D478" s="41" t="str">
        <x:v>2026-05-22</x:v>
      </x:c>
      <x:c r="E478" s="41" t="n">
        <x:v>13.313175</x:v>
      </x:c>
      <x:c r="F478" s="41" t="n">
        <x:v>-33.550615</x:v>
      </x:c>
      <x:c r="G478" s="41" t="n">
        <x:v>2962.785462</x:v>
      </x:c>
      <x:c r="H478" s="41" t="n">
        <x:f>IFERROR(E478/ABS(F478),"")</x:f>
        <x:v>0.39680867250868573</x:v>
      </x:c>
      <x:c r="I478" s="41" t="n">
        <x:v>12.279887</x:v>
      </x:c>
      <x:c r="J478" s="41" t="n">
        <x:v>-31.764195</x:v>
      </x:c>
      <x:c r="K478" s="41" t="n">
        <x:v>2283.377133</x:v>
      </x:c>
      <x:c r="L478" s="41" t="n">
        <x:f>IFERROR(I478/ABS(J478),"")</x:f>
        <x:v>0.38659525292550306</x:v>
      </x:c>
      <x:c r="M478" s="41" t="n">
        <x:v>6.802475</x:v>
      </x:c>
      <x:c r="N478" s="41" t="n">
        <x:v>-56.473669</x:v>
      </x:c>
      <x:c r="O478" s="41" t="n">
        <x:v>506.057416</x:v>
      </x:c>
      <x:c r="P478" s="41" t="n">
        <x:f>IFERROR(M478/ABS(N478),"")</x:f>
        <x:v>0.12045392340278087</x:v>
      </x:c>
      <x:c r="Q478" s="41" t="str">
        <x:f>IF(L478&gt;=MAX(H478,P478),"Weekly",IF(H478&gt;=MAX(L478,P478),"No weekly","SPY"))</x:f>
        <x:v>No weekly</x:v>
      </x:c>
      <x:c r="R478" s="41" t="n">
        <x:f>IFERROR(L478-P478,"")</x:f>
        <x:v>0.2661413295227222</x:v>
      </x:c>
      <x:c r="S478" s="41" t="n">
        <x:f>IFERROR(H478-P478,"")</x:f>
        <x:v>0.27635474910590485</x:v>
      </x:c>
      <x:c r="T478" s="41" t="n">
        <x:f>IFERROR(I478-M478,"")</x:f>
        <x:v>5.477412</x:v>
      </x:c>
      <x:c r="U478" s="41" t="n">
        <x:f>IFERROR(E478-M478,"")</x:f>
        <x:v>6.510699999999999</x:v>
      </x:c>
      <x:c r="V478" s="41" t="str">
        <x:f>IF(AND(I478&gt;M478,J478&gt;N478),"Sí","No")</x:f>
        <x:v>Sí</x:v>
      </x:c>
      <x:c r="W478" s="41" t="str">
        <x:f>IF(AND(E478&gt;M478,F478&gt;N478),"Sí","No")</x:f>
        <x:v>Sí</x:v>
      </x:c>
      <x:c r="X478" s="41" t="str">
        <x:f>IF(L478&gt;=H478,"Weekly","No weekly")</x:f>
        <x:v>No weekly</x:v>
      </x:c>
      <x:c r="Y478" s="41" t="n">
        <x:f>IFERROR(I478-E478,"")</x:f>
        <x:v>-1.0332879999999989</x:v>
      </x:c>
      <x:c r="Z478" s="41" t="n">
        <x:f>IFERROR(J478-F478,"")</x:f>
        <x:v>1.7864199999999997</x:v>
      </x:c>
      <x:c r="AA478" s="41" t="n">
        <x:v>12131</x:v>
      </x:c>
      <x:c r="AB478" s="41" t="n">
        <x:v>5741</x:v>
      </x:c>
    </x:row>
    <x:row r="479">
      <x:c r="A479" s="41" t="str">
        <x:v>HYP_REFINE_AUTO002_TOPN_6_V1_DDGRID_LONGRUN_STRICT_STRICT_NEXT_CLOSE_R12_C22_E75_CR45_REDD_DD7_SL20</x:v>
      </x:c>
      <x:c r="B479" s="41" t="str">
        <x:v>strict_longrun_ddgrid</x:v>
      </x:c>
      <x:c r="C479" s="41" t="str">
        <x:v>1999-01-04</x:v>
      </x:c>
      <x:c r="D479" s="41" t="str">
        <x:v>2026-05-22</x:v>
      </x:c>
      <x:c r="E479" s="41" t="n">
        <x:v>13.044919</x:v>
      </x:c>
      <x:c r="F479" s="41" t="n">
        <x:v>-34.036784</x:v>
      </x:c>
      <x:c r="G479" s="41" t="n">
        <x:v>2770.345768</x:v>
      </x:c>
      <x:c r="H479" s="41" t="n">
        <x:f>IFERROR(E479/ABS(F479),"")</x:f>
        <x:v>0.38325944660341593</x:v>
      </x:c>
      <x:c r="I479" s="41" t="n">
        <x:v>12.643042</x:v>
      </x:c>
      <x:c r="J479" s="41" t="n">
        <x:v>-31.066083</x:v>
      </x:c>
      <x:c r="K479" s="41" t="n">
        <x:v>2503.685213</x:v>
      </x:c>
      <x:c r="L479" s="41" t="n">
        <x:f>IFERROR(I479/ABS(J479),"")</x:f>
        <x:v>0.40697251726263656</x:v>
      </x:c>
      <x:c r="M479" s="41" t="n">
        <x:v>6.802475</x:v>
      </x:c>
      <x:c r="N479" s="41" t="n">
        <x:v>-56.473669</x:v>
      </x:c>
      <x:c r="O479" s="41" t="n">
        <x:v>506.057416</x:v>
      </x:c>
      <x:c r="P479" s="41" t="n">
        <x:f>IFERROR(M479/ABS(N479),"")</x:f>
        <x:v>0.12045392340278087</x:v>
      </x:c>
      <x:c r="Q479" s="41" t="str">
        <x:f>IF(L479&gt;=MAX(H479,P479),"Weekly",IF(H479&gt;=MAX(L479,P479),"No weekly","SPY"))</x:f>
        <x:v>Weekly</x:v>
      </x:c>
      <x:c r="R479" s="41" t="n">
        <x:f>IFERROR(L479-P479,"")</x:f>
        <x:v>0.2865185938598557</x:v>
      </x:c>
      <x:c r="S479" s="41" t="n">
        <x:f>IFERROR(H479-P479,"")</x:f>
        <x:v>0.26280552320063505</x:v>
      </x:c>
      <x:c r="T479" s="41" t="n">
        <x:f>IFERROR(I479-M479,"")</x:f>
        <x:v>5.840566999999999</x:v>
      </x:c>
      <x:c r="U479" s="41" t="n">
        <x:f>IFERROR(E479-M479,"")</x:f>
        <x:v>6.242444</x:v>
      </x:c>
      <x:c r="V479" s="41" t="str">
        <x:f>IF(AND(I479&gt;M479,J479&gt;N479),"Sí","No")</x:f>
        <x:v>Sí</x:v>
      </x:c>
      <x:c r="W479" s="41" t="str">
        <x:f>IF(AND(E479&gt;M479,F479&gt;N479),"Sí","No")</x:f>
        <x:v>Sí</x:v>
      </x:c>
      <x:c r="X479" s="41" t="str">
        <x:f>IF(L479&gt;=H479,"Weekly","No weekly")</x:f>
        <x:v>Weekly</x:v>
      </x:c>
      <x:c r="Y479" s="41" t="n">
        <x:f>IFERROR(I479-E479,"")</x:f>
        <x:v>-0.4018770000000007</x:v>
      </x:c>
      <x:c r="Z479" s="41" t="n">
        <x:f>IFERROR(J479-F479,"")</x:f>
        <x:v>2.9707009999999983</x:v>
      </x:c>
      <x:c r="AA479" s="41" t="n">
        <x:v>12077</x:v>
      </x:c>
      <x:c r="AB479" s="41" t="n">
        <x:v>5882</x:v>
      </x:c>
    </x:row>
    <x:row r="480">
      <x:c r="A480" s="41" t="str">
        <x:v>HYP_REFINE_AUTO002_TOPN_6_V1_DDGRID_LONGRUN_STRICT_STRICT_NEXT_CLOSE_R12_C22_E75_CR45_REDD_DD8_SL20</x:v>
      </x:c>
      <x:c r="B480" s="41" t="str">
        <x:v>strict_longrun_ddgrid</x:v>
      </x:c>
      <x:c r="C480" s="41" t="str">
        <x:v>1999-01-04</x:v>
      </x:c>
      <x:c r="D480" s="41" t="str">
        <x:v>2026-05-22</x:v>
      </x:c>
      <x:c r="E480" s="41" t="n">
        <x:v>14.255324</x:v>
      </x:c>
      <x:c r="F480" s="41" t="n">
        <x:v>-34.340575</x:v>
      </x:c>
      <x:c r="G480" s="41" t="n">
        <x:v>3742.118669</x:v>
      </x:c>
      <x:c r="H480" s="41" t="n">
        <x:f>IFERROR(E480/ABS(F480),"")</x:f>
        <x:v>0.4151160544050296</x:v>
      </x:c>
      <x:c r="I480" s="41" t="n">
        <x:v>13.1589</x:v>
      </x:c>
      <x:c r="J480" s="41" t="n">
        <x:v>-31.066083</x:v>
      </x:c>
      <x:c r="K480" s="41" t="n">
        <x:v>2850.644661</x:v>
      </x:c>
      <x:c r="L480" s="41" t="n">
        <x:f>IFERROR(I480/ABS(J480),"")</x:f>
        <x:v>0.4235777004780422</x:v>
      </x:c>
      <x:c r="M480" s="41" t="n">
        <x:v>6.802475</x:v>
      </x:c>
      <x:c r="N480" s="41" t="n">
        <x:v>-56.473669</x:v>
      </x:c>
      <x:c r="O480" s="41" t="n">
        <x:v>506.057416</x:v>
      </x:c>
      <x:c r="P480" s="41" t="n">
        <x:f>IFERROR(M480/ABS(N480),"")</x:f>
        <x:v>0.12045392340278087</x:v>
      </x:c>
      <x:c r="Q480" s="41" t="str">
        <x:f>IF(L480&gt;=MAX(H480,P480),"Weekly",IF(H480&gt;=MAX(L480,P480),"No weekly","SPY"))</x:f>
        <x:v>Weekly</x:v>
      </x:c>
      <x:c r="R480" s="41" t="n">
        <x:f>IFERROR(L480-P480,"")</x:f>
        <x:v>0.30312377707526134</x:v>
      </x:c>
      <x:c r="S480" s="41" t="n">
        <x:f>IFERROR(H480-P480,"")</x:f>
        <x:v>0.2946621310022487</x:v>
      </x:c>
      <x:c r="T480" s="41" t="n">
        <x:f>IFERROR(I480-M480,"")</x:f>
        <x:v>6.356424999999999</x:v>
      </x:c>
      <x:c r="U480" s="41" t="n">
        <x:f>IFERROR(E480-M480,"")</x:f>
        <x:v>7.452849</x:v>
      </x:c>
      <x:c r="V480" s="41" t="str">
        <x:f>IF(AND(I480&gt;M480,J480&gt;N480),"Sí","No")</x:f>
        <x:v>Sí</x:v>
      </x:c>
      <x:c r="W480" s="41" t="str">
        <x:f>IF(AND(E480&gt;M480,F480&gt;N480),"Sí","No")</x:f>
        <x:v>Sí</x:v>
      </x:c>
      <x:c r="X480" s="41" t="str">
        <x:f>IF(L480&gt;=H480,"Weekly","No weekly")</x:f>
        <x:v>Weekly</x:v>
      </x:c>
      <x:c r="Y480" s="41" t="n">
        <x:f>IFERROR(I480-E480,"")</x:f>
        <x:v>-1.0964240000000007</x:v>
      </x:c>
      <x:c r="Z480" s="41" t="n">
        <x:f>IFERROR(J480-F480,"")</x:f>
        <x:v>3.274492000000002</x:v>
      </x:c>
      <x:c r="AA480" s="41" t="n">
        <x:v>11799</x:v>
      </x:c>
      <x:c r="AB480" s="41" t="n">
        <x:v>5555</x:v>
      </x:c>
    </x:row>
    <x:row r="481">
      <x:c r="A481" s="41" t="str">
        <x:v>HYP_REFINE_AUTO002_TOPN_6_V1_DDGRID_LONGRUN_STRICT_STRICT_NEXT_CLOSE_R12_C22_E78_CR40_REDD_DD7_SL18</x:v>
      </x:c>
      <x:c r="B481" s="41" t="str">
        <x:v>strict_longrun_ddgrid</x:v>
      </x:c>
      <x:c r="C481" s="41" t="str">
        <x:v>1999-01-04</x:v>
      </x:c>
      <x:c r="D481" s="41" t="str">
        <x:v>2026-05-22</x:v>
      </x:c>
      <x:c r="E481" s="41" t="n">
        <x:v>11.778664</x:v>
      </x:c>
      <x:c r="F481" s="41" t="n">
        <x:v>-32.531872</x:v>
      </x:c>
      <x:c r="G481" s="41" t="n">
        <x:v>2008.603584</x:v>
      </x:c>
      <x:c r="H481" s="41" t="n">
        <x:f>IFERROR(E481/ABS(F481),"")</x:f>
        <x:v>0.36206536162444014</x:v>
      </x:c>
      <x:c r="I481" s="41" t="n">
        <x:v>12.368171</x:v>
      </x:c>
      <x:c r="J481" s="41" t="n">
        <x:v>-30.794104</x:v>
      </x:c>
      <x:c r="K481" s="41" t="n">
        <x:v>2335.220401</x:v>
      </x:c>
      <x:c r="L481" s="41" t="n">
        <x:f>IFERROR(I481/ABS(J481),"")</x:f>
        <x:v>0.4016408790461966</x:v>
      </x:c>
      <x:c r="M481" s="41" t="n">
        <x:v>6.802475</x:v>
      </x:c>
      <x:c r="N481" s="41" t="n">
        <x:v>-56.473669</x:v>
      </x:c>
      <x:c r="O481" s="41" t="n">
        <x:v>506.057416</x:v>
      </x:c>
      <x:c r="P481" s="41" t="n">
        <x:f>IFERROR(M481/ABS(N481),"")</x:f>
        <x:v>0.12045392340278087</x:v>
      </x:c>
      <x:c r="Q481" s="41" t="str">
        <x:f>IF(L481&gt;=MAX(H481,P481),"Weekly",IF(H481&gt;=MAX(L481,P481),"No weekly","SPY"))</x:f>
        <x:v>Weekly</x:v>
      </x:c>
      <x:c r="R481" s="41" t="n">
        <x:f>IFERROR(L481-P481,"")</x:f>
        <x:v>0.2811869556434157</x:v>
      </x:c>
      <x:c r="S481" s="41" t="n">
        <x:f>IFERROR(H481-P481,"")</x:f>
        <x:v>0.24161143822165926</x:v>
      </x:c>
      <x:c r="T481" s="41" t="n">
        <x:f>IFERROR(I481-M481,"")</x:f>
        <x:v>5.565696</x:v>
      </x:c>
      <x:c r="U481" s="41" t="n">
        <x:f>IFERROR(E481-M481,"")</x:f>
        <x:v>4.976188999999999</x:v>
      </x:c>
      <x:c r="V481" s="41" t="str">
        <x:f>IF(AND(I481&gt;M481,J481&gt;N481),"Sí","No")</x:f>
        <x:v>Sí</x:v>
      </x:c>
      <x:c r="W481" s="41" t="str">
        <x:f>IF(AND(E481&gt;M481,F481&gt;N481),"Sí","No")</x:f>
        <x:v>Sí</x:v>
      </x:c>
      <x:c r="X481" s="41" t="str">
        <x:f>IF(L481&gt;=H481,"Weekly","No weekly")</x:f>
        <x:v>Weekly</x:v>
      </x:c>
      <x:c r="Y481" s="41" t="n">
        <x:f>IFERROR(I481-E481,"")</x:f>
        <x:v>0.5895070000000011</x:v>
      </x:c>
      <x:c r="Z481" s="41" t="n">
        <x:f>IFERROR(J481-F481,"")</x:f>
        <x:v>1.737767999999999</x:v>
      </x:c>
      <x:c r="AA481" s="41" t="n">
        <x:v>12309</x:v>
      </x:c>
      <x:c r="AB481" s="41" t="n">
        <x:v>5938</x:v>
      </x:c>
    </x:row>
    <x:row r="482">
      <x:c r="A482" s="41" t="str">
        <x:v>HYP_REFINE_AUTO002_TOPN_6_V1_DDGRID_LONGRUN_STRICT_STRICT_NEXT_CLOSE_R12_C22_E78_CR40_REDD_DD7_SL20</x:v>
      </x:c>
      <x:c r="B482" s="41" t="str">
        <x:v>strict_longrun_ddgrid</x:v>
      </x:c>
      <x:c r="C482" s="41" t="str">
        <x:v>1999-01-04</x:v>
      </x:c>
      <x:c r="D482" s="41" t="str">
        <x:v>2026-05-22</x:v>
      </x:c>
      <x:c r="E482" s="41" t="n">
        <x:v>12.873334</x:v>
      </x:c>
      <x:c r="F482" s="41" t="n">
        <x:v>-32.842336</x:v>
      </x:c>
      <x:c r="G482" s="41" t="n">
        <x:v>2653.421994</x:v>
      </x:c>
      <x:c r="H482" s="41" t="n">
        <x:f>IFERROR(E482/ABS(F482),"")</x:f>
        <x:v>0.39197376215869656</x:v>
      </x:c>
      <x:c r="I482" s="41" t="n">
        <x:v>13.097822</x:v>
      </x:c>
      <x:c r="J482" s="41" t="n">
        <x:v>-30.078596</x:v>
      </x:c>
      <x:c r="K482" s="41" t="n">
        <x:v>2807.350539</x:v>
      </x:c>
      <x:c r="L482" s="41" t="n">
        <x:f>IFERROR(I482/ABS(J482),"")</x:f>
        <x:v>0.43545323724551505</x:v>
      </x:c>
      <x:c r="M482" s="41" t="n">
        <x:v>6.802475</x:v>
      </x:c>
      <x:c r="N482" s="41" t="n">
        <x:v>-56.473669</x:v>
      </x:c>
      <x:c r="O482" s="41" t="n">
        <x:v>506.057416</x:v>
      </x:c>
      <x:c r="P482" s="41" t="n">
        <x:f>IFERROR(M482/ABS(N482),"")</x:f>
        <x:v>0.12045392340278087</x:v>
      </x:c>
      <x:c r="Q482" s="41" t="str">
        <x:f>IF(L482&gt;=MAX(H482,P482),"Weekly",IF(H482&gt;=MAX(L482,P482),"No weekly","SPY"))</x:f>
        <x:v>Weekly</x:v>
      </x:c>
      <x:c r="R482" s="41" t="n">
        <x:f>IFERROR(L482-P482,"")</x:f>
        <x:v>0.31499931384273416</x:v>
      </x:c>
      <x:c r="S482" s="41" t="n">
        <x:f>IFERROR(H482-P482,"")</x:f>
        <x:v>0.2715198387559157</x:v>
      </x:c>
      <x:c r="T482" s="41" t="n">
        <x:f>IFERROR(I482-M482,"")</x:f>
        <x:v>6.2953470000000005</x:v>
      </x:c>
      <x:c r="U482" s="41" t="n">
        <x:f>IFERROR(E482-M482,"")</x:f>
        <x:v>6.070859</x:v>
      </x:c>
      <x:c r="V482" s="41" t="str">
        <x:f>IF(AND(I482&gt;M482,J482&gt;N482),"Sí","No")</x:f>
        <x:v>Sí</x:v>
      </x:c>
      <x:c r="W482" s="41" t="str">
        <x:f>IF(AND(E482&gt;M482,F482&gt;N482),"Sí","No")</x:f>
        <x:v>Sí</x:v>
      </x:c>
      <x:c r="X482" s="41" t="str">
        <x:f>IF(L482&gt;=H482,"Weekly","No weekly")</x:f>
        <x:v>Weekly</x:v>
      </x:c>
      <x:c r="Y482" s="41" t="n">
        <x:f>IFERROR(I482-E482,"")</x:f>
        <x:v>0.2244880000000009</x:v>
      </x:c>
      <x:c r="Z482" s="41" t="n">
        <x:f>IFERROR(J482-F482,"")</x:f>
        <x:v>2.763740000000002</x:v>
      </x:c>
      <x:c r="AA482" s="41" t="n">
        <x:v>12083</x:v>
      </x:c>
      <x:c r="AB482" s="41" t="n">
        <x:v>5792</x:v>
      </x:c>
    </x:row>
    <x:row r="483">
      <x:c r="A483" s="41" t="str">
        <x:v>HYP_REFINE_AUTO002_TOPN_6_V1_DDGRID_LONGRUN_STRICT_STRICT_NEXT_CLOSE_R12_C22_E78_CR40_REDD_DD8_SL20</x:v>
      </x:c>
      <x:c r="B483" s="41" t="str">
        <x:v>strict_longrun_ddgrid</x:v>
      </x:c>
      <x:c r="C483" s="41" t="str">
        <x:v>1999-01-04</x:v>
      </x:c>
      <x:c r="D483" s="41" t="str">
        <x:v>2026-05-22</x:v>
      </x:c>
      <x:c r="E483" s="41" t="n">
        <x:v>14.067809</x:v>
      </x:c>
      <x:c r="F483" s="41" t="n">
        <x:v>-33.13262</x:v>
      </x:c>
      <x:c r="G483" s="41" t="n">
        <x:v>3573.164132</x:v>
      </x:c>
      <x:c r="H483" s="41" t="n">
        <x:f>IFERROR(E483/ABS(F483),"")</x:f>
        <x:v>0.4245909016552268</x:v>
      </x:c>
      <x:c r="I483" s="41" t="n">
        <x:v>13.548637</x:v>
      </x:c>
      <x:c r="J483" s="41" t="n">
        <x:v>-30.078596</x:v>
      </x:c>
      <x:c r="K483" s="41" t="n">
        <x:v>3141.8941</x:v>
      </x:c>
      <x:c r="L483" s="41" t="n">
        <x:f>IFERROR(I483/ABS(J483),"")</x:f>
        <x:v>0.45044113761160925</x:v>
      </x:c>
      <x:c r="M483" s="41" t="n">
        <x:v>6.802475</x:v>
      </x:c>
      <x:c r="N483" s="41" t="n">
        <x:v>-56.473669</x:v>
      </x:c>
      <x:c r="O483" s="41" t="n">
        <x:v>506.057416</x:v>
      </x:c>
      <x:c r="P483" s="41" t="n">
        <x:f>IFERROR(M483/ABS(N483),"")</x:f>
        <x:v>0.12045392340278087</x:v>
      </x:c>
      <x:c r="Q483" s="41" t="str">
        <x:f>IF(L483&gt;=MAX(H483,P483),"Weekly",IF(H483&gt;=MAX(L483,P483),"No weekly","SPY"))</x:f>
        <x:v>Weekly</x:v>
      </x:c>
      <x:c r="R483" s="41" t="n">
        <x:f>IFERROR(L483-P483,"")</x:f>
        <x:v>0.32998721420882837</x:v>
      </x:c>
      <x:c r="S483" s="41" t="n">
        <x:f>IFERROR(H483-P483,"")</x:f>
        <x:v>0.3041369782524459</x:v>
      </x:c>
      <x:c r="T483" s="41" t="n">
        <x:f>IFERROR(I483-M483,"")</x:f>
        <x:v>6.746161999999999</x:v>
      </x:c>
      <x:c r="U483" s="41" t="n">
        <x:f>IFERROR(E483-M483,"")</x:f>
        <x:v>7.265334</x:v>
      </x:c>
      <x:c r="V483" s="41" t="str">
        <x:f>IF(AND(I483&gt;M483,J483&gt;N483),"Sí","No")</x:f>
        <x:v>Sí</x:v>
      </x:c>
      <x:c r="W483" s="41" t="str">
        <x:f>IF(AND(E483&gt;M483,F483&gt;N483),"Sí","No")</x:f>
        <x:v>Sí</x:v>
      </x:c>
      <x:c r="X483" s="41" t="str">
        <x:f>IF(L483&gt;=H483,"Weekly","No weekly")</x:f>
        <x:v>Weekly</x:v>
      </x:c>
      <x:c r="Y483" s="41" t="n">
        <x:f>IFERROR(I483-E483,"")</x:f>
        <x:v>-0.5191720000000011</x:v>
      </x:c>
      <x:c r="Z483" s="41" t="n">
        <x:f>IFERROR(J483-F483,"")</x:f>
        <x:v>3.054024000000002</x:v>
      </x:c>
      <x:c r="AA483" s="41" t="n">
        <x:v>11700</x:v>
      </x:c>
      <x:c r="AB483" s="41" t="n">
        <x:v>5532</x:v>
      </x:c>
    </x:row>
    <x:row r="484">
      <x:c r="A484" s="41" t="str">
        <x:v>HYP_REFINE_AUTO002_TOPN_6_V1_DDGRID_LONGRUN_STRICT_STRICT_NEXT_CLOSE_R12_C22_E80_CR40_REDD_DD7_SL18</x:v>
      </x:c>
      <x:c r="B484" s="41" t="str">
        <x:v>strict_longrun_ddgrid</x:v>
      </x:c>
      <x:c r="C484" s="41" t="str">
        <x:v>1999-01-04</x:v>
      </x:c>
      <x:c r="D484" s="41" t="str">
        <x:v>2026-05-22</x:v>
      </x:c>
      <x:c r="E484" s="41" t="n">
        <x:v>12.03541</x:v>
      </x:c>
      <x:c r="F484" s="41" t="n">
        <x:v>-32.547968</x:v>
      </x:c>
      <x:c r="G484" s="41" t="n">
        <x:v>2145.30178</x:v>
      </x:c>
      <x:c r="H484" s="41" t="n">
        <x:f>IFERROR(E484/ABS(F484),"")</x:f>
        <x:v>0.36977454322186876</x:v>
      </x:c>
      <x:c r="I484" s="41" t="n">
        <x:v>12.304399</x:v>
      </x:c>
      <x:c r="J484" s="41" t="n">
        <x:v>-30.587003</x:v>
      </x:c>
      <x:c r="K484" s="41" t="n">
        <x:v>2297.664181</x:v>
      </x:c>
      <x:c r="L484" s="41" t="n">
        <x:f>IFERROR(I484/ABS(J484),"")</x:f>
        <x:v>0.402275404360473</x:v>
      </x:c>
      <x:c r="M484" s="41" t="n">
        <x:v>6.802475</x:v>
      </x:c>
      <x:c r="N484" s="41" t="n">
        <x:v>-56.473669</x:v>
      </x:c>
      <x:c r="O484" s="41" t="n">
        <x:v>506.057416</x:v>
      </x:c>
      <x:c r="P484" s="41" t="n">
        <x:f>IFERROR(M484/ABS(N484),"")</x:f>
        <x:v>0.12045392340278087</x:v>
      </x:c>
      <x:c r="Q484" s="41" t="str">
        <x:f>IF(L484&gt;=MAX(H484,P484),"Weekly",IF(H484&gt;=MAX(L484,P484),"No weekly","SPY"))</x:f>
        <x:v>Weekly</x:v>
      </x:c>
      <x:c r="R484" s="41" t="n">
        <x:f>IFERROR(L484-P484,"")</x:f>
        <x:v>0.2818214809576921</x:v>
      </x:c>
      <x:c r="S484" s="41" t="n">
        <x:f>IFERROR(H484-P484,"")</x:f>
        <x:v>0.24932061981908787</x:v>
      </x:c>
      <x:c r="T484" s="41" t="n">
        <x:f>IFERROR(I484-M484,"")</x:f>
        <x:v>5.501924</x:v>
      </x:c>
      <x:c r="U484" s="41" t="n">
        <x:f>IFERROR(E484-M484,"")</x:f>
        <x:v>5.232935</x:v>
      </x:c>
      <x:c r="V484" s="41" t="str">
        <x:f>IF(AND(I484&gt;M484,J484&gt;N484),"Sí","No")</x:f>
        <x:v>Sí</x:v>
      </x:c>
      <x:c r="W484" s="41" t="str">
        <x:f>IF(AND(E484&gt;M484,F484&gt;N484),"Sí","No")</x:f>
        <x:v>Sí</x:v>
      </x:c>
      <x:c r="X484" s="41" t="str">
        <x:f>IF(L484&gt;=H484,"Weekly","No weekly")</x:f>
        <x:v>Weekly</x:v>
      </x:c>
      <x:c r="Y484" s="41" t="n">
        <x:f>IFERROR(I484-E484,"")</x:f>
        <x:v>0.2689889999999995</x:v>
      </x:c>
      <x:c r="Z484" s="41" t="n">
        <x:f>IFERROR(J484-F484,"")</x:f>
        <x:v>1.960964999999998</x:v>
      </x:c>
      <x:c r="AA484" s="41" t="n">
        <x:v>12118</x:v>
      </x:c>
      <x:c r="AB484" s="41" t="n">
        <x:v>5948</x:v>
      </x:c>
    </x:row>
    <x:row r="485">
      <x:c r="A485" s="41" t="str">
        <x:v>HYP_REFINE_AUTO002_TOPN_6_V1_DDGRID_LONGRUN_STRICT_STRICT_NEXT_CLOSE_R12_C22_E80_CR40_REDD_DD7_SL20</x:v>
      </x:c>
      <x:c r="B485" s="41" t="str">
        <x:v>strict_longrun_ddgrid</x:v>
      </x:c>
      <x:c r="C485" s="41" t="str">
        <x:v>1999-01-04</x:v>
      </x:c>
      <x:c r="D485" s="41" t="str">
        <x:v>2026-05-22</x:v>
      </x:c>
      <x:c r="E485" s="41" t="n">
        <x:v>13.031382</x:v>
      </x:c>
      <x:c r="F485" s="41" t="n">
        <x:v>-32.855012</x:v>
      </x:c>
      <x:c r="G485" s="41" t="n">
        <x:v>2760.9499</x:v>
      </x:c>
      <x:c r="H485" s="41" t="n">
        <x:f>IFERROR(E485/ABS(F485),"")</x:f>
        <x:v>0.39663300077321534</x:v>
      </x:c>
      <x:c r="I485" s="41" t="n">
        <x:v>12.421203</x:v>
      </x:c>
      <x:c r="J485" s="41" t="n">
        <x:v>-30.188156</x:v>
      </x:c>
      <x:c r="K485" s="41" t="n">
        <x:v>2366.883661</x:v>
      </x:c>
      <x:c r="L485" s="41" t="n">
        <x:f>IFERROR(I485/ABS(J485),"")</x:f>
        <x:v>0.4114594809964544</x:v>
      </x:c>
      <x:c r="M485" s="41" t="n">
        <x:v>6.802475</x:v>
      </x:c>
      <x:c r="N485" s="41" t="n">
        <x:v>-56.473669</x:v>
      </x:c>
      <x:c r="O485" s="41" t="n">
        <x:v>506.057416</x:v>
      </x:c>
      <x:c r="P485" s="41" t="n">
        <x:f>IFERROR(M485/ABS(N485),"")</x:f>
        <x:v>0.12045392340278087</x:v>
      </x:c>
      <x:c r="Q485" s="41" t="str">
        <x:f>IF(L485&gt;=MAX(H485,P485),"Weekly",IF(H485&gt;=MAX(L485,P485),"No weekly","SPY"))</x:f>
        <x:v>Weekly</x:v>
      </x:c>
      <x:c r="R485" s="41" t="n">
        <x:f>IFERROR(L485-P485,"")</x:f>
        <x:v>0.2910055575936735</x:v>
      </x:c>
      <x:c r="S485" s="41" t="n">
        <x:f>IFERROR(H485-P485,"")</x:f>
        <x:v>0.27617907737043446</x:v>
      </x:c>
      <x:c r="T485" s="41" t="n">
        <x:f>IFERROR(I485-M485,"")</x:f>
        <x:v>5.618728</x:v>
      </x:c>
      <x:c r="U485" s="41" t="n">
        <x:f>IFERROR(E485-M485,"")</x:f>
        <x:v>6.228907</x:v>
      </x:c>
      <x:c r="V485" s="41" t="str">
        <x:f>IF(AND(I485&gt;M485,J485&gt;N485),"Sí","No")</x:f>
        <x:v>Sí</x:v>
      </x:c>
      <x:c r="W485" s="41" t="str">
        <x:f>IF(AND(E485&gt;M485,F485&gt;N485),"Sí","No")</x:f>
        <x:v>Sí</x:v>
      </x:c>
      <x:c r="X485" s="41" t="str">
        <x:f>IF(L485&gt;=H485,"Weekly","No weekly")</x:f>
        <x:v>Weekly</x:v>
      </x:c>
      <x:c r="Y485" s="41" t="n">
        <x:f>IFERROR(I485-E485,"")</x:f>
        <x:v>-0.6101790000000005</x:v>
      </x:c>
      <x:c r="Z485" s="41" t="n">
        <x:f>IFERROR(J485-F485,"")</x:f>
        <x:v>2.666856000000003</x:v>
      </x:c>
      <x:c r="AA485" s="41" t="n">
        <x:v>12465</x:v>
      </x:c>
      <x:c r="AB485" s="41" t="n">
        <x:v>6029</x:v>
      </x:c>
    </x:row>
    <x:row r="486">
      <x:c r="A486" s="41" t="str">
        <x:v>HYP_REFINE_AUTO002_TOPN_6_V1_DDGRID_LONGRUN_STRICT_STRICT_NEXT_CLOSE_R12_C22_E80_CR40_REDD_DD8_SL20</x:v>
      </x:c>
      <x:c r="B486" s="41" t="str">
        <x:v>strict_longrun_ddgrid</x:v>
      </x:c>
      <x:c r="C486" s="41" t="str">
        <x:v>1999-01-04</x:v>
      </x:c>
      <x:c r="D486" s="41" t="str">
        <x:v>2026-05-22</x:v>
      </x:c>
      <x:c r="E486" s="41" t="n">
        <x:v>14.263195</x:v>
      </x:c>
      <x:c r="F486" s="41" t="n">
        <x:v>-33.06268</x:v>
      </x:c>
      <x:c r="G486" s="41" t="n">
        <x:v>3749.371281</x:v>
      </x:c>
      <x:c r="H486" s="41" t="n">
        <x:f>IFERROR(E486/ABS(F486),"")</x:f>
        <x:v>0.43139863435148024</x:v>
      </x:c>
      <x:c r="I486" s="41" t="n">
        <x:v>13.281699</x:v>
      </x:c>
      <x:c r="J486" s="41" t="n">
        <x:v>-30.188156</x:v>
      </x:c>
      <x:c r="K486" s="41" t="n">
        <x:v>2939.577923</x:v>
      </x:c>
      <x:c r="L486" s="41" t="n">
        <x:f>IFERROR(I486/ABS(J486),"")</x:f>
        <x:v>0.43996390504938426</x:v>
      </x:c>
      <x:c r="M486" s="41" t="n">
        <x:v>6.802475</x:v>
      </x:c>
      <x:c r="N486" s="41" t="n">
        <x:v>-56.473669</x:v>
      </x:c>
      <x:c r="O486" s="41" t="n">
        <x:v>506.057416</x:v>
      </x:c>
      <x:c r="P486" s="41" t="n">
        <x:f>IFERROR(M486/ABS(N486),"")</x:f>
        <x:v>0.12045392340278087</x:v>
      </x:c>
      <x:c r="Q486" s="41" t="str">
        <x:f>IF(L486&gt;=MAX(H486,P486),"Weekly",IF(H486&gt;=MAX(L486,P486),"No weekly","SPY"))</x:f>
        <x:v>Weekly</x:v>
      </x:c>
      <x:c r="R486" s="41" t="n">
        <x:f>IFERROR(L486-P486,"")</x:f>
        <x:v>0.3195099816466034</x:v>
      </x:c>
      <x:c r="S486" s="41" t="n">
        <x:f>IFERROR(H486-P486,"")</x:f>
        <x:v>0.31094471094869935</x:v>
      </x:c>
      <x:c r="T486" s="41" t="n">
        <x:f>IFERROR(I486-M486,"")</x:f>
        <x:v>6.479223999999999</x:v>
      </x:c>
      <x:c r="U486" s="41" t="n">
        <x:f>IFERROR(E486-M486,"")</x:f>
        <x:v>7.460719999999999</x:v>
      </x:c>
      <x:c r="V486" s="41" t="str">
        <x:f>IF(AND(I486&gt;M486,J486&gt;N486),"Sí","No")</x:f>
        <x:v>Sí</x:v>
      </x:c>
      <x:c r="W486" s="41" t="str">
        <x:f>IF(AND(E486&gt;M486,F486&gt;N486),"Sí","No")</x:f>
        <x:v>Sí</x:v>
      </x:c>
      <x:c r="X486" s="41" t="str">
        <x:f>IF(L486&gt;=H486,"Weekly","No weekly")</x:f>
        <x:v>Weekly</x:v>
      </x:c>
      <x:c r="Y486" s="41" t="n">
        <x:f>IFERROR(I486-E486,"")</x:f>
        <x:v>-0.9814959999999999</x:v>
      </x:c>
      <x:c r="Z486" s="41" t="n">
        <x:f>IFERROR(J486-F486,"")</x:f>
        <x:v>2.874524000000001</x:v>
      </x:c>
      <x:c r="AA486" s="41" t="n">
        <x:v>12016</x:v>
      </x:c>
      <x:c r="AB486" s="41" t="n">
        <x:v>5538</x:v>
      </x:c>
    </x:row>
    <x:row r="487">
      <x:c r="A487" s="41" t="str">
        <x:v>HYP_REFINE_AUTO002_TOPN_6_V1_DDGRID_LONGRUN_STRICT_STRICT_NEXT_CLOSE_R12_C23_E70_CR40_REDD_DD7_SL18</x:v>
      </x:c>
      <x:c r="B487" s="41" t="str">
        <x:v>strict_longrun_ddgrid</x:v>
      </x:c>
      <x:c r="C487" s="41" t="str">
        <x:v>1999-01-04</x:v>
      </x:c>
      <x:c r="D487" s="41" t="str">
        <x:v>2026-05-22</x:v>
      </x:c>
      <x:c r="E487" s="41" t="n">
        <x:v>12.969559</x:v>
      </x:c>
      <x:c r="F487" s="41" t="n">
        <x:v>-32.44333</x:v>
      </x:c>
      <x:c r="G487" s="41" t="n">
        <x:v>2718.415418</x:v>
      </x:c>
      <x:c r="H487" s="41" t="n">
        <x:f>IFERROR(E487/ABS(F487),"")</x:f>
        <x:v>0.39976041300322745</x:v>
      </x:c>
      <x:c r="I487" s="41" t="n">
        <x:v>10.892979</x:v>
      </x:c>
      <x:c r="J487" s="41" t="n">
        <x:v>-31.265715</x:v>
      </x:c>
      <x:c r="K487" s="41" t="n">
        <x:v>1595.922225</x:v>
      </x:c>
      <x:c r="L487" s="41" t="n">
        <x:f>IFERROR(I487/ABS(J487),"")</x:f>
        <x:v>0.3484001245453686</x:v>
      </x:c>
      <x:c r="M487" s="41" t="n">
        <x:v>6.802475</x:v>
      </x:c>
      <x:c r="N487" s="41" t="n">
        <x:v>-56.473669</x:v>
      </x:c>
      <x:c r="O487" s="41" t="n">
        <x:v>506.057416</x:v>
      </x:c>
      <x:c r="P487" s="41" t="n">
        <x:f>IFERROR(M487/ABS(N487),"")</x:f>
        <x:v>0.12045392340278087</x:v>
      </x:c>
      <x:c r="Q487" s="41" t="str">
        <x:f>IF(L487&gt;=MAX(H487,P487),"Weekly",IF(H487&gt;=MAX(L487,P487),"No weekly","SPY"))</x:f>
        <x:v>No weekly</x:v>
      </x:c>
      <x:c r="R487" s="41" t="n">
        <x:f>IFERROR(L487-P487,"")</x:f>
        <x:v>0.22794620114258773</x:v>
      </x:c>
      <x:c r="S487" s="41" t="n">
        <x:f>IFERROR(H487-P487,"")</x:f>
        <x:v>0.2793064896004466</x:v>
      </x:c>
      <x:c r="T487" s="41" t="n">
        <x:f>IFERROR(I487-M487,"")</x:f>
        <x:v>4.090504</x:v>
      </x:c>
      <x:c r="U487" s="41" t="n">
        <x:f>IFERROR(E487-M487,"")</x:f>
        <x:v>6.167084</x:v>
      </x:c>
      <x:c r="V487" s="41" t="str">
        <x:f>IF(AND(I487&gt;M487,J487&gt;N487),"Sí","No")</x:f>
        <x:v>Sí</x:v>
      </x:c>
      <x:c r="W487" s="41" t="str">
        <x:f>IF(AND(E487&gt;M487,F487&gt;N487),"Sí","No")</x:f>
        <x:v>Sí</x:v>
      </x:c>
      <x:c r="X487" s="41" t="str">
        <x:f>IF(L487&gt;=H487,"Weekly","No weekly")</x:f>
        <x:v>No weekly</x:v>
      </x:c>
      <x:c r="Y487" s="41" t="n">
        <x:f>IFERROR(I487-E487,"")</x:f>
        <x:v>-2.07658</x:v>
      </x:c>
      <x:c r="Z487" s="41" t="n">
        <x:f>IFERROR(J487-F487,"")</x:f>
        <x:v>1.177615000000003</x:v>
      </x:c>
      <x:c r="AA487" s="41" t="n">
        <x:v>12628</x:v>
      </x:c>
      <x:c r="AB487" s="41" t="n">
        <x:v>5511</x:v>
      </x:c>
    </x:row>
    <x:row r="488">
      <x:c r="A488" s="41" t="str">
        <x:v>HYP_REFINE_AUTO002_TOPN_6_V1_DDGRID_LONGRUN_STRICT_STRICT_NEXT_CLOSE_R12_C23_E72_CR40_REDD_DD7_SL18</x:v>
      </x:c>
      <x:c r="B488" s="41" t="str">
        <x:v>strict_longrun_ddgrid</x:v>
      </x:c>
      <x:c r="C488" s="41" t="str">
        <x:v>1999-01-04</x:v>
      </x:c>
      <x:c r="D488" s="41" t="str">
        <x:v>2026-05-22</x:v>
      </x:c>
      <x:c r="E488" s="41" t="n">
        <x:v>13.234221</x:v>
      </x:c>
      <x:c r="F488" s="41" t="n">
        <x:v>-32.685949</x:v>
      </x:c>
      <x:c r="G488" s="41" t="n">
        <x:v>2904.891798</x:v>
      </x:c>
      <x:c r="H488" s="41" t="n">
        <x:f>IFERROR(E488/ABS(F488),"")</x:f>
        <x:v>0.4048902175059993</x:v>
      </x:c>
      <x:c r="I488" s="41" t="n">
        <x:v>11.178007</x:v>
      </x:c>
      <x:c r="J488" s="41" t="n">
        <x:v>-31.470595</x:v>
      </x:c>
      <x:c r="K488" s="41" t="n">
        <x:v>1719.401068</x:v>
      </x:c>
      <x:c r="L488" s="41" t="n">
        <x:f>IFERROR(I488/ABS(J488),"")</x:f>
        <x:v>0.3551889311276129</x:v>
      </x:c>
      <x:c r="M488" s="41" t="n">
        <x:v>6.802475</x:v>
      </x:c>
      <x:c r="N488" s="41" t="n">
        <x:v>-56.473669</x:v>
      </x:c>
      <x:c r="O488" s="41" t="n">
        <x:v>506.057416</x:v>
      </x:c>
      <x:c r="P488" s="41" t="n">
        <x:f>IFERROR(M488/ABS(N488),"")</x:f>
        <x:v>0.12045392340278087</x:v>
      </x:c>
      <x:c r="Q488" s="41" t="str">
        <x:f>IF(L488&gt;=MAX(H488,P488),"Weekly",IF(H488&gt;=MAX(L488,P488),"No weekly","SPY"))</x:f>
        <x:v>No weekly</x:v>
      </x:c>
      <x:c r="R488" s="41" t="n">
        <x:f>IFERROR(L488-P488,"")</x:f>
        <x:v>0.23473500772483202</x:v>
      </x:c>
      <x:c r="S488" s="41" t="n">
        <x:f>IFERROR(H488-P488,"")</x:f>
        <x:v>0.2844362941032184</x:v>
      </x:c>
      <x:c r="T488" s="41" t="n">
        <x:f>IFERROR(I488-M488,"")</x:f>
        <x:v>4.375531999999999</x:v>
      </x:c>
      <x:c r="U488" s="41" t="n">
        <x:f>IFERROR(E488-M488,"")</x:f>
        <x:v>6.4317459999999995</x:v>
      </x:c>
      <x:c r="V488" s="41" t="str">
        <x:f>IF(AND(I488&gt;M488,J488&gt;N488),"Sí","No")</x:f>
        <x:v>Sí</x:v>
      </x:c>
      <x:c r="W488" s="41" t="str">
        <x:f>IF(AND(E488&gt;M488,F488&gt;N488),"Sí","No")</x:f>
        <x:v>Sí</x:v>
      </x:c>
      <x:c r="X488" s="41" t="str">
        <x:f>IF(L488&gt;=H488,"Weekly","No weekly")</x:f>
        <x:v>No weekly</x:v>
      </x:c>
      <x:c r="Y488" s="41" t="n">
        <x:f>IFERROR(I488-E488,"")</x:f>
        <x:v>-2.0562140000000007</x:v>
      </x:c>
      <x:c r="Z488" s="41" t="n">
        <x:f>IFERROR(J488-F488,"")</x:f>
        <x:v>1.2153540000000014</x:v>
      </x:c>
      <x:c r="AA488" s="41" t="n">
        <x:v>12582</x:v>
      </x:c>
      <x:c r="AB488" s="41" t="n">
        <x:v>5511</x:v>
      </x:c>
    </x:row>
    <x:row r="489">
      <x:c r="A489" s="41" t="str">
        <x:v>HYP_REFINE_AUTO002_TOPN_6_V1_DDGRID_LONGRUN_STRICT_STRICT_NEXT_CLOSE_R12_C23_E75_CR33_REDD_DD7_SL18</x:v>
      </x:c>
      <x:c r="B489" s="41" t="str">
        <x:v>strict_longrun_ddgrid</x:v>
      </x:c>
      <x:c r="C489" s="41" t="str">
        <x:v>1999-01-04</x:v>
      </x:c>
      <x:c r="D489" s="41" t="str">
        <x:v>2026-05-22</x:v>
      </x:c>
      <x:c r="E489" s="41" t="n">
        <x:v>11.883839</x:v>
      </x:c>
      <x:c r="F489" s="41" t="n">
        <x:v>-31.4321</x:v>
      </x:c>
      <x:c r="G489" s="41" t="n">
        <x:v>2063.603027</x:v>
      </x:c>
      <x:c r="H489" s="41" t="n">
        <x:f>IFERROR(E489/ABS(F489),"")</x:f>
        <x:v>0.3780797019607344</x:v>
      </x:c>
      <x:c r="I489" s="41" t="n">
        <x:v>10.963083</x:v>
      </x:c>
      <x:c r="J489" s="41" t="n">
        <x:v>-30.004739</x:v>
      </x:c>
      <x:c r="K489" s="41" t="n">
        <x:v>1625.521471</x:v>
      </x:c>
      <x:c r="L489" s="41" t="n">
        <x:f>IFERROR(I489/ABS(J489),"")</x:f>
        <x:v>0.365378382394861</x:v>
      </x:c>
      <x:c r="M489" s="41" t="n">
        <x:v>6.802475</x:v>
      </x:c>
      <x:c r="N489" s="41" t="n">
        <x:v>-56.473669</x:v>
      </x:c>
      <x:c r="O489" s="41" t="n">
        <x:v>506.057416</x:v>
      </x:c>
      <x:c r="P489" s="41" t="n">
        <x:f>IFERROR(M489/ABS(N489),"")</x:f>
        <x:v>0.12045392340278087</x:v>
      </x:c>
      <x:c r="Q489" s="41" t="str">
        <x:f>IF(L489&gt;=MAX(H489,P489),"Weekly",IF(H489&gt;=MAX(L489,P489),"No weekly","SPY"))</x:f>
        <x:v>No weekly</x:v>
      </x:c>
      <x:c r="R489" s="41" t="n">
        <x:f>IFERROR(L489-P489,"")</x:f>
        <x:v>0.2449244589920801</x:v>
      </x:c>
      <x:c r="S489" s="41" t="n">
        <x:f>IFERROR(H489-P489,"")</x:f>
        <x:v>0.25762577855795354</x:v>
      </x:c>
      <x:c r="T489" s="41" t="n">
        <x:f>IFERROR(I489-M489,"")</x:f>
        <x:v>4.160607999999999</x:v>
      </x:c>
      <x:c r="U489" s="41" t="n">
        <x:f>IFERROR(E489-M489,"")</x:f>
        <x:v>5.081364</x:v>
      </x:c>
      <x:c r="V489" s="41" t="str">
        <x:f>IF(AND(I489&gt;M489,J489&gt;N489),"Sí","No")</x:f>
        <x:v>Sí</x:v>
      </x:c>
      <x:c r="W489" s="41" t="str">
        <x:f>IF(AND(E489&gt;M489,F489&gt;N489),"Sí","No")</x:f>
        <x:v>Sí</x:v>
      </x:c>
      <x:c r="X489" s="41" t="str">
        <x:f>IF(L489&gt;=H489,"Weekly","No weekly")</x:f>
        <x:v>No weekly</x:v>
      </x:c>
      <x:c r="Y489" s="41" t="n">
        <x:f>IFERROR(I489-E489,"")</x:f>
        <x:v>-0.9207560000000008</x:v>
      </x:c>
      <x:c r="Z489" s="41" t="n">
        <x:f>IFERROR(J489-F489,"")</x:f>
        <x:v>1.4273609999999977</x:v>
      </x:c>
      <x:c r="AA489" s="41" t="n">
        <x:v>12334</x:v>
      </x:c>
      <x:c r="AB489" s="41" t="n">
        <x:v>6128</x:v>
      </x:c>
    </x:row>
    <x:row r="490">
      <x:c r="A490" s="41" t="str">
        <x:v>HYP_REFINE_AUTO002_TOPN_6_V1_DDGRID_LONGRUN_STRICT_STRICT_NEXT_CLOSE_R12_C23_E75_CR36_REDD_DD7_SL18</x:v>
      </x:c>
      <x:c r="B490" s="41" t="str">
        <x:v>strict_longrun_ddgrid</x:v>
      </x:c>
      <x:c r="C490" s="41" t="str">
        <x:v>1999-01-04</x:v>
      </x:c>
      <x:c r="D490" s="41" t="str">
        <x:v>2026-05-22</x:v>
      </x:c>
      <x:c r="E490" s="41" t="n">
        <x:v>11.72264</x:v>
      </x:c>
      <x:c r="F490" s="41" t="n">
        <x:v>-31.806621</x:v>
      </x:c>
      <x:c r="G490" s="41" t="n">
        <x:v>1979.858956</x:v>
      </x:c>
      <x:c r="H490" s="41" t="n">
        <x:f>IFERROR(E490/ABS(F490),"")</x:f>
        <x:v>0.36855974106774814</x:v>
      </x:c>
      <x:c r="I490" s="41" t="n">
        <x:v>10.850186</x:v>
      </x:c>
      <x:c r="J490" s="41" t="n">
        <x:v>-30.637951</x:v>
      </x:c>
      <x:c r="K490" s="41" t="n">
        <x:v>1578.09514</x:v>
      </x:c>
      <x:c r="L490" s="41" t="n">
        <x:f>IFERROR(I490/ABS(J490),"")</x:f>
        <x:v>0.35414202470654776</x:v>
      </x:c>
      <x:c r="M490" s="41" t="n">
        <x:v>6.802475</x:v>
      </x:c>
      <x:c r="N490" s="41" t="n">
        <x:v>-56.473669</x:v>
      </x:c>
      <x:c r="O490" s="41" t="n">
        <x:v>506.057416</x:v>
      </x:c>
      <x:c r="P490" s="41" t="n">
        <x:f>IFERROR(M490/ABS(N490),"")</x:f>
        <x:v>0.12045392340278087</x:v>
      </x:c>
      <x:c r="Q490" s="41" t="str">
        <x:f>IF(L490&gt;=MAX(H490,P490),"Weekly",IF(H490&gt;=MAX(L490,P490),"No weekly","SPY"))</x:f>
        <x:v>No weekly</x:v>
      </x:c>
      <x:c r="R490" s="41" t="n">
        <x:f>IFERROR(L490-P490,"")</x:f>
        <x:v>0.23368810130376688</x:v>
      </x:c>
      <x:c r="S490" s="41" t="n">
        <x:f>IFERROR(H490-P490,"")</x:f>
        <x:v>0.24810581766496725</x:v>
      </x:c>
      <x:c r="T490" s="41" t="n">
        <x:f>IFERROR(I490-M490,"")</x:f>
        <x:v>4.0477110000000005</x:v>
      </x:c>
      <x:c r="U490" s="41" t="n">
        <x:f>IFERROR(E490-M490,"")</x:f>
        <x:v>4.920165</x:v>
      </x:c>
      <x:c r="V490" s="41" t="str">
        <x:f>IF(AND(I490&gt;M490,J490&gt;N490),"Sí","No")</x:f>
        <x:v>Sí</x:v>
      </x:c>
      <x:c r="W490" s="41" t="str">
        <x:f>IF(AND(E490&gt;M490,F490&gt;N490),"Sí","No")</x:f>
        <x:v>Sí</x:v>
      </x:c>
      <x:c r="X490" s="41" t="str">
        <x:f>IF(L490&gt;=H490,"Weekly","No weekly")</x:f>
        <x:v>No weekly</x:v>
      </x:c>
      <x:c r="Y490" s="41" t="n">
        <x:f>IFERROR(I490-E490,"")</x:f>
        <x:v>-0.8724539999999994</x:v>
      </x:c>
      <x:c r="Z490" s="41" t="n">
        <x:f>IFERROR(J490-F490,"")</x:f>
        <x:v>1.1686699999999988</x:v>
      </x:c>
      <x:c r="AA490" s="41" t="n">
        <x:v>12380</x:v>
      </x:c>
      <x:c r="AB490" s="41" t="n">
        <x:v>6161</x:v>
      </x:c>
    </x:row>
    <x:row r="491">
      <x:c r="A491" s="41" t="str">
        <x:v>HYP_REFINE_AUTO002_TOPN_6_V1_DDGRID_LONGRUN_STRICT_STRICT_NEXT_CLOSE_R12_C23_E75_CR40_REDD_DD6_SL18</x:v>
      </x:c>
      <x:c r="B491" s="41" t="str">
        <x:v>strict_longrun_ddgrid</x:v>
      </x:c>
      <x:c r="C491" s="41" t="str">
        <x:v>1999-01-04</x:v>
      </x:c>
      <x:c r="D491" s="41" t="str">
        <x:v>2026-05-22</x:v>
      </x:c>
      <x:c r="E491" s="41" t="n">
        <x:v>12.981392</x:v>
      </x:c>
      <x:c r="F491" s="41" t="n">
        <x:v>-32.999952</x:v>
      </x:c>
      <x:c r="G491" s="41" t="n">
        <x:v>2726.509249</x:v>
      </x:c>
      <x:c r="H491" s="41" t="n">
        <x:f>IFERROR(E491/ABS(F491),"")</x:f>
        <x:v>0.3933760873349149</x:v>
      </x:c>
      <x:c r="I491" s="41" t="n">
        <x:v>11.47102</x:v>
      </x:c>
      <x:c r="J491" s="41" t="n">
        <x:v>-31.777609</x:v>
      </x:c>
      <x:c r="K491" s="41" t="n">
        <x:v>1855.350128</x:v>
      </x:c>
      <x:c r="L491" s="41" t="n">
        <x:f>IFERROR(I491/ABS(J491),"")</x:f>
        <x:v>0.36097807106884594</x:v>
      </x:c>
      <x:c r="M491" s="41" t="n">
        <x:v>6.802475</x:v>
      </x:c>
      <x:c r="N491" s="41" t="n">
        <x:v>-56.473669</x:v>
      </x:c>
      <x:c r="O491" s="41" t="n">
        <x:v>506.057416</x:v>
      </x:c>
      <x:c r="P491" s="41" t="n">
        <x:f>IFERROR(M491/ABS(N491),"")</x:f>
        <x:v>0.12045392340278087</x:v>
      </x:c>
      <x:c r="Q491" s="41" t="str">
        <x:f>IF(L491&gt;=MAX(H491,P491),"Weekly",IF(H491&gt;=MAX(L491,P491),"No weekly","SPY"))</x:f>
        <x:v>No weekly</x:v>
      </x:c>
      <x:c r="R491" s="41" t="n">
        <x:f>IFERROR(L491-P491,"")</x:f>
        <x:v>0.24052414766606506</x:v>
      </x:c>
      <x:c r="S491" s="41" t="n">
        <x:f>IFERROR(H491-P491,"")</x:f>
        <x:v>0.27292216393213403</x:v>
      </x:c>
      <x:c r="T491" s="41" t="n">
        <x:f>IFERROR(I491-M491,"")</x:f>
        <x:v>4.668544999999999</x:v>
      </x:c>
      <x:c r="U491" s="41" t="n">
        <x:f>IFERROR(E491-M491,"")</x:f>
        <x:v>6.178916999999999</x:v>
      </x:c>
      <x:c r="V491" s="41" t="str">
        <x:f>IF(AND(I491&gt;M491,J491&gt;N491),"Sí","No")</x:f>
        <x:v>Sí</x:v>
      </x:c>
      <x:c r="W491" s="41" t="str">
        <x:f>IF(AND(E491&gt;M491,F491&gt;N491),"Sí","No")</x:f>
        <x:v>Sí</x:v>
      </x:c>
      <x:c r="X491" s="41" t="str">
        <x:f>IF(L491&gt;=H491,"Weekly","No weekly")</x:f>
        <x:v>No weekly</x:v>
      </x:c>
      <x:c r="Y491" s="41" t="n">
        <x:f>IFERROR(I491-E491,"")</x:f>
        <x:v>-1.5103720000000003</x:v>
      </x:c>
      <x:c r="Z491" s="41" t="n">
        <x:f>IFERROR(J491-F491,"")</x:f>
        <x:v>1.2223429999999986</x:v>
      </x:c>
      <x:c r="AA491" s="41" t="n">
        <x:v>12640</x:v>
      </x:c>
      <x:c r="AB491" s="41" t="n">
        <x:v>5897</x:v>
      </x:c>
    </x:row>
    <x:row r="492">
      <x:c r="A492" s="41" t="str">
        <x:v>HYP_REFINE_AUTO002_TOPN_6_V1_DDGRID_LONGRUN_STRICT_STRICT_NEXT_CLOSE_R12_C23_E75_CR40_REDD_DD7_SL16</x:v>
      </x:c>
      <x:c r="B492" s="41" t="str">
        <x:v>strict_longrun_ddgrid</x:v>
      </x:c>
      <x:c r="C492" s="41" t="str">
        <x:v>1999-01-04</x:v>
      </x:c>
      <x:c r="D492" s="41" t="str">
        <x:v>2026-05-22</x:v>
      </x:c>
      <x:c r="E492" s="41" t="n">
        <x:v>12.963966</x:v>
      </x:c>
      <x:c r="F492" s="41" t="n">
        <x:v>-32.854398</x:v>
      </x:c>
      <x:c r="G492" s="41" t="n">
        <x:v>2714.597627</x:v>
      </x:c>
      <x:c r="H492" s="41" t="n">
        <x:f>IFERROR(E492/ABS(F492),"")</x:f>
        <x:v>0.39458845053255875</x:v>
      </x:c>
      <x:c r="I492" s="41" t="n">
        <x:v>12.099273</x:v>
      </x:c>
      <x:c r="J492" s="41" t="n">
        <x:v>-31.539737</x:v>
      </x:c>
      <x:c r="K492" s="41" t="n">
        <x:v>2180.607568</x:v>
      </x:c>
      <x:c r="L492" s="41" t="n">
        <x:f>IFERROR(I492/ABS(J492),"")</x:f>
        <x:v>0.38361997121282276</x:v>
      </x:c>
      <x:c r="M492" s="41" t="n">
        <x:v>6.802475</x:v>
      </x:c>
      <x:c r="N492" s="41" t="n">
        <x:v>-56.473669</x:v>
      </x:c>
      <x:c r="O492" s="41" t="n">
        <x:v>506.057416</x:v>
      </x:c>
      <x:c r="P492" s="41" t="n">
        <x:f>IFERROR(M492/ABS(N492),"")</x:f>
        <x:v>0.12045392340278087</x:v>
      </x:c>
      <x:c r="Q492" s="41" t="str">
        <x:f>IF(L492&gt;=MAX(H492,P492),"Weekly",IF(H492&gt;=MAX(L492,P492),"No weekly","SPY"))</x:f>
        <x:v>No weekly</x:v>
      </x:c>
      <x:c r="R492" s="41" t="n">
        <x:f>IFERROR(L492-P492,"")</x:f>
        <x:v>0.2631660478100419</x:v>
      </x:c>
      <x:c r="S492" s="41" t="n">
        <x:f>IFERROR(H492-P492,"")</x:f>
        <x:v>0.27413452712977787</x:v>
      </x:c>
      <x:c r="T492" s="41" t="n">
        <x:f>IFERROR(I492-M492,"")</x:f>
        <x:v>5.296798</x:v>
      </x:c>
      <x:c r="U492" s="41" t="n">
        <x:f>IFERROR(E492-M492,"")</x:f>
        <x:v>6.161490999999999</x:v>
      </x:c>
      <x:c r="V492" s="41" t="str">
        <x:f>IF(AND(I492&gt;M492,J492&gt;N492),"Sí","No")</x:f>
        <x:v>Sí</x:v>
      </x:c>
      <x:c r="W492" s="41" t="str">
        <x:f>IF(AND(E492&gt;M492,F492&gt;N492),"Sí","No")</x:f>
        <x:v>Sí</x:v>
      </x:c>
      <x:c r="X492" s="41" t="str">
        <x:f>IF(L492&gt;=H492,"Weekly","No weekly")</x:f>
        <x:v>No weekly</x:v>
      </x:c>
      <x:c r="Y492" s="41" t="n">
        <x:f>IFERROR(I492-E492,"")</x:f>
        <x:v>-0.864692999999999</x:v>
      </x:c>
      <x:c r="Z492" s="41" t="n">
        <x:f>IFERROR(J492-F492,"")</x:f>
        <x:v>1.3146610000000045</x:v>
      </x:c>
      <x:c r="AA492" s="41" t="n">
        <x:v>12250</x:v>
      </x:c>
      <x:c r="AB492" s="41" t="n">
        <x:v>5682</x:v>
      </x:c>
    </x:row>
    <x:row r="493">
      <x:c r="A493" s="41" t="str">
        <x:v>HYP_REFINE_AUTO002_TOPN_6_V1_DDGRID_LONGRUN_STRICT_STRICT_NEXT_CLOSE_R12_C23_E75_CR40_REDD_DD7_SL18</x:v>
      </x:c>
      <x:c r="B493" s="41" t="str">
        <x:v>strict_longrun_ddgrid</x:v>
      </x:c>
      <x:c r="C493" s="41" t="str">
        <x:v>1999-01-04</x:v>
      </x:c>
      <x:c r="D493" s="41" t="str">
        <x:v>2026-05-22</x:v>
      </x:c>
      <x:c r="E493" s="41" t="n">
        <x:v>13.534713</x:v>
      </x:c>
      <x:c r="F493" s="41" t="n">
        <x:v>-32.999952</x:v>
      </x:c>
      <x:c r="G493" s="41" t="n">
        <x:v>3131.027505</x:v>
      </x:c>
      <x:c r="H493" s="41" t="n">
        <x:f>IFERROR(E493/ABS(F493),"")</x:f>
        <x:v>0.4101434147540578</x:v>
      </x:c>
      <x:c r="I493" s="41" t="n">
        <x:v>11.635817</x:v>
      </x:c>
      <x:c r="J493" s="41" t="n">
        <x:v>-31.777609</x:v>
      </x:c>
      <x:c r="K493" s="41" t="n">
        <x:v>1936.057225</x:v>
      </x:c>
      <x:c r="L493" s="41" t="n">
        <x:f>IFERROR(I493/ABS(J493),"")</x:f>
        <x:v>0.36616401819280986</x:v>
      </x:c>
      <x:c r="M493" s="41" t="n">
        <x:v>6.802475</x:v>
      </x:c>
      <x:c r="N493" s="41" t="n">
        <x:v>-56.473669</x:v>
      </x:c>
      <x:c r="O493" s="41" t="n">
        <x:v>506.057416</x:v>
      </x:c>
      <x:c r="P493" s="41" t="n">
        <x:f>IFERROR(M493/ABS(N493),"")</x:f>
        <x:v>0.12045392340278087</x:v>
      </x:c>
      <x:c r="Q493" s="41" t="str">
        <x:f>IF(L493&gt;=MAX(H493,P493),"Weekly",IF(H493&gt;=MAX(L493,P493),"No weekly","SPY"))</x:f>
        <x:v>No weekly</x:v>
      </x:c>
      <x:c r="R493" s="41" t="n">
        <x:f>IFERROR(L493-P493,"")</x:f>
        <x:v>0.24571009479002898</x:v>
      </x:c>
      <x:c r="S493" s="41" t="n">
        <x:f>IFERROR(H493-P493,"")</x:f>
        <x:v>0.2896894913512769</x:v>
      </x:c>
      <x:c r="T493" s="41" t="n">
        <x:f>IFERROR(I493-M493,"")</x:f>
        <x:v>4.833341999999999</x:v>
      </x:c>
      <x:c r="U493" s="41" t="n">
        <x:f>IFERROR(E493-M493,"")</x:f>
        <x:v>6.732238</x:v>
      </x:c>
      <x:c r="V493" s="41" t="str">
        <x:f>IF(AND(I493&gt;M493,J493&gt;N493),"Sí","No")</x:f>
        <x:v>Sí</x:v>
      </x:c>
      <x:c r="W493" s="41" t="str">
        <x:f>IF(AND(E493&gt;M493,F493&gt;N493),"Sí","No")</x:f>
        <x:v>Sí</x:v>
      </x:c>
      <x:c r="X493" s="41" t="str">
        <x:f>IF(L493&gt;=H493,"Weekly","No weekly")</x:f>
        <x:v>No weekly</x:v>
      </x:c>
      <x:c r="Y493" s="41" t="n">
        <x:f>IFERROR(I493-E493,"")</x:f>
        <x:v>-1.8988960000000006</x:v>
      </x:c>
      <x:c r="Z493" s="41" t="n">
        <x:f>IFERROR(J493-F493,"")</x:f>
        <x:v>1.2223429999999986</x:v>
      </x:c>
      <x:c r="AA493" s="41" t="n">
        <x:v>12489</x:v>
      </x:c>
      <x:c r="AB493" s="41" t="n">
        <x:v>5604</x:v>
      </x:c>
    </x:row>
    <x:row r="494">
      <x:c r="A494" s="41" t="str">
        <x:v>HYP_REFINE_AUTO002_TOPN_6_V1_DDGRID_LONGRUN_STRICT_STRICT_NEXT_CLOSE_R12_C23_E75_CR40_REDD_DD7_SL20</x:v>
      </x:c>
      <x:c r="B494" s="41" t="str">
        <x:v>strict_longrun_ddgrid</x:v>
      </x:c>
      <x:c r="C494" s="41" t="str">
        <x:v>1999-01-04</x:v>
      </x:c>
      <x:c r="D494" s="41" t="str">
        <x:v>2026-05-22</x:v>
      </x:c>
      <x:c r="E494" s="41" t="n">
        <x:v>12.592518</x:v>
      </x:c>
      <x:c r="F494" s="41" t="n">
        <x:v>-32.957212</x:v>
      </x:c>
      <x:c r="G494" s="41" t="n">
        <x:v>2471.900295</x:v>
      </x:c>
      <x:c r="H494" s="41" t="n">
        <x:f>IFERROR(E494/ABS(F494),"")</x:f>
        <x:v>0.38208687069767916</x:v>
      </x:c>
      <x:c r="I494" s="41" t="n">
        <x:v>12.214333</x:v>
      </x:c>
      <x:c r="J494" s="41" t="n">
        <x:v>-30.700765</x:v>
      </x:c>
      <x:c r="K494" s="41" t="n">
        <x:v>2245.571341</x:v>
      </x:c>
      <x:c r="L494" s="41" t="n">
        <x:f>IFERROR(I494/ABS(J494),"")</x:f>
        <x:v>0.39785109589288736</x:v>
      </x:c>
      <x:c r="M494" s="41" t="n">
        <x:v>6.802475</x:v>
      </x:c>
      <x:c r="N494" s="41" t="n">
        <x:v>-56.473669</x:v>
      </x:c>
      <x:c r="O494" s="41" t="n">
        <x:v>506.057416</x:v>
      </x:c>
      <x:c r="P494" s="41" t="n">
        <x:f>IFERROR(M494/ABS(N494),"")</x:f>
        <x:v>0.12045392340278087</x:v>
      </x:c>
      <x:c r="Q494" s="41" t="str">
        <x:f>IF(L494&gt;=MAX(H494,P494),"Weekly",IF(H494&gt;=MAX(L494,P494),"No weekly","SPY"))</x:f>
        <x:v>Weekly</x:v>
      </x:c>
      <x:c r="R494" s="41" t="n">
        <x:f>IFERROR(L494-P494,"")</x:f>
        <x:v>0.2773971724901065</x:v>
      </x:c>
      <x:c r="S494" s="41" t="n">
        <x:f>IFERROR(H494-P494,"")</x:f>
        <x:v>0.2616329472948983</x:v>
      </x:c>
      <x:c r="T494" s="41" t="n">
        <x:f>IFERROR(I494-M494,"")</x:f>
        <x:v>5.411858</x:v>
      </x:c>
      <x:c r="U494" s="41" t="n">
        <x:f>IFERROR(E494-M494,"")</x:f>
        <x:v>5.790043</x:v>
      </x:c>
      <x:c r="V494" s="41" t="str">
        <x:f>IF(AND(I494&gt;M494,J494&gt;N494),"Sí","No")</x:f>
        <x:v>Sí</x:v>
      </x:c>
      <x:c r="W494" s="41" t="str">
        <x:f>IF(AND(E494&gt;M494,F494&gt;N494),"Sí","No")</x:f>
        <x:v>Sí</x:v>
      </x:c>
      <x:c r="X494" s="41" t="str">
        <x:f>IF(L494&gt;=H494,"Weekly","No weekly")</x:f>
        <x:v>Weekly</x:v>
      </x:c>
      <x:c r="Y494" s="41" t="n">
        <x:f>IFERROR(I494-E494,"")</x:f>
        <x:v>-0.3781850000000002</x:v>
      </x:c>
      <x:c r="Z494" s="41" t="n">
        <x:f>IFERROR(J494-F494,"")</x:f>
        <x:v>2.256446999999998</x:v>
      </x:c>
      <x:c r="AA494" s="41" t="n">
        <x:v>12298</x:v>
      </x:c>
      <x:c r="AB494" s="41" t="n">
        <x:v>5949</x:v>
      </x:c>
    </x:row>
    <x:row r="495">
      <x:c r="A495" s="41" t="str">
        <x:v>HYP_REFINE_AUTO002_TOPN_6_V1_DDGRID_LONGRUN_STRICT_STRICT_NEXT_CLOSE_R12_C23_E75_CR40_REDD_DD8_SL18</x:v>
      </x:c>
      <x:c r="B495" s="41" t="str">
        <x:v>strict_longrun_ddgrid</x:v>
      </x:c>
      <x:c r="C495" s="41" t="str">
        <x:v>1999-01-04</x:v>
      </x:c>
      <x:c r="D495" s="41" t="str">
        <x:v>2026-05-22</x:v>
      </x:c>
      <x:c r="E495" s="41" t="n">
        <x:v>13.134819</x:v>
      </x:c>
      <x:c r="F495" s="41" t="n">
        <x:v>-32.999952</x:v>
      </x:c>
      <x:c r="G495" s="41" t="n">
        <x:v>2833.502029</x:v>
      </x:c>
      <x:c r="H495" s="41" t="n">
        <x:f>IFERROR(E495/ABS(F495),"")</x:f>
        <x:v>0.39802539712785034</x:v>
      </x:c>
      <x:c r="I495" s="41" t="n">
        <x:v>11.853192</x:v>
      </x:c>
      <x:c r="J495" s="41" t="n">
        <x:v>-31.777609</x:v>
      </x:c>
      <x:c r="K495" s="41" t="n">
        <x:v>2047.435286</x:v>
      </x:c>
      <x:c r="L495" s="41" t="n">
        <x:f>IFERROR(I495/ABS(J495),"")</x:f>
        <x:v>0.3730045265520134</x:v>
      </x:c>
      <x:c r="M495" s="41" t="n">
        <x:v>6.802475</x:v>
      </x:c>
      <x:c r="N495" s="41" t="n">
        <x:v>-56.473669</x:v>
      </x:c>
      <x:c r="O495" s="41" t="n">
        <x:v>506.057416</x:v>
      </x:c>
      <x:c r="P495" s="41" t="n">
        <x:f>IFERROR(M495/ABS(N495),"")</x:f>
        <x:v>0.12045392340278087</x:v>
      </x:c>
      <x:c r="Q495" s="41" t="str">
        <x:f>IF(L495&gt;=MAX(H495,P495),"Weekly",IF(H495&gt;=MAX(L495,P495),"No weekly","SPY"))</x:f>
        <x:v>No weekly</x:v>
      </x:c>
      <x:c r="R495" s="41" t="n">
        <x:f>IFERROR(L495-P495,"")</x:f>
        <x:v>0.2525506031492325</x:v>
      </x:c>
      <x:c r="S495" s="41" t="n">
        <x:f>IFERROR(H495-P495,"")</x:f>
        <x:v>0.27757147372506946</x:v>
      </x:c>
      <x:c r="T495" s="41" t="n">
        <x:f>IFERROR(I495-M495,"")</x:f>
        <x:v>5.050717</x:v>
      </x:c>
      <x:c r="U495" s="41" t="n">
        <x:f>IFERROR(E495-M495,"")</x:f>
        <x:v>6.332344</x:v>
      </x:c>
      <x:c r="V495" s="41" t="str">
        <x:f>IF(AND(I495&gt;M495,J495&gt;N495),"Sí","No")</x:f>
        <x:v>Sí</x:v>
      </x:c>
      <x:c r="W495" s="41" t="str">
        <x:f>IF(AND(E495&gt;M495,F495&gt;N495),"Sí","No")</x:f>
        <x:v>Sí</x:v>
      </x:c>
      <x:c r="X495" s="41" t="str">
        <x:f>IF(L495&gt;=H495,"Weekly","No weekly")</x:f>
        <x:v>No weekly</x:v>
      </x:c>
      <x:c r="Y495" s="41" t="n">
        <x:f>IFERROR(I495-E495,"")</x:f>
        <x:v>-1.2816270000000003</x:v>
      </x:c>
      <x:c r="Z495" s="41" t="n">
        <x:f>IFERROR(J495-F495,"")</x:f>
        <x:v>1.2223429999999986</x:v>
      </x:c>
      <x:c r="AA495" s="41" t="n">
        <x:v>12265</x:v>
      </x:c>
      <x:c r="AB495" s="41" t="n">
        <x:v>5555</x:v>
      </x:c>
    </x:row>
    <x:row r="496">
      <x:c r="A496" s="41" t="str">
        <x:v>HYP_REFINE_AUTO002_TOPN_6_V1_DDGRID_LONGRUN_STRICT_STRICT_NEXT_CLOSE_R12_C23_E75_CR40_REDD_DD8_SL20</x:v>
      </x:c>
      <x:c r="B496" s="41" t="str">
        <x:v>strict_longrun_ddgrid</x:v>
      </x:c>
      <x:c r="C496" s="41" t="str">
        <x:v>1999-01-04</x:v>
      </x:c>
      <x:c r="D496" s="41" t="str">
        <x:v>2026-05-22</x:v>
      </x:c>
      <x:c r="E496" s="41" t="n">
        <x:v>12.439233</x:v>
      </x:c>
      <x:c r="F496" s="41" t="n">
        <x:v>-33.255282</x:v>
      </x:c>
      <x:c r="G496" s="41" t="n">
        <x:v>2377.738117</x:v>
      </x:c>
      <x:c r="H496" s="41" t="n">
        <x:f>IFERROR(E496/ABS(F496),"")</x:f>
        <x:v>0.37405284970970926</x:v>
      </x:c>
      <x:c r="I496" s="41" t="n">
        <x:v>12.472252</x:v>
      </x:c>
      <x:c r="J496" s="41" t="n">
        <x:v>-30.700765</x:v>
      </x:c>
      <x:c r="K496" s="41" t="n">
        <x:v>2397.736716</x:v>
      </x:c>
      <x:c r="L496" s="41" t="n">
        <x:f>IFERROR(I496/ABS(J496),"")</x:f>
        <x:v>0.4062521569087936</x:v>
      </x:c>
      <x:c r="M496" s="41" t="n">
        <x:v>6.802475</x:v>
      </x:c>
      <x:c r="N496" s="41" t="n">
        <x:v>-56.473669</x:v>
      </x:c>
      <x:c r="O496" s="41" t="n">
        <x:v>506.057416</x:v>
      </x:c>
      <x:c r="P496" s="41" t="n">
        <x:f>IFERROR(M496/ABS(N496),"")</x:f>
        <x:v>0.12045392340278087</x:v>
      </x:c>
      <x:c r="Q496" s="41" t="str">
        <x:f>IF(L496&gt;=MAX(H496,P496),"Weekly",IF(H496&gt;=MAX(L496,P496),"No weekly","SPY"))</x:f>
        <x:v>Weekly</x:v>
      </x:c>
      <x:c r="R496" s="41" t="n">
        <x:f>IFERROR(L496-P496,"")</x:f>
        <x:v>0.28579823350601274</x:v>
      </x:c>
      <x:c r="S496" s="41" t="n">
        <x:f>IFERROR(H496-P496,"")</x:f>
        <x:v>0.2535989263069284</x:v>
      </x:c>
      <x:c r="T496" s="41" t="n">
        <x:f>IFERROR(I496-M496,"")</x:f>
        <x:v>5.669776999999999</x:v>
      </x:c>
      <x:c r="U496" s="41" t="n">
        <x:f>IFERROR(E496-M496,"")</x:f>
        <x:v>5.6367579999999995</x:v>
      </x:c>
      <x:c r="V496" s="41" t="str">
        <x:f>IF(AND(I496&gt;M496,J496&gt;N496),"Sí","No")</x:f>
        <x:v>Sí</x:v>
      </x:c>
      <x:c r="W496" s="41" t="str">
        <x:f>IF(AND(E496&gt;M496,F496&gt;N496),"Sí","No")</x:f>
        <x:v>Sí</x:v>
      </x:c>
      <x:c r="X496" s="41" t="str">
        <x:f>IF(L496&gt;=H496,"Weekly","No weekly")</x:f>
        <x:v>Weekly</x:v>
      </x:c>
      <x:c r="Y496" s="41" t="n">
        <x:f>IFERROR(I496-E496,"")</x:f>
        <x:v>0.033018999999999465</x:v>
      </x:c>
      <x:c r="Z496" s="41" t="n">
        <x:f>IFERROR(J496-F496,"")</x:f>
        <x:v>2.5545170000000006</x:v>
      </x:c>
      <x:c r="AA496" s="41" t="n">
        <x:v>12056</x:v>
      </x:c>
      <x:c r="AB496" s="41" t="n">
        <x:v>5888</x:v>
      </x:c>
    </x:row>
    <x:row r="497">
      <x:c r="A497" s="41" t="str">
        <x:v>HYP_REFINE_AUTO002_TOPN_6_V1_DDGRID_LONGRUN_STRICT_STRICT_NEXT_CLOSE_R12_C23_E75_CR45_REDD_DD7_SL18</x:v>
      </x:c>
      <x:c r="B497" s="41" t="str">
        <x:v>strict_longrun_ddgrid</x:v>
      </x:c>
      <x:c r="C497" s="41" t="str">
        <x:v>1999-01-04</x:v>
      </x:c>
      <x:c r="D497" s="41" t="str">
        <x:v>2026-05-22</x:v>
      </x:c>
      <x:c r="E497" s="41" t="n">
        <x:v>13.426019</x:v>
      </x:c>
      <x:c r="F497" s="41" t="n">
        <x:v>-33.630217</x:v>
      </x:c>
      <x:c r="G497" s="41" t="n">
        <x:v>3047.399063</x:v>
      </x:c>
      <x:c r="H497" s="41" t="n">
        <x:f>IFERROR(E497/ABS(F497),"")</x:f>
        <x:v>0.3992248697057173</x:v>
      </x:c>
      <x:c r="I497" s="41" t="n">
        <x:v>11.952067</x:v>
      </x:c>
      <x:c r="J497" s="41" t="n">
        <x:v>-32.245286</x:v>
      </x:c>
      <x:c r="K497" s="41" t="n">
        <x:v>2100.017876</x:v>
      </x:c>
      <x:c r="L497" s="41" t="n">
        <x:f>IFERROR(I497/ABS(J497),"")</x:f>
        <x:v>0.37066090838828347</x:v>
      </x:c>
      <x:c r="M497" s="41" t="n">
        <x:v>6.802475</x:v>
      </x:c>
      <x:c r="N497" s="41" t="n">
        <x:v>-56.473669</x:v>
      </x:c>
      <x:c r="O497" s="41" t="n">
        <x:v>506.057416</x:v>
      </x:c>
      <x:c r="P497" s="41" t="n">
        <x:f>IFERROR(M497/ABS(N497),"")</x:f>
        <x:v>0.12045392340278087</x:v>
      </x:c>
      <x:c r="Q497" s="41" t="str">
        <x:f>IF(L497&gt;=MAX(H497,P497),"Weekly",IF(H497&gt;=MAX(L497,P497),"No weekly","SPY"))</x:f>
        <x:v>No weekly</x:v>
      </x:c>
      <x:c r="R497" s="41" t="n">
        <x:f>IFERROR(L497-P497,"")</x:f>
        <x:v>0.2502069849855026</x:v>
      </x:c>
      <x:c r="S497" s="41" t="n">
        <x:f>IFERROR(H497-P497,"")</x:f>
        <x:v>0.2787709463029364</x:v>
      </x:c>
      <x:c r="T497" s="41" t="n">
        <x:f>IFERROR(I497-M497,"")</x:f>
        <x:v>5.149591999999999</x:v>
      </x:c>
      <x:c r="U497" s="41" t="n">
        <x:f>IFERROR(E497-M497,"")</x:f>
        <x:v>6.623544</x:v>
      </x:c>
      <x:c r="V497" s="41" t="str">
        <x:f>IF(AND(I497&gt;M497,J497&gt;N497),"Sí","No")</x:f>
        <x:v>Sí</x:v>
      </x:c>
      <x:c r="W497" s="41" t="str">
        <x:f>IF(AND(E497&gt;M497,F497&gt;N497),"Sí","No")</x:f>
        <x:v>Sí</x:v>
      </x:c>
      <x:c r="X497" s="41" t="str">
        <x:f>IF(L497&gt;=H497,"Weekly","No weekly")</x:f>
        <x:v>No weekly</x:v>
      </x:c>
      <x:c r="Y497" s="41" t="n">
        <x:f>IFERROR(I497-E497,"")</x:f>
        <x:v>-1.4739520000000006</x:v>
      </x:c>
      <x:c r="Z497" s="41" t="n">
        <x:f>IFERROR(J497-F497,"")</x:f>
        <x:v>1.3849310000000017</x:v>
      </x:c>
      <x:c r="AA497" s="41" t="n">
        <x:v>12218</x:v>
      </x:c>
      <x:c r="AB497" s="41" t="n">
        <x:v>5542</x:v>
      </x:c>
    </x:row>
    <x:row r="498">
      <x:c r="A498" s="41" t="str">
        <x:v>HYP_REFINE_AUTO002_TOPN_6_V1_DDGRID_LONGRUN_STRICT_STRICT_NEXT_CLOSE_R12_C23_E78_CR40_REDD_DD7_SL18</x:v>
      </x:c>
      <x:c r="B498" s="41" t="str">
        <x:v>strict_longrun_ddgrid</x:v>
      </x:c>
      <x:c r="C498" s="41" t="str">
        <x:v>1999-01-04</x:v>
      </x:c>
      <x:c r="D498" s="41" t="str">
        <x:v>2026-05-22</x:v>
      </x:c>
      <x:c r="E498" s="41" t="n">
        <x:v>12.646484</x:v>
      </x:c>
      <x:c r="F498" s="41" t="n">
        <x:v>-32.990805</x:v>
      </x:c>
      <x:c r="G498" s="41" t="n">
        <x:v>2505.864819</x:v>
      </x:c>
      <x:c r="H498" s="41" t="n">
        <x:f>IFERROR(E498/ABS(F498),"")</x:f>
        <x:v>0.3833335985587499</x:v>
      </x:c>
      <x:c r="I498" s="41" t="n">
        <x:v>11.949291</x:v>
      </x:c>
      <x:c r="J498" s="41" t="n">
        <x:v>-31.000811</x:v>
      </x:c>
      <x:c r="K498" s="41" t="n">
        <x:v>2098.524921</x:v>
      </x:c>
      <x:c r="L498" s="41" t="n">
        <x:f>IFERROR(I498/ABS(J498),"")</x:f>
        <x:v>0.38545091610667864</x:v>
      </x:c>
      <x:c r="M498" s="41" t="n">
        <x:v>6.802475</x:v>
      </x:c>
      <x:c r="N498" s="41" t="n">
        <x:v>-56.473669</x:v>
      </x:c>
      <x:c r="O498" s="41" t="n">
        <x:v>506.057416</x:v>
      </x:c>
      <x:c r="P498" s="41" t="n">
        <x:f>IFERROR(M498/ABS(N498),"")</x:f>
        <x:v>0.12045392340278087</x:v>
      </x:c>
      <x:c r="Q498" s="41" t="str">
        <x:f>IF(L498&gt;=MAX(H498,P498),"Weekly",IF(H498&gt;=MAX(L498,P498),"No weekly","SPY"))</x:f>
        <x:v>Weekly</x:v>
      </x:c>
      <x:c r="R498" s="41" t="n">
        <x:f>IFERROR(L498-P498,"")</x:f>
        <x:v>0.26499699270389776</x:v>
      </x:c>
      <x:c r="S498" s="41" t="n">
        <x:f>IFERROR(H498-P498,"")</x:f>
        <x:v>0.262879675155969</x:v>
      </x:c>
      <x:c r="T498" s="41" t="n">
        <x:f>IFERROR(I498-M498,"")</x:f>
        <x:v>5.146816</x:v>
      </x:c>
      <x:c r="U498" s="41" t="n">
        <x:f>IFERROR(E498-M498,"")</x:f>
        <x:v>5.844008999999999</x:v>
      </x:c>
      <x:c r="V498" s="41" t="str">
        <x:f>IF(AND(I498&gt;M498,J498&gt;N498),"Sí","No")</x:f>
        <x:v>Sí</x:v>
      </x:c>
      <x:c r="W498" s="41" t="str">
        <x:f>IF(AND(E498&gt;M498,F498&gt;N498),"Sí","No")</x:f>
        <x:v>Sí</x:v>
      </x:c>
      <x:c r="X498" s="41" t="str">
        <x:f>IF(L498&gt;=H498,"Weekly","No weekly")</x:f>
        <x:v>Weekly</x:v>
      </x:c>
      <x:c r="Y498" s="41" t="n">
        <x:f>IFERROR(I498-E498,"")</x:f>
        <x:v>-0.6971929999999986</x:v>
      </x:c>
      <x:c r="Z498" s="41" t="n">
        <x:f>IFERROR(J498-F498,"")</x:f>
        <x:v>1.989994000000003</x:v>
      </x:c>
      <x:c r="AA498" s="41" t="n">
        <x:v>12049</x:v>
      </x:c>
      <x:c r="AB498" s="41" t="n">
        <x:v>5714</x:v>
      </x:c>
    </x:row>
    <x:row r="499">
      <x:c r="A499" s="41" t="str">
        <x:v>HYP_REFINE_AUTO002_TOPN_6_V1_DDGRID_LONGRUN_STRICT_STRICT_NEXT_CLOSE_R12_C23_E80_CR40_REDD_DD7_SL18</x:v>
      </x:c>
      <x:c r="B499" s="41" t="str">
        <x:v>strict_longrun_ddgrid</x:v>
      </x:c>
      <x:c r="C499" s="41" t="str">
        <x:v>1999-01-04</x:v>
      </x:c>
      <x:c r="D499" s="41" t="str">
        <x:v>2026-05-22</x:v>
      </x:c>
      <x:c r="E499" s="41" t="n">
        <x:v>13.450563</x:v>
      </x:c>
      <x:c r="F499" s="41" t="n">
        <x:v>-32.633012</x:v>
      </x:c>
      <x:c r="G499" s="41" t="n">
        <x:v>3066.098991</x:v>
      </x:c>
      <x:c r="H499" s="41" t="n">
        <x:f>IFERROR(E499/ABS(F499),"")</x:f>
        <x:v>0.4121765713811523</x:v>
      </x:c>
      <x:c r="I499" s="41" t="n">
        <x:v>12.281627</x:v>
      </x:c>
      <x:c r="J499" s="41" t="n">
        <x:v>-31.427403</x:v>
      </x:c>
      <x:c r="K499" s="41" t="n">
        <x:v>2284.388833</x:v>
      </x:c>
      <x:c r="L499" s="41" t="n">
        <x:f>IFERROR(I499/ABS(J499),"")</x:f>
        <x:v>0.39079356954820604</x:v>
      </x:c>
      <x:c r="M499" s="41" t="n">
        <x:v>6.802475</x:v>
      </x:c>
      <x:c r="N499" s="41" t="n">
        <x:v>-56.473669</x:v>
      </x:c>
      <x:c r="O499" s="41" t="n">
        <x:v>506.057416</x:v>
      </x:c>
      <x:c r="P499" s="41" t="n">
        <x:f>IFERROR(M499/ABS(N499),"")</x:f>
        <x:v>0.12045392340278087</x:v>
      </x:c>
      <x:c r="Q499" s="41" t="str">
        <x:f>IF(L499&gt;=MAX(H499,P499),"Weekly",IF(H499&gt;=MAX(L499,P499),"No weekly","SPY"))</x:f>
        <x:v>No weekly</x:v>
      </x:c>
      <x:c r="R499" s="41" t="n">
        <x:f>IFERROR(L499-P499,"")</x:f>
        <x:v>0.27033964614542516</x:v>
      </x:c>
      <x:c r="S499" s="41" t="n">
        <x:f>IFERROR(H499-P499,"")</x:f>
        <x:v>0.29172264797837144</x:v>
      </x:c>
      <x:c r="T499" s="41" t="n">
        <x:f>IFERROR(I499-M499,"")</x:f>
        <x:v>5.479152</x:v>
      </x:c>
      <x:c r="U499" s="41" t="n">
        <x:f>IFERROR(E499-M499,"")</x:f>
        <x:v>6.648088</x:v>
      </x:c>
      <x:c r="V499" s="41" t="str">
        <x:f>IF(AND(I499&gt;M499,J499&gt;N499),"Sí","No")</x:f>
        <x:v>Sí</x:v>
      </x:c>
      <x:c r="W499" s="41" t="str">
        <x:f>IF(AND(E499&gt;M499,F499&gt;N499),"Sí","No")</x:f>
        <x:v>Sí</x:v>
      </x:c>
      <x:c r="X499" s="41" t="str">
        <x:f>IF(L499&gt;=H499,"Weekly","No weekly")</x:f>
        <x:v>No weekly</x:v>
      </x:c>
      <x:c r="Y499" s="41" t="n">
        <x:f>IFERROR(I499-E499,"")</x:f>
        <x:v>-1.1689360000000004</x:v>
      </x:c>
      <x:c r="Z499" s="41" t="n">
        <x:f>IFERROR(J499-F499,"")</x:f>
        <x:v>1.205608999999999</x:v>
      </x:c>
      <x:c r="AA499" s="41" t="n">
        <x:v>12132</x:v>
      </x:c>
      <x:c r="AB499" s="41" t="n">
        <x:v>5676</x:v>
      </x:c>
    </x:row>
    <x:row r="500">
      <x:c r="A500" s="41" t="str">
        <x:v>HYP_REFINE_AUTO002_TOPN_6_V1_DDGRID_LONGRUN_STRICT_STRICT_NEXT_CLOSE_R12_C24_E75_CR40_REDD_DD7_SL18</x:v>
      </x:c>
      <x:c r="B500" s="41" t="str">
        <x:v>strict_longrun_ddgrid</x:v>
      </x:c>
      <x:c r="C500" s="41" t="str">
        <x:v>1999-01-04</x:v>
      </x:c>
      <x:c r="D500" s="41" t="str">
        <x:v>2026-05-22</x:v>
      </x:c>
      <x:c r="E500" s="41" t="n">
        <x:v>13.140632</x:v>
      </x:c>
      <x:c r="F500" s="41" t="n">
        <x:v>-33.560763</x:v>
      </x:c>
      <x:c r="G500" s="41" t="n">
        <x:v>2837.631015</x:v>
      </x:c>
      <x:c r="H500" s="41" t="n">
        <x:f>IFERROR(E500/ABS(F500),"")</x:f>
        <x:v>0.3915474746506806</x:v>
      </x:c>
      <x:c r="I500" s="41" t="n">
        <x:v>12.239978</x:v>
      </x:c>
      <x:c r="J500" s="41" t="n">
        <x:v>-32.08437</x:v>
      </x:c>
      <x:c r="K500" s="41" t="n">
        <x:v>2260.291984</x:v>
      </x:c>
      <x:c r="L500" s="41" t="n">
        <x:f>IFERROR(I500/ABS(J500),"")</x:f>
        <x:v>0.38149348109375375</x:v>
      </x:c>
      <x:c r="M500" s="41" t="n">
        <x:v>6.802475</x:v>
      </x:c>
      <x:c r="N500" s="41" t="n">
        <x:v>-56.473669</x:v>
      </x:c>
      <x:c r="O500" s="41" t="n">
        <x:v>506.057416</x:v>
      </x:c>
      <x:c r="P500" s="41" t="n">
        <x:f>IFERROR(M500/ABS(N500),"")</x:f>
        <x:v>0.12045392340278087</x:v>
      </x:c>
      <x:c r="Q500" s="41" t="str">
        <x:f>IF(L500&gt;=MAX(H500,P500),"Weekly",IF(H500&gt;=MAX(L500,P500),"No weekly","SPY"))</x:f>
        <x:v>No weekly</x:v>
      </x:c>
      <x:c r="R500" s="41" t="n">
        <x:f>IFERROR(L500-P500,"")</x:f>
        <x:v>0.26103955769097287</x:v>
      </x:c>
      <x:c r="S500" s="41" t="n">
        <x:f>IFERROR(H500-P500,"")</x:f>
        <x:v>0.27109355124789974</x:v>
      </x:c>
      <x:c r="T500" s="41" t="n">
        <x:f>IFERROR(I500-M500,"")</x:f>
        <x:v>5.437503</x:v>
      </x:c>
      <x:c r="U500" s="41" t="n">
        <x:f>IFERROR(E500-M500,"")</x:f>
        <x:v>6.338157</x:v>
      </x:c>
      <x:c r="V500" s="41" t="str">
        <x:f>IF(AND(I500&gt;M500,J500&gt;N500),"Sí","No")</x:f>
        <x:v>Sí</x:v>
      </x:c>
      <x:c r="W500" s="41" t="str">
        <x:f>IF(AND(E500&gt;M500,F500&gt;N500),"Sí","No")</x:f>
        <x:v>Sí</x:v>
      </x:c>
      <x:c r="X500" s="41" t="str">
        <x:f>IF(L500&gt;=H500,"Weekly","No weekly")</x:f>
        <x:v>No weekly</x:v>
      </x:c>
      <x:c r="Y500" s="41" t="n">
        <x:f>IFERROR(I500-E500,"")</x:f>
        <x:v>-0.9006539999999994</x:v>
      </x:c>
      <x:c r="Z500" s="41" t="n">
        <x:f>IFERROR(J500-F500,"")</x:f>
        <x:v>1.4763930000000016</x:v>
      </x:c>
      <x:c r="AA500" s="41" t="n">
        <x:v>12307</x:v>
      </x:c>
      <x:c r="AB500" s="41" t="n">
        <x:v>5601</x:v>
      </x:c>
    </x:row>
    <x:row r="501">
      <x:c r="A501" s="41" t="str">
        <x:v>HYP_REFINE_AUTO002_TOPN_6_V1_DDGRID_LONGRUN_STRICT_STRICT_NEXT_CLOSE_R13_C21_E75_CR33_REDD_DD8_SL20</x:v>
      </x:c>
      <x:c r="B501" s="41" t="str">
        <x:v>strict_longrun_ddgrid</x:v>
      </x:c>
      <x:c r="C501" s="41" t="str">
        <x:v>1999-01-04</x:v>
      </x:c>
      <x:c r="D501" s="41" t="str">
        <x:v>2026-05-22</x:v>
      </x:c>
      <x:c r="E501" s="41" t="n">
        <x:v>11.194179</x:v>
      </x:c>
      <x:c r="F501" s="41" t="n">
        <x:v>-32.432881</x:v>
      </x:c>
      <x:c r="G501" s="41" t="n">
        <x:v>1726.660666</x:v>
      </x:c>
      <x:c r="H501" s="41" t="n">
        <x:f>IFERROR(E501/ABS(F501),"")</x:f>
        <x:v>0.34514907880061596</x:v>
      </x:c>
      <x:c r="I501" s="41" t="n">
        <x:v>11.236657</x:v>
      </x:c>
      <x:c r="J501" s="41" t="n">
        <x:v>-28.183785</x:v>
      </x:c>
      <x:c r="K501" s="41" t="n">
        <x:v>1745.862252</x:v>
      </x:c>
      <x:c r="L501" s="41" t="n">
        <x:f>IFERROR(I501/ABS(J501),"")</x:f>
        <x:v>0.39869226223518234</x:v>
      </x:c>
      <x:c r="M501" s="41" t="n">
        <x:v>6.802475</x:v>
      </x:c>
      <x:c r="N501" s="41" t="n">
        <x:v>-56.473669</x:v>
      </x:c>
      <x:c r="O501" s="41" t="n">
        <x:v>506.057416</x:v>
      </x:c>
      <x:c r="P501" s="41" t="n">
        <x:f>IFERROR(M501/ABS(N501),"")</x:f>
        <x:v>0.12045392340278087</x:v>
      </x:c>
      <x:c r="Q501" s="41" t="str">
        <x:f>IF(L501&gt;=MAX(H501,P501),"Weekly",IF(H501&gt;=MAX(L501,P501),"No weekly","SPY"))</x:f>
        <x:v>Weekly</x:v>
      </x:c>
      <x:c r="R501" s="41" t="n">
        <x:f>IFERROR(L501-P501,"")</x:f>
        <x:v>0.27823833883240146</x:v>
      </x:c>
      <x:c r="S501" s="41" t="n">
        <x:f>IFERROR(H501-P501,"")</x:f>
        <x:v>0.22469515539783508</x:v>
      </x:c>
      <x:c r="T501" s="41" t="n">
        <x:f>IFERROR(I501-M501,"")</x:f>
        <x:v>4.434181999999999</x:v>
      </x:c>
      <x:c r="U501" s="41" t="n">
        <x:f>IFERROR(E501-M501,"")</x:f>
        <x:v>4.391704</x:v>
      </x:c>
      <x:c r="V501" s="41" t="str">
        <x:f>IF(AND(I501&gt;M501,J501&gt;N501),"Sí","No")</x:f>
        <x:v>Sí</x:v>
      </x:c>
      <x:c r="W501" s="41" t="str">
        <x:f>IF(AND(E501&gt;M501,F501&gt;N501),"Sí","No")</x:f>
        <x:v>Sí</x:v>
      </x:c>
      <x:c r="X501" s="41" t="str">
        <x:f>IF(L501&gt;=H501,"Weekly","No weekly")</x:f>
        <x:v>Weekly</x:v>
      </x:c>
      <x:c r="Y501" s="41" t="n">
        <x:f>IFERROR(I501-E501,"")</x:f>
        <x:v>0.04247799999999913</x:v>
      </x:c>
      <x:c r="Z501" s="41" t="n">
        <x:f>IFERROR(J501-F501,"")</x:f>
        <x:v>4.2490960000000015</x:v>
      </x:c>
      <x:c r="AA501" s="41" t="n">
        <x:v>12261</x:v>
      </x:c>
      <x:c r="AB501" s="41" t="n">
        <x:v>6076</x:v>
      </x:c>
    </x:row>
    <x:row r="502">
      <x:c r="A502" s="41" t="str">
        <x:v>HYP_REFINE_AUTO002_TOPN_6_V1_DDGRID_LONGRUN_STRICT_STRICT_NEXT_CLOSE_R13_C21_E75_CR40_REDD_DD7_SL18</x:v>
      </x:c>
      <x:c r="B502" s="41" t="str">
        <x:v>strict_longrun_ddgrid</x:v>
      </x:c>
      <x:c r="C502" s="41" t="str">
        <x:v>1999-01-04</x:v>
      </x:c>
      <x:c r="D502" s="41" t="str">
        <x:v>2026-05-22</x:v>
      </x:c>
      <x:c r="E502" s="41" t="n">
        <x:v>11.305509</x:v>
      </x:c>
      <x:c r="F502" s="41" t="n">
        <x:v>-34.103052</x:v>
      </x:c>
      <x:c r="G502" s="41" t="n">
        <x:v>1777.399463</x:v>
      </x:c>
      <x:c r="H502" s="41" t="n">
        <x:f>IFERROR(E502/ABS(F502),"")</x:f>
        <x:v>0.3315101827249949</x:v>
      </x:c>
      <x:c r="I502" s="41" t="n">
        <x:v>12.153552</x:v>
      </x:c>
      <x:c r="J502" s="41" t="n">
        <x:v>-30.055145</x:v>
      </x:c>
      <x:c r="K502" s="41" t="n">
        <x:v>2211.035128</x:v>
      </x:c>
      <x:c r="L502" s="41" t="n">
        <x:f>IFERROR(I502/ABS(J502),"")</x:f>
        <x:v>0.4043750911865506</x:v>
      </x:c>
      <x:c r="M502" s="41" t="n">
        <x:v>6.802475</x:v>
      </x:c>
      <x:c r="N502" s="41" t="n">
        <x:v>-56.473669</x:v>
      </x:c>
      <x:c r="O502" s="41" t="n">
        <x:v>506.057416</x:v>
      </x:c>
      <x:c r="P502" s="41" t="n">
        <x:f>IFERROR(M502/ABS(N502),"")</x:f>
        <x:v>0.12045392340278087</x:v>
      </x:c>
      <x:c r="Q502" s="41" t="str">
        <x:f>IF(L502&gt;=MAX(H502,P502),"Weekly",IF(H502&gt;=MAX(L502,P502),"No weekly","SPY"))</x:f>
        <x:v>Weekly</x:v>
      </x:c>
      <x:c r="R502" s="41" t="n">
        <x:f>IFERROR(L502-P502,"")</x:f>
        <x:v>0.2839211677837697</x:v>
      </x:c>
      <x:c r="S502" s="41" t="n">
        <x:f>IFERROR(H502-P502,"")</x:f>
        <x:v>0.211056259322214</x:v>
      </x:c>
      <x:c r="T502" s="41" t="n">
        <x:f>IFERROR(I502-M502,"")</x:f>
        <x:v>5.351076999999999</x:v>
      </x:c>
      <x:c r="U502" s="41" t="n">
        <x:f>IFERROR(E502-M502,"")</x:f>
        <x:v>4.503034</x:v>
      </x:c>
      <x:c r="V502" s="41" t="str">
        <x:f>IF(AND(I502&gt;M502,J502&gt;N502),"Sí","No")</x:f>
        <x:v>Sí</x:v>
      </x:c>
      <x:c r="W502" s="41" t="str">
        <x:f>IF(AND(E502&gt;M502,F502&gt;N502),"Sí","No")</x:f>
        <x:v>Sí</x:v>
      </x:c>
      <x:c r="X502" s="41" t="str">
        <x:f>IF(L502&gt;=H502,"Weekly","No weekly")</x:f>
        <x:v>Weekly</x:v>
      </x:c>
      <x:c r="Y502" s="41" t="n">
        <x:f>IFERROR(I502-E502,"")</x:f>
        <x:v>0.8480429999999988</x:v>
      </x:c>
      <x:c r="Z502" s="41" t="n">
        <x:f>IFERROR(J502-F502,"")</x:f>
        <x:v>4.047906999999999</x:v>
      </x:c>
      <x:c r="AA502" s="41" t="n">
        <x:v>12011</x:v>
      </x:c>
      <x:c r="AB502" s="41" t="n">
        <x:v>5936</x:v>
      </x:c>
    </x:row>
    <x:row r="503">
      <x:c r="A503" s="41" t="str">
        <x:v>HYP_REFINE_AUTO002_TOPN_6_V1_DDGRID_LONGRUN_STRICT_STRICT_NEXT_CLOSE_R13_C22_E70_CR40_REDD_DD7_SL18</x:v>
      </x:c>
      <x:c r="B503" s="41" t="str">
        <x:v>strict_longrun_ddgrid</x:v>
      </x:c>
      <x:c r="C503" s="41" t="str">
        <x:v>1999-01-04</x:v>
      </x:c>
      <x:c r="D503" s="41" t="str">
        <x:v>2026-05-22</x:v>
      </x:c>
      <x:c r="E503" s="41" t="n">
        <x:v>11.770708</x:v>
      </x:c>
      <x:c r="F503" s="41" t="n">
        <x:v>-33.226394</x:v>
      </x:c>
      <x:c r="G503" s="41" t="n">
        <x:v>2004.498474</x:v>
      </x:c>
      <x:c r="H503" s="41" t="n">
        <x:f>IFERROR(E503/ABS(F503),"")</x:f>
        <x:v>0.3542577626690396</x:v>
      </x:c>
      <x:c r="I503" s="41" t="n">
        <x:v>10.660121</x:v>
      </x:c>
      <x:c r="J503" s="41" t="n">
        <x:v>-30.778989</x:v>
      </x:c>
      <x:c r="K503" s="41" t="n">
        <x:v>1501.075424</x:v>
      </x:c>
      <x:c r="L503" s="41" t="n">
        <x:f>IFERROR(I503/ABS(J503),"")</x:f>
        <x:v>0.3463440920687811</x:v>
      </x:c>
      <x:c r="M503" s="41" t="n">
        <x:v>6.802475</x:v>
      </x:c>
      <x:c r="N503" s="41" t="n">
        <x:v>-56.473669</x:v>
      </x:c>
      <x:c r="O503" s="41" t="n">
        <x:v>506.057416</x:v>
      </x:c>
      <x:c r="P503" s="41" t="n">
        <x:f>IFERROR(M503/ABS(N503),"")</x:f>
        <x:v>0.12045392340278087</x:v>
      </x:c>
      <x:c r="Q503" s="41" t="str">
        <x:f>IF(L503&gt;=MAX(H503,P503),"Weekly",IF(H503&gt;=MAX(L503,P503),"No weekly","SPY"))</x:f>
        <x:v>No weekly</x:v>
      </x:c>
      <x:c r="R503" s="41" t="n">
        <x:f>IFERROR(L503-P503,"")</x:f>
        <x:v>0.2258901686660002</x:v>
      </x:c>
      <x:c r="S503" s="41" t="n">
        <x:f>IFERROR(H503-P503,"")</x:f>
        <x:v>0.2338038392662587</x:v>
      </x:c>
      <x:c r="T503" s="41" t="n">
        <x:f>IFERROR(I503-M503,"")</x:f>
        <x:v>3.857646</x:v>
      </x:c>
      <x:c r="U503" s="41" t="n">
        <x:f>IFERROR(E503-M503,"")</x:f>
        <x:v>4.968233000000001</x:v>
      </x:c>
      <x:c r="V503" s="41" t="str">
        <x:f>IF(AND(I503&gt;M503,J503&gt;N503),"Sí","No")</x:f>
        <x:v>Sí</x:v>
      </x:c>
      <x:c r="W503" s="41" t="str">
        <x:f>IF(AND(E503&gt;M503,F503&gt;N503),"Sí","No")</x:f>
        <x:v>Sí</x:v>
      </x:c>
      <x:c r="X503" s="41" t="str">
        <x:f>IF(L503&gt;=H503,"Weekly","No weekly")</x:f>
        <x:v>No weekly</x:v>
      </x:c>
      <x:c r="Y503" s="41" t="n">
        <x:f>IFERROR(I503-E503,"")</x:f>
        <x:v>-1.1105870000000007</x:v>
      </x:c>
      <x:c r="Z503" s="41" t="n">
        <x:f>IFERROR(J503-F503,"")</x:f>
        <x:v>2.447405</x:v>
      </x:c>
      <x:c r="AA503" s="41" t="n">
        <x:v>12643</x:v>
      </x:c>
      <x:c r="AB503" s="41" t="n">
        <x:v>5775</x:v>
      </x:c>
    </x:row>
    <x:row r="504">
      <x:c r="A504" s="41" t="str">
        <x:v>HYP_REFINE_AUTO002_TOPN_6_V1_DDGRID_LONGRUN_STRICT_STRICT_NEXT_CLOSE_R13_C22_E72_CR40_REDD_DD7_SL18</x:v>
      </x:c>
      <x:c r="B504" s="41" t="str">
        <x:v>strict_longrun_ddgrid</x:v>
      </x:c>
      <x:c r="C504" s="41" t="str">
        <x:v>1999-01-04</x:v>
      </x:c>
      <x:c r="D504" s="41" t="str">
        <x:v>2026-05-22</x:v>
      </x:c>
      <x:c r="E504" s="41" t="n">
        <x:v>11.913627</x:v>
      </x:c>
      <x:c r="F504" s="41" t="n">
        <x:v>-33.516818</x:v>
      </x:c>
      <x:c r="G504" s="41" t="n">
        <x:v>2079.429321</x:v>
      </x:c>
      <x:c r="H504" s="41" t="n">
        <x:f>IFERROR(E504/ABS(F504),"")</x:f>
        <x:v>0.35545220909693753</x:v>
      </x:c>
      <x:c r="I504" s="41" t="n">
        <x:v>11.607986</x:v>
      </x:c>
      <x:c r="J504" s="41" t="n">
        <x:v>-30.389499</x:v>
      </x:c>
      <x:c r="K504" s="41" t="n">
        <x:v>1922.205862</x:v>
      </x:c>
      <x:c r="L504" s="41" t="n">
        <x:f>IFERROR(I504/ABS(J504),"")</x:f>
        <x:v>0.3819735889690054</x:v>
      </x:c>
      <x:c r="M504" s="41" t="n">
        <x:v>6.802475</x:v>
      </x:c>
      <x:c r="N504" s="41" t="n">
        <x:v>-56.473669</x:v>
      </x:c>
      <x:c r="O504" s="41" t="n">
        <x:v>506.057416</x:v>
      </x:c>
      <x:c r="P504" s="41" t="n">
        <x:f>IFERROR(M504/ABS(N504),"")</x:f>
        <x:v>0.12045392340278087</x:v>
      </x:c>
      <x:c r="Q504" s="41" t="str">
        <x:f>IF(L504&gt;=MAX(H504,P504),"Weekly",IF(H504&gt;=MAX(L504,P504),"No weekly","SPY"))</x:f>
        <x:v>Weekly</x:v>
      </x:c>
      <x:c r="R504" s="41" t="n">
        <x:f>IFERROR(L504-P504,"")</x:f>
        <x:v>0.2615196655662245</x:v>
      </x:c>
      <x:c r="S504" s="41" t="n">
        <x:f>IFERROR(H504-P504,"")</x:f>
        <x:v>0.23499828569415665</x:v>
      </x:c>
      <x:c r="T504" s="41" t="n">
        <x:f>IFERROR(I504-M504,"")</x:f>
        <x:v>4.805511</x:v>
      </x:c>
      <x:c r="U504" s="41" t="n">
        <x:f>IFERROR(E504-M504,"")</x:f>
        <x:v>5.111152</x:v>
      </x:c>
      <x:c r="V504" s="41" t="str">
        <x:f>IF(AND(I504&gt;M504,J504&gt;N504),"Sí","No")</x:f>
        <x:v>Sí</x:v>
      </x:c>
      <x:c r="W504" s="41" t="str">
        <x:f>IF(AND(E504&gt;M504,F504&gt;N504),"Sí","No")</x:f>
        <x:v>Sí</x:v>
      </x:c>
      <x:c r="X504" s="41" t="str">
        <x:f>IF(L504&gt;=H504,"Weekly","No weekly")</x:f>
        <x:v>Weekly</x:v>
      </x:c>
      <x:c r="Y504" s="41" t="n">
        <x:f>IFERROR(I504-E504,"")</x:f>
        <x:v>-0.3056409999999996</x:v>
      </x:c>
      <x:c r="Z504" s="41" t="n">
        <x:f>IFERROR(J504-F504,"")</x:f>
        <x:v>3.127319</x:v>
      </x:c>
      <x:c r="AA504" s="41" t="n">
        <x:v>12156</x:v>
      </x:c>
      <x:c r="AB504" s="41" t="n">
        <x:v>5862</x:v>
      </x:c>
    </x:row>
    <x:row r="505">
      <x:c r="A505" s="41" t="str">
        <x:v>HYP_REFINE_AUTO002_TOPN_6_V1_DDGRID_LONGRUN_STRICT_STRICT_NEXT_CLOSE_R13_C22_E75_CR33_REDD_DD7_SL18</x:v>
      </x:c>
      <x:c r="B505" s="41" t="str">
        <x:v>strict_longrun_ddgrid</x:v>
      </x:c>
      <x:c r="C505" s="41" t="str">
        <x:v>1999-01-04</x:v>
      </x:c>
      <x:c r="D505" s="41" t="str">
        <x:v>2026-05-22</x:v>
      </x:c>
      <x:c r="E505" s="41" t="n">
        <x:v>11.529708</x:v>
      </x:c>
      <x:c r="F505" s="41" t="n">
        <x:v>-32.109771</x:v>
      </x:c>
      <x:c r="G505" s="41" t="n">
        <x:v>1883.731965</x:v>
      </x:c>
      <x:c r="H505" s="41" t="n">
        <x:f>IFERROR(E505/ABS(F505),"")</x:f>
        <x:v>0.35907163585813173</x:v>
      </x:c>
      <x:c r="I505" s="41" t="n">
        <x:v>11.115942</x:v>
      </x:c>
      <x:c r="J505" s="41" t="n">
        <x:v>-29.10587</x:v>
      </x:c>
      <x:c r="K505" s="41" t="n">
        <x:v>1691.79676</x:v>
      </x:c>
      <x:c r="L505" s="41" t="n">
        <x:f>IFERROR(I505/ABS(J505),"")</x:f>
        <x:v>0.381914094991835</x:v>
      </x:c>
      <x:c r="M505" s="41" t="n">
        <x:v>6.802475</x:v>
      </x:c>
      <x:c r="N505" s="41" t="n">
        <x:v>-56.473669</x:v>
      </x:c>
      <x:c r="O505" s="41" t="n">
        <x:v>506.057416</x:v>
      </x:c>
      <x:c r="P505" s="41" t="n">
        <x:f>IFERROR(M505/ABS(N505),"")</x:f>
        <x:v>0.12045392340278087</x:v>
      </x:c>
      <x:c r="Q505" s="41" t="str">
        <x:f>IF(L505&gt;=MAX(H505,P505),"Weekly",IF(H505&gt;=MAX(L505,P505),"No weekly","SPY"))</x:f>
        <x:v>Weekly</x:v>
      </x:c>
      <x:c r="R505" s="41" t="n">
        <x:f>IFERROR(L505-P505,"")</x:f>
        <x:v>0.2614601715890541</x:v>
      </x:c>
      <x:c r="S505" s="41" t="n">
        <x:f>IFERROR(H505-P505,"")</x:f>
        <x:v>0.23861771245535085</x:v>
      </x:c>
      <x:c r="T505" s="41" t="n">
        <x:f>IFERROR(I505-M505,"")</x:f>
        <x:v>4.313467</x:v>
      </x:c>
      <x:c r="U505" s="41" t="n">
        <x:f>IFERROR(E505-M505,"")</x:f>
        <x:v>4.727232999999999</x:v>
      </x:c>
      <x:c r="V505" s="41" t="str">
        <x:f>IF(AND(I505&gt;M505,J505&gt;N505),"Sí","No")</x:f>
        <x:v>Sí</x:v>
      </x:c>
      <x:c r="W505" s="41" t="str">
        <x:f>IF(AND(E505&gt;M505,F505&gt;N505),"Sí","No")</x:f>
        <x:v>Sí</x:v>
      </x:c>
      <x:c r="X505" s="41" t="str">
        <x:f>IF(L505&gt;=H505,"Weekly","No weekly")</x:f>
        <x:v>Weekly</x:v>
      </x:c>
      <x:c r="Y505" s="41" t="n">
        <x:f>IFERROR(I505-E505,"")</x:f>
        <x:v>-0.41376599999999897</x:v>
      </x:c>
      <x:c r="Z505" s="41" t="n">
        <x:f>IFERROR(J505-F505,"")</x:f>
        <x:v>3.0039010000000026</x:v>
      </x:c>
      <x:c r="AA505" s="41" t="n">
        <x:v>12143</x:v>
      </x:c>
      <x:c r="AB505" s="41" t="n">
        <x:v>6480</x:v>
      </x:c>
    </x:row>
    <x:row r="506">
      <x:c r="A506" s="41" t="str">
        <x:v>HYP_REFINE_AUTO002_TOPN_6_V1_DDGRID_LONGRUN_STRICT_STRICT_NEXT_CLOSE_R13_C22_E75_CR36_REDD_DD7_SL18</x:v>
      </x:c>
      <x:c r="B506" s="41" t="str">
        <x:v>strict_longrun_ddgrid</x:v>
      </x:c>
      <x:c r="C506" s="41" t="str">
        <x:v>1999-01-04</x:v>
      </x:c>
      <x:c r="D506" s="41" t="str">
        <x:v>2026-05-22</x:v>
      </x:c>
      <x:c r="E506" s="41" t="n">
        <x:v>11.635557</x:v>
      </x:c>
      <x:c r="F506" s="41" t="n">
        <x:v>-32.747508</x:v>
      </x:c>
      <x:c r="G506" s="41" t="n">
        <x:v>1935.927527</x:v>
      </x:c>
      <x:c r="H506" s="41" t="n">
        <x:f>IFERROR(E506/ABS(F506),"")</x:f>
        <x:v>0.35531121940637433</x:v>
      </x:c>
      <x:c r="I506" s="41" t="n">
        <x:v>11.042597</x:v>
      </x:c>
      <x:c r="J506" s="41" t="n">
        <x:v>-29.904592</x:v>
      </x:c>
      <x:c r="K506" s="41" t="n">
        <x:v>1659.69582</x:v>
      </x:c>
      <x:c r="L506" s="41" t="n">
        <x:f>IFERROR(I506/ABS(J506),"")</x:f>
        <x:v>0.3692609148454525</x:v>
      </x:c>
      <x:c r="M506" s="41" t="n">
        <x:v>6.802475</x:v>
      </x:c>
      <x:c r="N506" s="41" t="n">
        <x:v>-56.473669</x:v>
      </x:c>
      <x:c r="O506" s="41" t="n">
        <x:v>506.057416</x:v>
      </x:c>
      <x:c r="P506" s="41" t="n">
        <x:f>IFERROR(M506/ABS(N506),"")</x:f>
        <x:v>0.12045392340278087</x:v>
      </x:c>
      <x:c r="Q506" s="41" t="str">
        <x:f>IF(L506&gt;=MAX(H506,P506),"Weekly",IF(H506&gt;=MAX(L506,P506),"No weekly","SPY"))</x:f>
        <x:v>Weekly</x:v>
      </x:c>
      <x:c r="R506" s="41" t="n">
        <x:f>IFERROR(L506-P506,"")</x:f>
        <x:v>0.2488069914426716</x:v>
      </x:c>
      <x:c r="S506" s="41" t="n">
        <x:f>IFERROR(H506-P506,"")</x:f>
        <x:v>0.23485729600359345</x:v>
      </x:c>
      <x:c r="T506" s="41" t="n">
        <x:f>IFERROR(I506-M506,"")</x:f>
        <x:v>4.240122</x:v>
      </x:c>
      <x:c r="U506" s="41" t="n">
        <x:f>IFERROR(E506-M506,"")</x:f>
        <x:v>4.833082</x:v>
      </x:c>
      <x:c r="V506" s="41" t="str">
        <x:f>IF(AND(I506&gt;M506,J506&gt;N506),"Sí","No")</x:f>
        <x:v>Sí</x:v>
      </x:c>
      <x:c r="W506" s="41" t="str">
        <x:f>IF(AND(E506&gt;M506,F506&gt;N506),"Sí","No")</x:f>
        <x:v>Sí</x:v>
      </x:c>
      <x:c r="X506" s="41" t="str">
        <x:f>IF(L506&gt;=H506,"Weekly","No weekly")</x:f>
        <x:v>Weekly</x:v>
      </x:c>
      <x:c r="Y506" s="41" t="n">
        <x:f>IFERROR(I506-E506,"")</x:f>
        <x:v>-0.5929599999999997</x:v>
      </x:c>
      <x:c r="Z506" s="41" t="n">
        <x:f>IFERROR(J506-F506,"")</x:f>
        <x:v>2.8429160000000024</x:v>
      </x:c>
      <x:c r="AA506" s="41" t="n">
        <x:v>12598</x:v>
      </x:c>
      <x:c r="AB506" s="41" t="n">
        <x:v>6153</x:v>
      </x:c>
    </x:row>
    <x:row r="507">
      <x:c r="A507" s="41" t="str">
        <x:v>HYP_REFINE_AUTO002_TOPN_6_V1_DDGRID_LONGRUN_STRICT_STRICT_NEXT_CLOSE_R13_C22_E75_CR40_REDD_DD6_SL18</x:v>
      </x:c>
      <x:c r="B507" s="41" t="str">
        <x:v>strict_longrun_ddgrid</x:v>
      </x:c>
      <x:c r="C507" s="41" t="str">
        <x:v>1999-01-04</x:v>
      </x:c>
      <x:c r="D507" s="41" t="str">
        <x:v>2026-05-22</x:v>
      </x:c>
      <x:c r="E507" s="41" t="n">
        <x:v>12.040323</x:v>
      </x:c>
      <x:c r="F507" s="41" t="n">
        <x:v>-34.371732</x:v>
      </x:c>
      <x:c r="G507" s="41" t="n">
        <x:v>2147.99867</x:v>
      </x:c>
      <x:c r="H507" s="41" t="n">
        <x:f>IFERROR(E507/ABS(F507),"")</x:f>
        <x:v>0.3502972442587415</x:v>
      </x:c>
      <x:c r="I507" s="41" t="n">
        <x:v>10.549265</x:v>
      </x:c>
      <x:c r="J507" s="41" t="n">
        <x:v>-30.591892</x:v>
      </x:c>
      <x:c r="K507" s="41" t="n">
        <x:v>1457.738257</x:v>
      </x:c>
      <x:c r="L507" s="41" t="n">
        <x:f>IFERROR(I507/ABS(J507),"")</x:f>
        <x:v>0.3448385931801799</x:v>
      </x:c>
      <x:c r="M507" s="41" t="n">
        <x:v>6.802475</x:v>
      </x:c>
      <x:c r="N507" s="41" t="n">
        <x:v>-56.473669</x:v>
      </x:c>
      <x:c r="O507" s="41" t="n">
        <x:v>506.057416</x:v>
      </x:c>
      <x:c r="P507" s="41" t="n">
        <x:f>IFERROR(M507/ABS(N507),"")</x:f>
        <x:v>0.12045392340278087</x:v>
      </x:c>
      <x:c r="Q507" s="41" t="str">
        <x:f>IF(L507&gt;=MAX(H507,P507),"Weekly",IF(H507&gt;=MAX(L507,P507),"No weekly","SPY"))</x:f>
        <x:v>No weekly</x:v>
      </x:c>
      <x:c r="R507" s="41" t="n">
        <x:f>IFERROR(L507-P507,"")</x:f>
        <x:v>0.22438466977739902</x:v>
      </x:c>
      <x:c r="S507" s="41" t="n">
        <x:f>IFERROR(H507-P507,"")</x:f>
        <x:v>0.2298433208559606</x:v>
      </x:c>
      <x:c r="T507" s="41" t="n">
        <x:f>IFERROR(I507-M507,"")</x:f>
        <x:v>3.74679</x:v>
      </x:c>
      <x:c r="U507" s="41" t="n">
        <x:f>IFERROR(E507-M507,"")</x:f>
        <x:v>5.2378480000000005</x:v>
      </x:c>
      <x:c r="V507" s="41" t="str">
        <x:f>IF(AND(I507&gt;M507,J507&gt;N507),"Sí","No")</x:f>
        <x:v>Sí</x:v>
      </x:c>
      <x:c r="W507" s="41" t="str">
        <x:f>IF(AND(E507&gt;M507,F507&gt;N507),"Sí","No")</x:f>
        <x:v>Sí</x:v>
      </x:c>
      <x:c r="X507" s="41" t="str">
        <x:f>IF(L507&gt;=H507,"Weekly","No weekly")</x:f>
        <x:v>No weekly</x:v>
      </x:c>
      <x:c r="Y507" s="41" t="n">
        <x:f>IFERROR(I507-E507,"")</x:f>
        <x:v>-1.4910580000000007</x:v>
      </x:c>
      <x:c r="Z507" s="41" t="n">
        <x:f>IFERROR(J507-F507,"")</x:f>
        <x:v>3.77984</x:v>
      </x:c>
      <x:c r="AA507" s="41" t="n">
        <x:v>12756</x:v>
      </x:c>
      <x:c r="AB507" s="41" t="n">
        <x:v>5974</x:v>
      </x:c>
    </x:row>
    <x:row r="508">
      <x:c r="A508" s="41" t="str">
        <x:v>HYP_REFINE_AUTO002_TOPN_6_V1_DDGRID_LONGRUN_STRICT_STRICT_NEXT_CLOSE_R13_C22_E75_CR40_REDD_DD7_SL16</x:v>
      </x:c>
      <x:c r="B508" s="41" t="str">
        <x:v>strict_longrun_ddgrid</x:v>
      </x:c>
      <x:c r="C508" s="41" t="str">
        <x:v>1999-01-04</x:v>
      </x:c>
      <x:c r="D508" s="41" t="str">
        <x:v>2026-05-22</x:v>
      </x:c>
      <x:c r="E508" s="41" t="n">
        <x:v>12.270085</x:v>
      </x:c>
      <x:c r="F508" s="41" t="n">
        <x:v>-33.893713</x:v>
      </x:c>
      <x:c r="G508" s="41" t="n">
        <x:v>2277.6875</x:v>
      </x:c>
      <x:c r="H508" s="41" t="n">
        <x:f>IFERROR(E508/ABS(F508),"")</x:f>
        <x:v>0.36201654861478294</x:v>
      </x:c>
      <x:c r="I508" s="41" t="n">
        <x:v>11.811438</x:v>
      </x:c>
      <x:c r="J508" s="41" t="n">
        <x:v>-30.349886</x:v>
      </x:c>
      <x:c r="K508" s="41" t="n">
        <x:v>2025.595702</x:v>
      </x:c>
      <x:c r="L508" s="41" t="n">
        <x:f>IFERROR(I508/ABS(J508),"")</x:f>
        <x:v>0.38917569575055405</x:v>
      </x:c>
      <x:c r="M508" s="41" t="n">
        <x:v>6.802475</x:v>
      </x:c>
      <x:c r="N508" s="41" t="n">
        <x:v>-56.473669</x:v>
      </x:c>
      <x:c r="O508" s="41" t="n">
        <x:v>506.057416</x:v>
      </x:c>
      <x:c r="P508" s="41" t="n">
        <x:f>IFERROR(M508/ABS(N508),"")</x:f>
        <x:v>0.12045392340278087</x:v>
      </x:c>
      <x:c r="Q508" s="41" t="str">
        <x:f>IF(L508&gt;=MAX(H508,P508),"Weekly",IF(H508&gt;=MAX(L508,P508),"No weekly","SPY"))</x:f>
        <x:v>Weekly</x:v>
      </x:c>
      <x:c r="R508" s="41" t="n">
        <x:f>IFERROR(L508-P508,"")</x:f>
        <x:v>0.26872177234777317</x:v>
      </x:c>
      <x:c r="S508" s="41" t="n">
        <x:f>IFERROR(H508-P508,"")</x:f>
        <x:v>0.24156262521200206</x:v>
      </x:c>
      <x:c r="T508" s="41" t="n">
        <x:f>IFERROR(I508-M508,"")</x:f>
        <x:v>5.0089630000000005</x:v>
      </x:c>
      <x:c r="U508" s="41" t="n">
        <x:f>IFERROR(E508-M508,"")</x:f>
        <x:v>5.46761</x:v>
      </x:c>
      <x:c r="V508" s="41" t="str">
        <x:f>IF(AND(I508&gt;M508,J508&gt;N508),"Sí","No")</x:f>
        <x:v>Sí</x:v>
      </x:c>
      <x:c r="W508" s="41" t="str">
        <x:f>IF(AND(E508&gt;M508,F508&gt;N508),"Sí","No")</x:f>
        <x:v>Sí</x:v>
      </x:c>
      <x:c r="X508" s="41" t="str">
        <x:f>IF(L508&gt;=H508,"Weekly","No weekly")</x:f>
        <x:v>Weekly</x:v>
      </x:c>
      <x:c r="Y508" s="41" t="n">
        <x:f>IFERROR(I508-E508,"")</x:f>
        <x:v>-0.45864699999999914</x:v>
      </x:c>
      <x:c r="Z508" s="41" t="n">
        <x:f>IFERROR(J508-F508,"")</x:f>
        <x:v>3.5438269999999967</x:v>
      </x:c>
      <x:c r="AA508" s="41" t="n">
        <x:v>12435</x:v>
      </x:c>
      <x:c r="AB508" s="41" t="n">
        <x:v>5730</x:v>
      </x:c>
    </x:row>
    <x:row r="509">
      <x:c r="A509" s="41" t="str">
        <x:v>HYP_REFINE_AUTO002_TOPN_6_V1_DDGRID_LONGRUN_STRICT_STRICT_NEXT_CLOSE_R13_C22_E75_CR40_REDD_DD7_SL18</x:v>
      </x:c>
      <x:c r="B509" s="41" t="str">
        <x:v>strict_longrun_ddgrid</x:v>
      </x:c>
      <x:c r="C509" s="41" t="str">
        <x:v>1999-01-04</x:v>
      </x:c>
      <x:c r="D509" s="41" t="str">
        <x:v>2026-05-22</x:v>
      </x:c>
      <x:c r="E509" s="41" t="n">
        <x:v>12.163482</x:v>
      </x:c>
      <x:c r="F509" s="41" t="n">
        <x:v>-33.594447</x:v>
      </x:c>
      <x:c r="G509" s="41" t="n">
        <x:v>2216.643509</x:v>
      </x:c>
      <x:c r="H509" s="41" t="n">
        <x:f>IFERROR(E509/ABS(F509),"")</x:f>
        <x:v>0.36206823109783587</x:v>
      </x:c>
      <x:c r="I509" s="41" t="n">
        <x:v>10.655818</x:v>
      </x:c>
      <x:c r="J509" s="41" t="n">
        <x:v>-30.591892</x:v>
      </x:c>
      <x:c r="K509" s="41" t="n">
        <x:v>1499.371876</x:v>
      </x:c>
      <x:c r="L509" s="41" t="n">
        <x:f>IFERROR(I509/ABS(J509),"")</x:f>
        <x:v>0.34832164025683665</x:v>
      </x:c>
      <x:c r="M509" s="41" t="n">
        <x:v>6.802475</x:v>
      </x:c>
      <x:c r="N509" s="41" t="n">
        <x:v>-56.473669</x:v>
      </x:c>
      <x:c r="O509" s="41" t="n">
        <x:v>506.057416</x:v>
      </x:c>
      <x:c r="P509" s="41" t="n">
        <x:f>IFERROR(M509/ABS(N509),"")</x:f>
        <x:v>0.12045392340278087</x:v>
      </x:c>
      <x:c r="Q509" s="41" t="str">
        <x:f>IF(L509&gt;=MAX(H509,P509),"Weekly",IF(H509&gt;=MAX(L509,P509),"No weekly","SPY"))</x:f>
        <x:v>No weekly</x:v>
      </x:c>
      <x:c r="R509" s="41" t="n">
        <x:f>IFERROR(L509-P509,"")</x:f>
        <x:v>0.22786771685405577</x:v>
      </x:c>
      <x:c r="S509" s="41" t="n">
        <x:f>IFERROR(H509-P509,"")</x:f>
        <x:v>0.241614307695055</x:v>
      </x:c>
      <x:c r="T509" s="41" t="n">
        <x:f>IFERROR(I509-M509,"")</x:f>
        <x:v>3.8533429999999997</x:v>
      </x:c>
      <x:c r="U509" s="41" t="n">
        <x:f>IFERROR(E509-M509,"")</x:f>
        <x:v>5.361007</x:v>
      </x:c>
      <x:c r="V509" s="41" t="str">
        <x:f>IF(AND(I509&gt;M509,J509&gt;N509),"Sí","No")</x:f>
        <x:v>Sí</x:v>
      </x:c>
      <x:c r="W509" s="41" t="str">
        <x:f>IF(AND(E509&gt;M509,F509&gt;N509),"Sí","No")</x:f>
        <x:v>Sí</x:v>
      </x:c>
      <x:c r="X509" s="41" t="str">
        <x:f>IF(L509&gt;=H509,"Weekly","No weekly")</x:f>
        <x:v>No weekly</x:v>
      </x:c>
      <x:c r="Y509" s="41" t="n">
        <x:f>IFERROR(I509-E509,"")</x:f>
        <x:v>-1.5076640000000001</x:v>
      </x:c>
      <x:c r="Z509" s="41" t="n">
        <x:f>IFERROR(J509-F509,"")</x:f>
        <x:v>3.002555000000001</x:v>
      </x:c>
      <x:c r="AA509" s="41" t="n">
        <x:v>12620</x:v>
      </x:c>
      <x:c r="AB509" s="41" t="n">
        <x:v>5822</x:v>
      </x:c>
    </x:row>
    <x:row r="510">
      <x:c r="A510" s="41" t="str">
        <x:v>HYP_REFINE_AUTO002_TOPN_6_V1_DDGRID_LONGRUN_STRICT_STRICT_NEXT_CLOSE_R13_C22_E75_CR40_REDD_DD7_SL20</x:v>
      </x:c>
      <x:c r="B510" s="41" t="str">
        <x:v>strict_longrun_ddgrid</x:v>
      </x:c>
      <x:c r="C510" s="41" t="str">
        <x:v>1999-01-04</x:v>
      </x:c>
      <x:c r="D510" s="41" t="str">
        <x:v>2026-05-22</x:v>
      </x:c>
      <x:c r="E510" s="41" t="n">
        <x:v>11.704083</x:v>
      </x:c>
      <x:c r="F510" s="41" t="n">
        <x:v>-34.79405</x:v>
      </x:c>
      <x:c r="G510" s="41" t="n">
        <x:v>1970.421573</x:v>
      </x:c>
      <x:c r="H510" s="41" t="n">
        <x:f>IFERROR(E510/ABS(F510),"")</x:f>
        <x:v>0.33638173768216123</x:v>
      </x:c>
      <x:c r="I510" s="41" t="n">
        <x:v>11.788605</x:v>
      </x:c>
      <x:c r="J510" s="41" t="n">
        <x:v>-29.988103</x:v>
      </x:c>
      <x:c r="K510" s="41" t="n">
        <x:v>2013.743904</x:v>
      </x:c>
      <x:c r="L510" s="41" t="n">
        <x:f>IFERROR(I510/ABS(J510),"")</x:f>
        <x:v>0.3931093940820465</x:v>
      </x:c>
      <x:c r="M510" s="41" t="n">
        <x:v>6.802475</x:v>
      </x:c>
      <x:c r="N510" s="41" t="n">
        <x:v>-56.473669</x:v>
      </x:c>
      <x:c r="O510" s="41" t="n">
        <x:v>506.057416</x:v>
      </x:c>
      <x:c r="P510" s="41" t="n">
        <x:f>IFERROR(M510/ABS(N510),"")</x:f>
        <x:v>0.12045392340278087</x:v>
      </x:c>
      <x:c r="Q510" s="41" t="str">
        <x:f>IF(L510&gt;=MAX(H510,P510),"Weekly",IF(H510&gt;=MAX(L510,P510),"No weekly","SPY"))</x:f>
        <x:v>Weekly</x:v>
      </x:c>
      <x:c r="R510" s="41" t="n">
        <x:f>IFERROR(L510-P510,"")</x:f>
        <x:v>0.2726554706792656</x:v>
      </x:c>
      <x:c r="S510" s="41" t="n">
        <x:f>IFERROR(H510-P510,"")</x:f>
        <x:v>0.21592781427938035</x:v>
      </x:c>
      <x:c r="T510" s="41" t="n">
        <x:f>IFERROR(I510-M510,"")</x:f>
        <x:v>4.98613</x:v>
      </x:c>
      <x:c r="U510" s="41" t="n">
        <x:f>IFERROR(E510-M510,"")</x:f>
        <x:v>4.901608</x:v>
      </x:c>
      <x:c r="V510" s="41" t="str">
        <x:f>IF(AND(I510&gt;M510,J510&gt;N510),"Sí","No")</x:f>
        <x:v>Sí</x:v>
      </x:c>
      <x:c r="W510" s="41" t="str">
        <x:f>IF(AND(E510&gt;M510,F510&gt;N510),"Sí","No")</x:f>
        <x:v>Sí</x:v>
      </x:c>
      <x:c r="X510" s="41" t="str">
        <x:f>IF(L510&gt;=H510,"Weekly","No weekly")</x:f>
        <x:v>Weekly</x:v>
      </x:c>
      <x:c r="Y510" s="41" t="n">
        <x:f>IFERROR(I510-E510,"")</x:f>
        <x:v>0.08452199999999976</x:v>
      </x:c>
      <x:c r="Z510" s="41" t="n">
        <x:f>IFERROR(J510-F510,"")</x:f>
        <x:v>4.805947</x:v>
      </x:c>
      <x:c r="AA510" s="41" t="n">
        <x:v>12208</x:v>
      </x:c>
      <x:c r="AB510" s="41" t="n">
        <x:v>5864</x:v>
      </x:c>
    </x:row>
    <x:row r="511">
      <x:c r="A511" s="41" t="str">
        <x:v>HYP_REFINE_AUTO002_TOPN_6_V1_DDGRID_LONGRUN_STRICT_STRICT_NEXT_CLOSE_R13_C22_E75_CR40_REDD_DD8_SL18</x:v>
      </x:c>
      <x:c r="B511" s="41" t="str">
        <x:v>strict_longrun_ddgrid</x:v>
      </x:c>
      <x:c r="C511" s="41" t="str">
        <x:v>1999-01-04</x:v>
      </x:c>
      <x:c r="D511" s="41" t="str">
        <x:v>2026-05-22</x:v>
      </x:c>
      <x:c r="E511" s="41" t="n">
        <x:v>11.856884</x:v>
      </x:c>
      <x:c r="F511" s="41" t="n">
        <x:v>-32.821275</x:v>
      </x:c>
      <x:c r="G511" s="41" t="n">
        <x:v>2049.376888</x:v>
      </x:c>
      <x:c r="H511" s="41" t="n">
        <x:f>IFERROR(E511/ABS(F511),"")</x:f>
        <x:v>0.3612560450500476</x:v>
      </x:c>
      <x:c r="I511" s="41" t="n">
        <x:v>11.305666</x:v>
      </x:c>
      <x:c r="J511" s="41" t="n">
        <x:v>-30.591892</x:v>
      </x:c>
      <x:c r="K511" s="41" t="n">
        <x:v>1777.472196</x:v>
      </x:c>
      <x:c r="L511" s="41" t="n">
        <x:f>IFERROR(I511/ABS(J511),"")</x:f>
        <x:v>0.3695641315679331</x:v>
      </x:c>
      <x:c r="M511" s="41" t="n">
        <x:v>6.802475</x:v>
      </x:c>
      <x:c r="N511" s="41" t="n">
        <x:v>-56.473669</x:v>
      </x:c>
      <x:c r="O511" s="41" t="n">
        <x:v>506.057416</x:v>
      </x:c>
      <x:c r="P511" s="41" t="n">
        <x:f>IFERROR(M511/ABS(N511),"")</x:f>
        <x:v>0.12045392340278087</x:v>
      </x:c>
      <x:c r="Q511" s="41" t="str">
        <x:f>IF(L511&gt;=MAX(H511,P511),"Weekly",IF(H511&gt;=MAX(L511,P511),"No weekly","SPY"))</x:f>
        <x:v>Weekly</x:v>
      </x:c>
      <x:c r="R511" s="41" t="n">
        <x:f>IFERROR(L511-P511,"")</x:f>
        <x:v>0.24911020816515222</x:v>
      </x:c>
      <x:c r="S511" s="41" t="n">
        <x:f>IFERROR(H511-P511,"")</x:f>
        <x:v>0.24080212164726672</x:v>
      </x:c>
      <x:c r="T511" s="41" t="n">
        <x:f>IFERROR(I511-M511,"")</x:f>
        <x:v>4.503191</x:v>
      </x:c>
      <x:c r="U511" s="41" t="n">
        <x:f>IFERROR(E511-M511,"")</x:f>
        <x:v>5.054409000000001</x:v>
      </x:c>
      <x:c r="V511" s="41" t="str">
        <x:f>IF(AND(I511&gt;M511,J511&gt;N511),"Sí","No")</x:f>
        <x:v>Sí</x:v>
      </x:c>
      <x:c r="W511" s="41" t="str">
        <x:f>IF(AND(E511&gt;M511,F511&gt;N511),"Sí","No")</x:f>
        <x:v>Sí</x:v>
      </x:c>
      <x:c r="X511" s="41" t="str">
        <x:f>IF(L511&gt;=H511,"Weekly","No weekly")</x:f>
        <x:v>Weekly</x:v>
      </x:c>
      <x:c r="Y511" s="41" t="n">
        <x:f>IFERROR(I511-E511,"")</x:f>
        <x:v>-0.5512180000000004</x:v>
      </x:c>
      <x:c r="Z511" s="41" t="n">
        <x:f>IFERROR(J511-F511,"")</x:f>
        <x:v>2.2293829999999986</x:v>
      </x:c>
      <x:c r="AA511" s="41" t="n">
        <x:v>12130</x:v>
      </x:c>
      <x:c r="AB511" s="41" t="n">
        <x:v>5859</x:v>
      </x:c>
    </x:row>
    <x:row r="512">
      <x:c r="A512" s="41" t="str">
        <x:v>HYP_REFINE_AUTO002_TOPN_6_V1_DDGRID_LONGRUN_STRICT_STRICT_NEXT_CLOSE_R13_C22_E75_CR40_REDD_DD8_SL20</x:v>
      </x:c>
      <x:c r="B512" s="41" t="str">
        <x:v>strict_longrun_ddgrid</x:v>
      </x:c>
      <x:c r="C512" s="41" t="str">
        <x:v>1999-01-04</x:v>
      </x:c>
      <x:c r="D512" s="41" t="str">
        <x:v>2026-05-22</x:v>
      </x:c>
      <x:c r="E512" s="41" t="n">
        <x:v>11.730761</x:v>
      </x:c>
      <x:c r="F512" s="41" t="n">
        <x:v>-34.022107</x:v>
      </x:c>
      <x:c r="G512" s="41" t="n">
        <x:v>1984.002278</x:v>
      </x:c>
      <x:c r="H512" s="41" t="n">
        <x:f>IFERROR(E512/ABS(F512),"")</x:f>
        <x:v>0.34479819253992705</x:v>
      </x:c>
      <x:c r="I512" s="41" t="n">
        <x:v>11.966</x:v>
      </x:c>
      <x:c r="J512" s="41" t="n">
        <x:v>-29.988103</x:v>
      </x:c>
      <x:c r="K512" s="41" t="n">
        <x:v>2107.52649</x:v>
      </x:c>
      <x:c r="L512" s="41" t="n">
        <x:f>IFERROR(I512/ABS(J512),"")</x:f>
        <x:v>0.39902490664381135</x:v>
      </x:c>
      <x:c r="M512" s="41" t="n">
        <x:v>6.802475</x:v>
      </x:c>
      <x:c r="N512" s="41" t="n">
        <x:v>-56.473669</x:v>
      </x:c>
      <x:c r="O512" s="41" t="n">
        <x:v>506.057416</x:v>
      </x:c>
      <x:c r="P512" s="41" t="n">
        <x:f>IFERROR(M512/ABS(N512),"")</x:f>
        <x:v>0.12045392340278087</x:v>
      </x:c>
      <x:c r="Q512" s="41" t="str">
        <x:f>IF(L512&gt;=MAX(H512,P512),"Weekly",IF(H512&gt;=MAX(L512,P512),"No weekly","SPY"))</x:f>
        <x:v>Weekly</x:v>
      </x:c>
      <x:c r="R512" s="41" t="n">
        <x:f>IFERROR(L512-P512,"")</x:f>
        <x:v>0.27857098324103047</x:v>
      </x:c>
      <x:c r="S512" s="41" t="n">
        <x:f>IFERROR(H512-P512,"")</x:f>
        <x:v>0.22434426913714617</x:v>
      </x:c>
      <x:c r="T512" s="41" t="n">
        <x:f>IFERROR(I512-M512,"")</x:f>
        <x:v>5.163524999999999</x:v>
      </x:c>
      <x:c r="U512" s="41" t="n">
        <x:f>IFERROR(E512-M512,"")</x:f>
        <x:v>4.928285999999999</x:v>
      </x:c>
      <x:c r="V512" s="41" t="str">
        <x:f>IF(AND(I512&gt;M512,J512&gt;N512),"Sí","No")</x:f>
        <x:v>Sí</x:v>
      </x:c>
      <x:c r="W512" s="41" t="str">
        <x:f>IF(AND(E512&gt;M512,F512&gt;N512),"Sí","No")</x:f>
        <x:v>Sí</x:v>
      </x:c>
      <x:c r="X512" s="41" t="str">
        <x:f>IF(L512&gt;=H512,"Weekly","No weekly")</x:f>
        <x:v>Weekly</x:v>
      </x:c>
      <x:c r="Y512" s="41" t="n">
        <x:f>IFERROR(I512-E512,"")</x:f>
        <x:v>0.23523899999999998</x:v>
      </x:c>
      <x:c r="Z512" s="41" t="n">
        <x:f>IFERROR(J512-F512,"")</x:f>
        <x:v>4.0340039999999995</x:v>
      </x:c>
      <x:c r="AA512" s="41" t="n">
        <x:v>12041</x:v>
      </x:c>
      <x:c r="AB512" s="41" t="n">
        <x:v>5755</x:v>
      </x:c>
    </x:row>
    <x:row r="513">
      <x:c r="A513" s="41" t="str">
        <x:v>HYP_REFINE_AUTO002_TOPN_6_V1_DDGRID_LONGRUN_STRICT_STRICT_NEXT_CLOSE_R13_C22_E75_CR45_REDD_DD7_SL18</x:v>
      </x:c>
      <x:c r="B513" s="41" t="str">
        <x:v>strict_longrun_ddgrid</x:v>
      </x:c>
      <x:c r="C513" s="41" t="str">
        <x:v>1999-01-04</x:v>
      </x:c>
      <x:c r="D513" s="41" t="str">
        <x:v>2026-05-22</x:v>
      </x:c>
      <x:c r="E513" s="41" t="n">
        <x:v>12.360856</x:v>
      </x:c>
      <x:c r="F513" s="41" t="n">
        <x:v>-34.647652</x:v>
      </x:c>
      <x:c r="G513" s="41" t="n">
        <x:v>2330.884188</x:v>
      </x:c>
      <x:c r="H513" s="41" t="n">
        <x:f>IFERROR(E513/ABS(F513),"")</x:f>
        <x:v>0.356758836067737</x:v>
      </x:c>
      <x:c r="I513" s="41" t="n">
        <x:v>12.339406</x:v>
      </x:c>
      <x:c r="J513" s="41" t="n">
        <x:v>-31.764195</x:v>
      </x:c>
      <x:c r="K513" s="41" t="n">
        <x:v>2318.210873</x:v>
      </x:c>
      <x:c r="L513" s="41" t="n">
        <x:f>IFERROR(I513/ABS(J513),"")</x:f>
        <x:v>0.38846902935837035</x:v>
      </x:c>
      <x:c r="M513" s="41" t="n">
        <x:v>6.802475</x:v>
      </x:c>
      <x:c r="N513" s="41" t="n">
        <x:v>-56.473669</x:v>
      </x:c>
      <x:c r="O513" s="41" t="n">
        <x:v>506.057416</x:v>
      </x:c>
      <x:c r="P513" s="41" t="n">
        <x:f>IFERROR(M513/ABS(N513),"")</x:f>
        <x:v>0.12045392340278087</x:v>
      </x:c>
      <x:c r="Q513" s="41" t="str">
        <x:f>IF(L513&gt;=MAX(H513,P513),"Weekly",IF(H513&gt;=MAX(L513,P513),"No weekly","SPY"))</x:f>
        <x:v>Weekly</x:v>
      </x:c>
      <x:c r="R513" s="41" t="n">
        <x:f>IFERROR(L513-P513,"")</x:f>
        <x:v>0.26801510595558947</x:v>
      </x:c>
      <x:c r="S513" s="41" t="n">
        <x:f>IFERROR(H513-P513,"")</x:f>
        <x:v>0.23630491266495612</x:v>
      </x:c>
      <x:c r="T513" s="41" t="n">
        <x:f>IFERROR(I513-M513,"")</x:f>
        <x:v>5.536931</x:v>
      </x:c>
      <x:c r="U513" s="41" t="n">
        <x:f>IFERROR(E513-M513,"")</x:f>
        <x:v>5.558381</x:v>
      </x:c>
      <x:c r="V513" s="41" t="str">
        <x:f>IF(AND(I513&gt;M513,J513&gt;N513),"Sí","No")</x:f>
        <x:v>Sí</x:v>
      </x:c>
      <x:c r="W513" s="41" t="str">
        <x:f>IF(AND(E513&gt;M513,F513&gt;N513),"Sí","No")</x:f>
        <x:v>Sí</x:v>
      </x:c>
      <x:c r="X513" s="41" t="str">
        <x:f>IF(L513&gt;=H513,"Weekly","No weekly")</x:f>
        <x:v>Weekly</x:v>
      </x:c>
      <x:c r="Y513" s="41" t="n">
        <x:f>IFERROR(I513-E513,"")</x:f>
        <x:v>-0.021449999999999747</x:v>
      </x:c>
      <x:c r="Z513" s="41" t="n">
        <x:f>IFERROR(J513-F513,"")</x:f>
        <x:v>2.883457</x:v>
      </x:c>
      <x:c r="AA513" s="41" t="n">
        <x:v>12016</x:v>
      </x:c>
      <x:c r="AB513" s="41" t="n">
        <x:v>5668</x:v>
      </x:c>
    </x:row>
    <x:row r="514">
      <x:c r="A514" s="41" t="str">
        <x:v>HYP_REFINE_AUTO002_TOPN_6_V1_DDGRID_LONGRUN_STRICT_STRICT_NEXT_CLOSE_R13_C22_E78_CR40_REDD_DD7_SL18</x:v>
      </x:c>
      <x:c r="B514" s="41" t="str">
        <x:v>strict_longrun_ddgrid</x:v>
      </x:c>
      <x:c r="C514" s="41" t="str">
        <x:v>1999-01-04</x:v>
      </x:c>
      <x:c r="D514" s="41" t="str">
        <x:v>2026-05-22</x:v>
      </x:c>
      <x:c r="E514" s="41" t="n">
        <x:v>11.959025</x:v>
      </x:c>
      <x:c r="F514" s="41" t="n">
        <x:v>-33.600453</x:v>
      </x:c>
      <x:c r="G514" s="41" t="n">
        <x:v>2103.764562</x:v>
      </x:c>
      <x:c r="H514" s="41" t="n">
        <x:f>IFERROR(E514/ABS(F514),"")</x:f>
        <x:v>0.3559185645503053</x:v>
      </x:c>
      <x:c r="I514" s="41" t="n">
        <x:v>12.330246</x:v>
      </x:c>
      <x:c r="J514" s="41" t="n">
        <x:v>-30.794104</x:v>
      </x:c>
      <x:c r="K514" s="41" t="n">
        <x:v>2312.818045</x:v>
      </x:c>
      <x:c r="L514" s="41" t="n">
        <x:f>IFERROR(I514/ABS(J514),"")</x:f>
        <x:v>0.40040931212026826</x:v>
      </x:c>
      <x:c r="M514" s="41" t="n">
        <x:v>6.802475</x:v>
      </x:c>
      <x:c r="N514" s="41" t="n">
        <x:v>-56.473669</x:v>
      </x:c>
      <x:c r="O514" s="41" t="n">
        <x:v>506.057416</x:v>
      </x:c>
      <x:c r="P514" s="41" t="n">
        <x:f>IFERROR(M514/ABS(N514),"")</x:f>
        <x:v>0.12045392340278087</x:v>
      </x:c>
      <x:c r="Q514" s="41" t="str">
        <x:f>IF(L514&gt;=MAX(H514,P514),"Weekly",IF(H514&gt;=MAX(L514,P514),"No weekly","SPY"))</x:f>
        <x:v>Weekly</x:v>
      </x:c>
      <x:c r="R514" s="41" t="n">
        <x:f>IFERROR(L514-P514,"")</x:f>
        <x:v>0.2799553887174874</x:v>
      </x:c>
      <x:c r="S514" s="41" t="n">
        <x:f>IFERROR(H514-P514,"")</x:f>
        <x:v>0.2354646411475244</x:v>
      </x:c>
      <x:c r="T514" s="41" t="n">
        <x:f>IFERROR(I514-M514,"")</x:f>
        <x:v>5.527771</x:v>
      </x:c>
      <x:c r="U514" s="41" t="n">
        <x:f>IFERROR(E514-M514,"")</x:f>
        <x:v>5.15655</x:v>
      </x:c>
      <x:c r="V514" s="41" t="str">
        <x:f>IF(AND(I514&gt;M514,J514&gt;N514),"Sí","No")</x:f>
        <x:v>Sí</x:v>
      </x:c>
      <x:c r="W514" s="41" t="str">
        <x:f>IF(AND(E514&gt;M514,F514&gt;N514),"Sí","No")</x:f>
        <x:v>Sí</x:v>
      </x:c>
      <x:c r="X514" s="41" t="str">
        <x:f>IF(L514&gt;=H514,"Weekly","No weekly")</x:f>
        <x:v>Weekly</x:v>
      </x:c>
      <x:c r="Y514" s="41" t="n">
        <x:f>IFERROR(I514-E514,"")</x:f>
        <x:v>0.37122100000000025</x:v>
      </x:c>
      <x:c r="Z514" s="41" t="n">
        <x:f>IFERROR(J514-F514,"")</x:f>
        <x:v>2.806349000000001</x:v>
      </x:c>
      <x:c r="AA514" s="41" t="n">
        <x:v>12294</x:v>
      </x:c>
      <x:c r="AB514" s="41" t="n">
        <x:v>5746</x:v>
      </x:c>
    </x:row>
    <x:row r="515">
      <x:c r="A515" s="41" t="str">
        <x:v>HYP_REFINE_AUTO002_TOPN_6_V1_DDGRID_LONGRUN_STRICT_STRICT_NEXT_CLOSE_R13_C22_E80_CR40_REDD_DD7_SL18</x:v>
      </x:c>
      <x:c r="B515" s="41" t="str">
        <x:v>strict_longrun_ddgrid</x:v>
      </x:c>
      <x:c r="C515" s="41" t="str">
        <x:v>1999-01-04</x:v>
      </x:c>
      <x:c r="D515" s="41" t="str">
        <x:v>2026-05-22</x:v>
      </x:c>
      <x:c r="E515" s="41" t="n">
        <x:v>12.132074</x:v>
      </x:c>
      <x:c r="F515" s="41" t="n">
        <x:v>-33.555299</x:v>
      </x:c>
      <x:c r="G515" s="41" t="n">
        <x:v>2198.948383</x:v>
      </x:c>
      <x:c r="H515" s="41" t="n">
        <x:f>IFERROR(E515/ABS(F515),"")</x:f>
        <x:v>0.361554638508809</x:v>
      </x:c>
      <x:c r="I515" s="41" t="n">
        <x:v>12.363034</x:v>
      </x:c>
      <x:c r="J515" s="41" t="n">
        <x:v>-30.587003</x:v>
      </x:c>
      <x:c r="K515" s="41" t="n">
        <x:v>2332.174393</x:v>
      </x:c>
      <x:c r="L515" s="41" t="n">
        <x:f>IFERROR(I515/ABS(J515),"")</x:f>
        <x:v>0.40419239505093063</x:v>
      </x:c>
      <x:c r="M515" s="41" t="n">
        <x:v>6.802475</x:v>
      </x:c>
      <x:c r="N515" s="41" t="n">
        <x:v>-56.473669</x:v>
      </x:c>
      <x:c r="O515" s="41" t="n">
        <x:v>506.057416</x:v>
      </x:c>
      <x:c r="P515" s="41" t="n">
        <x:f>IFERROR(M515/ABS(N515),"")</x:f>
        <x:v>0.12045392340278087</x:v>
      </x:c>
      <x:c r="Q515" s="41" t="str">
        <x:f>IF(L515&gt;=MAX(H515,P515),"Weekly",IF(H515&gt;=MAX(L515,P515),"No weekly","SPY"))</x:f>
        <x:v>Weekly</x:v>
      </x:c>
      <x:c r="R515" s="41" t="n">
        <x:f>IFERROR(L515-P515,"")</x:f>
        <x:v>0.28373847164814975</x:v>
      </x:c>
      <x:c r="S515" s="41" t="n">
        <x:f>IFERROR(H515-P515,"")</x:f>
        <x:v>0.2411007151060281</x:v>
      </x:c>
      <x:c r="T515" s="41" t="n">
        <x:f>IFERROR(I515-M515,"")</x:f>
        <x:v>5.5605590000000005</x:v>
      </x:c>
      <x:c r="U515" s="41" t="n">
        <x:f>IFERROR(E515-M515,"")</x:f>
        <x:v>5.329598999999999</x:v>
      </x:c>
      <x:c r="V515" s="41" t="str">
        <x:f>IF(AND(I515&gt;M515,J515&gt;N515),"Sí","No")</x:f>
        <x:v>Sí</x:v>
      </x:c>
      <x:c r="W515" s="41" t="str">
        <x:f>IF(AND(E515&gt;M515,F515&gt;N515),"Sí","No")</x:f>
        <x:v>Sí</x:v>
      </x:c>
      <x:c r="X515" s="41" t="str">
        <x:f>IF(L515&gt;=H515,"Weekly","No weekly")</x:f>
        <x:v>Weekly</x:v>
      </x:c>
      <x:c r="Y515" s="41" t="n">
        <x:f>IFERROR(I515-E515,"")</x:f>
        <x:v>0.2309600000000014</x:v>
      </x:c>
      <x:c r="Z515" s="41" t="n">
        <x:f>IFERROR(J515-F515,"")</x:f>
        <x:v>2.9682959999999987</x:v>
      </x:c>
      <x:c r="AA515" s="41" t="n">
        <x:v>12017</x:v>
      </x:c>
      <x:c r="AB515" s="41" t="n">
        <x:v>5892</x:v>
      </x:c>
    </x:row>
    <x:row r="516">
      <x:c r="A516" s="41" t="str">
        <x:v>HYP_REFINE_AUTO002_TOPN_6_V1_DDGRID_LONGRUN_STRICT_STRICT_NEXT_CLOSE_R13_C23_E75_CR40_REDD_DD7_SL18</x:v>
      </x:c>
      <x:c r="B516" s="41" t="str">
        <x:v>strict_longrun_ddgrid</x:v>
      </x:c>
      <x:c r="C516" s="41" t="str">
        <x:v>1999-01-04</x:v>
      </x:c>
      <x:c r="D516" s="41" t="str">
        <x:v>2026-05-22</x:v>
      </x:c>
      <x:c r="E516" s="41" t="n">
        <x:v>11.396964</x:v>
      </x:c>
      <x:c r="F516" s="41" t="n">
        <x:v>-33.387867</x:v>
      </x:c>
      <x:c r="G516" s="41" t="n">
        <x:v>1820.094145</x:v>
      </x:c>
      <x:c r="H516" s="41" t="n">
        <x:f>IFERROR(E516/ABS(F516),"")</x:f>
        <x:v>0.34135046722212</x:v>
      </x:c>
      <x:c r="I516" s="41" t="n">
        <x:v>11.733007</x:v>
      </x:c>
      <x:c r="J516" s="41" t="n">
        <x:v>-31.777609</x:v>
      </x:c>
      <x:c r="K516" s="41" t="n">
        <x:v>1985.149615</x:v>
      </x:c>
      <x:c r="L516" s="41" t="n">
        <x:f>IFERROR(I516/ABS(J516),"")</x:f>
        <x:v>0.36922246101020373</x:v>
      </x:c>
      <x:c r="M516" s="41" t="n">
        <x:v>6.802475</x:v>
      </x:c>
      <x:c r="N516" s="41" t="n">
        <x:v>-56.473669</x:v>
      </x:c>
      <x:c r="O516" s="41" t="n">
        <x:v>506.057416</x:v>
      </x:c>
      <x:c r="P516" s="41" t="n">
        <x:f>IFERROR(M516/ABS(N516),"")</x:f>
        <x:v>0.12045392340278087</x:v>
      </x:c>
      <x:c r="Q516" s="41" t="str">
        <x:f>IF(L516&gt;=MAX(H516,P516),"Weekly",IF(H516&gt;=MAX(L516,P516),"No weekly","SPY"))</x:f>
        <x:v>Weekly</x:v>
      </x:c>
      <x:c r="R516" s="41" t="n">
        <x:f>IFERROR(L516-P516,"")</x:f>
        <x:v>0.24876853760742285</x:v>
      </x:c>
      <x:c r="S516" s="41" t="n">
        <x:f>IFERROR(H516-P516,"")</x:f>
        <x:v>0.2208965438193391</x:v>
      </x:c>
      <x:c r="T516" s="41" t="n">
        <x:f>IFERROR(I516-M516,"")</x:f>
        <x:v>4.930532</x:v>
      </x:c>
      <x:c r="U516" s="41" t="n">
        <x:f>IFERROR(E516-M516,"")</x:f>
        <x:v>4.594489</x:v>
      </x:c>
      <x:c r="V516" s="41" t="str">
        <x:f>IF(AND(I516&gt;M516,J516&gt;N516),"Sí","No")</x:f>
        <x:v>Sí</x:v>
      </x:c>
      <x:c r="W516" s="41" t="str">
        <x:f>IF(AND(E516&gt;M516,F516&gt;N516),"Sí","No")</x:f>
        <x:v>Sí</x:v>
      </x:c>
      <x:c r="X516" s="41" t="str">
        <x:f>IF(L516&gt;=H516,"Weekly","No weekly")</x:f>
        <x:v>Weekly</x:v>
      </x:c>
      <x:c r="Y516" s="41" t="n">
        <x:f>IFERROR(I516-E516,"")</x:f>
        <x:v>0.3360430000000001</x:v>
      </x:c>
      <x:c r="Z516" s="41" t="n">
        <x:f>IFERROR(J516-F516,"")</x:f>
        <x:v>1.6102579999999982</x:v>
      </x:c>
      <x:c r="AA516" s="41" t="n">
        <x:v>12443</x:v>
      </x:c>
      <x:c r="AB516" s="41" t="n">
        <x:v>5811</x:v>
      </x:c>
    </x:row>
    <x:row r="517">
      <x:c r="A517" s="41" t="str">
        <x:v>HYP_REFINE_AUTO002_TOPN_6_V1_DDGRID_LONGRUN_STRICT_STRICT_NEXT_CLOSE_R14_C22_E75_CR40_REDD_DD7_SL18</x:v>
      </x:c>
      <x:c r="B517" s="41" t="str">
        <x:v>strict_longrun_ddgrid</x:v>
      </x:c>
      <x:c r="C517" s="41" t="str">
        <x:v>1999-01-04</x:v>
      </x:c>
      <x:c r="D517" s="41" t="str">
        <x:v>2026-05-22</x:v>
      </x:c>
      <x:c r="E517" s="41" t="n">
        <x:v>12.189118</x:v>
      </x:c>
      <x:c r="F517" s="41" t="n">
        <x:v>-33.594447</x:v>
      </x:c>
      <x:c r="G517" s="41" t="n">
        <x:v>2231.184252</x:v>
      </x:c>
      <x:c r="H517" s="41" t="n">
        <x:f>IFERROR(E517/ABS(F517),"")</x:f>
        <x:v>0.3628313334045951</x:v>
      </x:c>
      <x:c r="I517" s="41" t="n">
        <x:v>11.294634</x:v>
      </x:c>
      <x:c r="J517" s="41" t="n">
        <x:v>-31.472322</x:v>
      </x:c>
      <x:c r="K517" s="41" t="n">
        <x:v>1772.38422</x:v>
      </x:c>
      <x:c r="L517" s="41" t="n">
        <x:f>IFERROR(I517/ABS(J517),"")</x:f>
        <x:v>0.3588751411478314</x:v>
      </x:c>
      <x:c r="M517" s="41" t="n">
        <x:v>6.802475</x:v>
      </x:c>
      <x:c r="N517" s="41" t="n">
        <x:v>-56.473669</x:v>
      </x:c>
      <x:c r="O517" s="41" t="n">
        <x:v>506.057416</x:v>
      </x:c>
      <x:c r="P517" s="41" t="n">
        <x:f>IFERROR(M517/ABS(N517),"")</x:f>
        <x:v>0.12045392340278087</x:v>
      </x:c>
      <x:c r="Q517" s="41" t="str">
        <x:f>IF(L517&gt;=MAX(H517,P517),"Weekly",IF(H517&gt;=MAX(L517,P517),"No weekly","SPY"))</x:f>
        <x:v>No weekly</x:v>
      </x:c>
      <x:c r="R517" s="41" t="n">
        <x:f>IFERROR(L517-P517,"")</x:f>
        <x:v>0.23842121774505054</x:v>
      </x:c>
      <x:c r="S517" s="41" t="n">
        <x:f>IFERROR(H517-P517,"")</x:f>
        <x:v>0.24237741000181423</x:v>
      </x:c>
      <x:c r="T517" s="41" t="n">
        <x:f>IFERROR(I517-M517,"")</x:f>
        <x:v>4.492159</x:v>
      </x:c>
      <x:c r="U517" s="41" t="n">
        <x:f>IFERROR(E517-M517,"")</x:f>
        <x:v>5.386643</x:v>
      </x:c>
      <x:c r="V517" s="41" t="str">
        <x:f>IF(AND(I517&gt;M517,J517&gt;N517),"Sí","No")</x:f>
        <x:v>Sí</x:v>
      </x:c>
      <x:c r="W517" s="41" t="str">
        <x:f>IF(AND(E517&gt;M517,F517&gt;N517),"Sí","No")</x:f>
        <x:v>Sí</x:v>
      </x:c>
      <x:c r="X517" s="41" t="str">
        <x:f>IF(L517&gt;=H517,"Weekly","No weekly")</x:f>
        <x:v>No weekly</x:v>
      </x:c>
      <x:c r="Y517" s="41" t="n">
        <x:f>IFERROR(I517-E517,"")</x:f>
        <x:v>-0.8944840000000003</x:v>
      </x:c>
      <x:c r="Z517" s="41" t="n">
        <x:f>IFERROR(J517-F517,"")</x:f>
        <x:v>2.122125000000004</x:v>
      </x:c>
      <x:c r="AA517" s="41" t="n">
        <x:v>12054</x:v>
      </x:c>
      <x:c r="AB517" s="41" t="n">
        <x:v>5900</x:v>
      </x:c>
    </x:row>
    <x:row r="518">
      <x:c r="A518" s="41" t="str">
        <x:v>HYP_REFINE_AUTO002_TOPN_6_V1_DDGRID_LONGRUN_STRICT_STRICT_NEXT_OPEN_R11_C22_E75_CR40_REDD_DD8_SL20</x:v>
      </x:c>
      <x:c r="B518" s="41" t="str">
        <x:v>strict_longrun_ddgrid</x:v>
      </x:c>
      <x:c r="C518" s="41" t="str">
        <x:v>1999-01-04</x:v>
      </x:c>
      <x:c r="D518" s="41" t="str">
        <x:v>2026-05-22</x:v>
      </x:c>
      <x:c r="E518" s="41" t="n">
        <x:v>12.559227</x:v>
      </x:c>
      <x:c r="F518" s="41" t="n">
        <x:v>-33.724893</x:v>
      </x:c>
      <x:c r="G518" s="41" t="n">
        <x:v>2451.16091</x:v>
      </x:c>
      <x:c r="H518" s="41" t="n">
        <x:f>IFERROR(E518/ABS(F518),"")</x:f>
        <x:v>0.37240227863732583</x:v>
      </x:c>
      <x:c r="I518" s="41" t="n">
        <x:v>11.636052</x:v>
      </x:c>
      <x:c r="J518" s="41" t="n">
        <x:v>-32.008997</x:v>
      </x:c>
      <x:c r="K518" s="41" t="n">
        <x:v>1936.174536</x:v>
      </x:c>
      <x:c r="L518" s="41" t="n">
        <x:f>IFERROR(I518/ABS(J518),"")</x:f>
        <x:v>0.36352441783789724</x:v>
      </x:c>
      <x:c r="M518" s="41" t="n">
        <x:v>6.802475</x:v>
      </x:c>
      <x:c r="N518" s="41" t="n">
        <x:v>-56.473669</x:v>
      </x:c>
      <x:c r="O518" s="41" t="n">
        <x:v>506.057416</x:v>
      </x:c>
      <x:c r="P518" s="41" t="n">
        <x:f>IFERROR(M518/ABS(N518),"")</x:f>
        <x:v>0.12045392340278087</x:v>
      </x:c>
      <x:c r="Q518" s="41" t="str">
        <x:f>IF(L518&gt;=MAX(H518,P518),"Weekly",IF(H518&gt;=MAX(L518,P518),"No weekly","SPY"))</x:f>
        <x:v>No weekly</x:v>
      </x:c>
      <x:c r="R518" s="41" t="n">
        <x:f>IFERROR(L518-P518,"")</x:f>
        <x:v>0.24307049443511636</x:v>
      </x:c>
      <x:c r="S518" s="41" t="n">
        <x:f>IFERROR(H518-P518,"")</x:f>
        <x:v>0.25194835523454495</x:v>
      </x:c>
      <x:c r="T518" s="41" t="n">
        <x:f>IFERROR(I518-M518,"")</x:f>
        <x:v>4.833576999999999</x:v>
      </x:c>
      <x:c r="U518" s="41" t="n">
        <x:f>IFERROR(E518-M518,"")</x:f>
        <x:v>5.756752</x:v>
      </x:c>
      <x:c r="V518" s="41" t="str">
        <x:f>IF(AND(I518&gt;M518,J518&gt;N518),"Sí","No")</x:f>
        <x:v>Sí</x:v>
      </x:c>
      <x:c r="W518" s="41" t="str">
        <x:f>IF(AND(E518&gt;M518,F518&gt;N518),"Sí","No")</x:f>
        <x:v>Sí</x:v>
      </x:c>
      <x:c r="X518" s="41" t="str">
        <x:f>IF(L518&gt;=H518,"Weekly","No weekly")</x:f>
        <x:v>No weekly</x:v>
      </x:c>
      <x:c r="Y518" s="41" t="n">
        <x:f>IFERROR(I518-E518,"")</x:f>
        <x:v>-0.9231750000000005</x:v>
      </x:c>
      <x:c r="Z518" s="41" t="n">
        <x:f>IFERROR(J518-F518,"")</x:f>
        <x:v>1.7158960000000008</x:v>
      </x:c>
      <x:c r="AA518" s="41" t="n">
        <x:v>12015</x:v>
      </x:c>
      <x:c r="AB518" s="41" t="n">
        <x:v>5850</x:v>
      </x:c>
    </x:row>
    <x:row r="519">
      <x:c r="A519" s="41" t="str">
        <x:v>HYP_REFINE_AUTO002_TOPN_6_V1_DDGRID_LONGRUN_STRICT_STRICT_NEXT_OPEN_R12_C22_E75_CR40_REDD_DD7_SL18</x:v>
      </x:c>
      <x:c r="B519" s="41" t="str">
        <x:v>strict_longrun_ddgrid</x:v>
      </x:c>
      <x:c r="C519" s="41" t="str">
        <x:v>1999-01-04</x:v>
      </x:c>
      <x:c r="D519" s="41" t="str">
        <x:v>2026-05-22</x:v>
      </x:c>
      <x:c r="E519" s="41" t="n">
        <x:v>12.647554</x:v>
      </x:c>
      <x:c r="F519" s="41" t="n">
        <x:v>-32.107776</x:v>
      </x:c>
      <x:c r="G519" s="41" t="n">
        <x:v>2506.542396</x:v>
      </x:c>
      <x:c r="H519" s="41" t="n">
        <x:f>IFERROR(E519/ABS(F519),"")</x:f>
        <x:v>0.39390937572256635</x:v>
      </x:c>
      <x:c r="I519" s="41" t="n">
        <x:v>12.840864</x:v>
      </x:c>
      <x:c r="J519" s="41" t="n">
        <x:v>-29.60316</x:v>
      </x:c>
      <x:c r="K519" s="41" t="n">
        <x:v>2631.818355</x:v>
      </x:c>
      <x:c r="L519" s="41" t="n">
        <x:f>IFERROR(I519/ABS(J519),"")</x:f>
        <x:v>0.4337666654505803</x:v>
      </x:c>
      <x:c r="M519" s="41" t="n">
        <x:v>6.802475</x:v>
      </x:c>
      <x:c r="N519" s="41" t="n">
        <x:v>-56.473669</x:v>
      </x:c>
      <x:c r="O519" s="41" t="n">
        <x:v>506.057416</x:v>
      </x:c>
      <x:c r="P519" s="41" t="n">
        <x:f>IFERROR(M519/ABS(N519),"")</x:f>
        <x:v>0.12045392340278087</x:v>
      </x:c>
      <x:c r="Q519" s="41" t="str">
        <x:f>IF(L519&gt;=MAX(H519,P519),"Weekly",IF(H519&gt;=MAX(L519,P519),"No weekly","SPY"))</x:f>
        <x:v>Weekly</x:v>
      </x:c>
      <x:c r="R519" s="41" t="n">
        <x:f>IFERROR(L519-P519,"")</x:f>
        <x:v>0.3133127420477994</x:v>
      </x:c>
      <x:c r="S519" s="41" t="n">
        <x:f>IFERROR(H519-P519,"")</x:f>
        <x:v>0.27345545231978546</x:v>
      </x:c>
      <x:c r="T519" s="41" t="n">
        <x:f>IFERROR(I519-M519,"")</x:f>
        <x:v>6.038389</x:v>
      </x:c>
      <x:c r="U519" s="41" t="n">
        <x:f>IFERROR(E519-M519,"")</x:f>
        <x:v>5.845078999999999</x:v>
      </x:c>
      <x:c r="V519" s="41" t="str">
        <x:f>IF(AND(I519&gt;M519,J519&gt;N519),"Sí","No")</x:f>
        <x:v>Sí</x:v>
      </x:c>
      <x:c r="W519" s="41" t="str">
        <x:f>IF(AND(E519&gt;M519,F519&gt;N519),"Sí","No")</x:f>
        <x:v>Sí</x:v>
      </x:c>
      <x:c r="X519" s="41" t="str">
        <x:f>IF(L519&gt;=H519,"Weekly","No weekly")</x:f>
        <x:v>Weekly</x:v>
      </x:c>
      <x:c r="Y519" s="41" t="n">
        <x:f>IFERROR(I519-E519,"")</x:f>
        <x:v>0.19331000000000031</x:v>
      </x:c>
      <x:c r="Z519" s="41" t="n">
        <x:f>IFERROR(J519-F519,"")</x:f>
        <x:v>2.504616000000002</x:v>
      </x:c>
      <x:c r="AA519" s="41" t="n">
        <x:v>11875</x:v>
      </x:c>
      <x:c r="AB519" s="41" t="n">
        <x:v>5911</x:v>
      </x:c>
    </x:row>
    <x:row r="520">
      <x:c r="A520" s="41" t="str">
        <x:v>HYP_REFINE_AUTO002_TOPN_6_V1_DDGRID_LONGRUN_STRICT_STRICT_NEXT_OPEN_R12_C23_E75_CR40_REDD_DD7_SL20</x:v>
      </x:c>
      <x:c r="B520" s="41" t="str">
        <x:v>strict_longrun_ddgrid</x:v>
      </x:c>
      <x:c r="C520" s="41" t="str">
        <x:v>1999-01-04</x:v>
      </x:c>
      <x:c r="D520" s="41" t="str">
        <x:v>2026-05-22</x:v>
      </x:c>
      <x:c r="E520" s="41" t="n">
        <x:v>13.24968</x:v>
      </x:c>
      <x:c r="F520" s="41" t="n">
        <x:v>-34.746829</x:v>
      </x:c>
      <x:c r="G520" s="41" t="n">
        <x:v>2916.143111</x:v>
      </x:c>
      <x:c r="H520" s="41" t="n">
        <x:f>IFERROR(E520/ABS(F520),"")</x:f>
        <x:v>0.38132055158184364</x:v>
      </x:c>
      <x:c r="I520" s="41" t="n">
        <x:v>12.75267</x:v>
      </x:c>
      <x:c r="J520" s="41" t="n">
        <x:v>-31.936362</x:v>
      </x:c>
      <x:c r="K520" s="41" t="n">
        <x:v>2573.96056</x:v>
      </x:c>
      <x:c r="L520" s="41" t="n">
        <x:f>IFERROR(I520/ABS(J520),"")</x:f>
        <x:v>0.39931505034919135</x:v>
      </x:c>
      <x:c r="M520" s="41" t="n">
        <x:v>6.802475</x:v>
      </x:c>
      <x:c r="N520" s="41" t="n">
        <x:v>-56.473669</x:v>
      </x:c>
      <x:c r="O520" s="41" t="n">
        <x:v>506.057416</x:v>
      </x:c>
      <x:c r="P520" s="41" t="n">
        <x:f>IFERROR(M520/ABS(N520),"")</x:f>
        <x:v>0.12045392340278087</x:v>
      </x:c>
      <x:c r="Q520" s="41" t="str">
        <x:f>IF(L520&gt;=MAX(H520,P520),"Weekly",IF(H520&gt;=MAX(L520,P520),"No weekly","SPY"))</x:f>
        <x:v>Weekly</x:v>
      </x:c>
      <x:c r="R520" s="41" t="n">
        <x:f>IFERROR(L520-P520,"")</x:f>
        <x:v>0.27886112694641046</x:v>
      </x:c>
      <x:c r="S520" s="41" t="n">
        <x:f>IFERROR(H520-P520,"")</x:f>
        <x:v>0.26086662817906275</x:v>
      </x:c>
      <x:c r="T520" s="41" t="n">
        <x:f>IFERROR(I520-M520,"")</x:f>
        <x:v>5.950195</x:v>
      </x:c>
      <x:c r="U520" s="41" t="n">
        <x:f>IFERROR(E520-M520,"")</x:f>
        <x:v>6.447204999999999</x:v>
      </x:c>
      <x:c r="V520" s="41" t="str">
        <x:f>IF(AND(I520&gt;M520,J520&gt;N520),"Sí","No")</x:f>
        <x:v>Sí</x:v>
      </x:c>
      <x:c r="W520" s="41" t="str">
        <x:f>IF(AND(E520&gt;M520,F520&gt;N520),"Sí","No")</x:f>
        <x:v>Sí</x:v>
      </x:c>
      <x:c r="X520" s="41" t="str">
        <x:f>IF(L520&gt;=H520,"Weekly","No weekly")</x:f>
        <x:v>Weekly</x:v>
      </x:c>
      <x:c r="Y520" s="41" t="n">
        <x:f>IFERROR(I520-E520,"")</x:f>
        <x:v>-0.4970099999999995</x:v>
      </x:c>
      <x:c r="Z520" s="41" t="n">
        <x:f>IFERROR(J520-F520,"")</x:f>
        <x:v>2.810466999999999</x:v>
      </x:c>
      <x:c r="AA520" s="41" t="n">
        <x:v>11425</x:v>
      </x:c>
      <x:c r="AB520" s="41" t="n">
        <x:v>5698</x:v>
      </x:c>
    </x:row>
    <x:row r="521">
      <x:c r="A521" s="41" t="str">
        <x:v>HYP_REFINE_AUTO002_TOPN_6_V1_DDGRID_LONG_R10_C20_E75_CR40_REDD_RECOVERED_DD8_SL20</x:v>
      </x:c>
      <x:c r="B521" s="41" t="str">
        <x:v>dd_guard_grid</x:v>
      </x:c>
      <x:c r="C521" s="41" t="str">
        <x:v>1999-01-04</x:v>
      </x:c>
      <x:c r="D521" s="41" t="str">
        <x:v>2026-05-22</x:v>
      </x:c>
      <x:c r="E521" s="41" t="n">
        <x:v>11.869709</x:v>
      </x:c>
      <x:c r="F521" s="41" t="n">
        <x:v>-31.728289</x:v>
      </x:c>
      <x:c r="G521" s="41" t="n">
        <x:v>2056.134336</x:v>
      </x:c>
      <x:c r="H521" s="41" t="n">
        <x:f>IFERROR(E521/ABS(F521),"")</x:f>
        <x:v>0.37410491943010227</x:v>
      </x:c>
      <x:c r="I521" s="41" t="n">
        <x:v>12.571631</x:v>
      </x:c>
      <x:c r="J521" s="41" t="n">
        <x:v>-28.480174</x:v>
      </x:c>
      <x:c r="K521" s="41" t="n">
        <x:v>2458.86984</x:v>
      </x:c>
      <x:c r="L521" s="41" t="n">
        <x:f>IFERROR(I521/ABS(J521),"")</x:f>
        <x:v>0.4414169309499303</x:v>
      </x:c>
      <x:c r="M521" s="41" t="n">
        <x:v>6.802475</x:v>
      </x:c>
      <x:c r="N521" s="41" t="n">
        <x:v>-56.473669</x:v>
      </x:c>
      <x:c r="O521" s="41" t="n">
        <x:v>506.057416</x:v>
      </x:c>
      <x:c r="P521" s="41" t="n">
        <x:f>IFERROR(M521/ABS(N521),"")</x:f>
        <x:v>0.12045392340278087</x:v>
      </x:c>
      <x:c r="Q521" s="41" t="str">
        <x:f>IF(L521&gt;=MAX(H521,P521),"Weekly",IF(H521&gt;=MAX(L521,P521),"No weekly","SPY"))</x:f>
        <x:v>Weekly</x:v>
      </x:c>
      <x:c r="R521" s="41" t="n">
        <x:f>IFERROR(L521-P521,"")</x:f>
        <x:v>0.3209630075471494</x:v>
      </x:c>
      <x:c r="S521" s="41" t="n">
        <x:f>IFERROR(H521-P521,"")</x:f>
        <x:v>0.2536509960273214</x:v>
      </x:c>
      <x:c r="T521" s="41" t="n">
        <x:f>IFERROR(I521-M521,"")</x:f>
        <x:v>5.769156</x:v>
      </x:c>
      <x:c r="U521" s="41" t="n">
        <x:f>IFERROR(E521-M521,"")</x:f>
        <x:v>5.067234</x:v>
      </x:c>
      <x:c r="V521" s="41" t="str">
        <x:f>IF(AND(I521&gt;M521,J521&gt;N521),"Sí","No")</x:f>
        <x:v>Sí</x:v>
      </x:c>
      <x:c r="W521" s="41" t="str">
        <x:f>IF(AND(E521&gt;M521,F521&gt;N521),"Sí","No")</x:f>
        <x:v>Sí</x:v>
      </x:c>
      <x:c r="X521" s="41" t="str">
        <x:f>IF(L521&gt;=H521,"Weekly","No weekly")</x:f>
        <x:v>Weekly</x:v>
      </x:c>
      <x:c r="Y521" s="41" t="n">
        <x:f>IFERROR(I521-E521,"")</x:f>
        <x:v>0.7019219999999997</x:v>
      </x:c>
      <x:c r="Z521" s="41" t="n">
        <x:f>IFERROR(J521-F521,"")</x:f>
        <x:v>3.2481149999999985</x:v>
      </x:c>
      <x:c r="AA521" s="41" t="n">
        <x:v>12063</x:v>
      </x:c>
      <x:c r="AB521" s="41" t="n">
        <x:v>5892</x:v>
      </x:c>
    </x:row>
    <x:row r="522">
      <x:c r="A522" s="41" t="str">
        <x:v>HYP_REFINE_AUTO002_TOPN_6_V1_DDGRID_LONG_R10_C21_E75_CR40_REDD_RECOVERED_DD8_SL20</x:v>
      </x:c>
      <x:c r="B522" s="41" t="str">
        <x:v>dd_guard_grid</x:v>
      </x:c>
      <x:c r="C522" s="41" t="str">
        <x:v>1999-01-04</x:v>
      </x:c>
      <x:c r="D522" s="41" t="str">
        <x:v>2026-05-22</x:v>
      </x:c>
      <x:c r="E522" s="41" t="n">
        <x:v>12.127225</x:v>
      </x:c>
      <x:c r="F522" s="41" t="n">
        <x:v>-32.545222</x:v>
      </x:c>
      <x:c r="G522" s="41" t="n">
        <x:v>2196.227849</x:v>
      </x:c>
      <x:c r="H522" s="41" t="n">
        <x:f>IFERROR(E522/ABS(F522),"")</x:f>
        <x:v>0.3726268943564127</x:v>
      </x:c>
      <x:c r="I522" s="41" t="n">
        <x:v>13.278082</x:v>
      </x:c>
      <x:c r="J522" s="41" t="n">
        <x:v>-29.110571</x:v>
      </x:c>
      <x:c r="K522" s="41" t="n">
        <x:v>2936.921978</x:v>
      </x:c>
      <x:c r="L522" s="41" t="n">
        <x:f>IFERROR(I522/ABS(J522),"")</x:f>
        <x:v>0.4561257833108117</x:v>
      </x:c>
      <x:c r="M522" s="41" t="n">
        <x:v>6.802475</x:v>
      </x:c>
      <x:c r="N522" s="41" t="n">
        <x:v>-56.473669</x:v>
      </x:c>
      <x:c r="O522" s="41" t="n">
        <x:v>506.057416</x:v>
      </x:c>
      <x:c r="P522" s="41" t="n">
        <x:f>IFERROR(M522/ABS(N522),"")</x:f>
        <x:v>0.12045392340278087</x:v>
      </x:c>
      <x:c r="Q522" s="41" t="str">
        <x:f>IF(L522&gt;=MAX(H522,P522),"Weekly",IF(H522&gt;=MAX(L522,P522),"No weekly","SPY"))</x:f>
        <x:v>Weekly</x:v>
      </x:c>
      <x:c r="R522" s="41" t="n">
        <x:f>IFERROR(L522-P522,"")</x:f>
        <x:v>0.33567185990803083</x:v>
      </x:c>
      <x:c r="S522" s="41" t="n">
        <x:f>IFERROR(H522-P522,"")</x:f>
        <x:v>0.25217297095363184</x:v>
      </x:c>
      <x:c r="T522" s="41" t="n">
        <x:f>IFERROR(I522-M522,"")</x:f>
        <x:v>6.475606999999999</x:v>
      </x:c>
      <x:c r="U522" s="41" t="n">
        <x:f>IFERROR(E522-M522,"")</x:f>
        <x:v>5.324749999999999</x:v>
      </x:c>
      <x:c r="V522" s="41" t="str">
        <x:f>IF(AND(I522&gt;M522,J522&gt;N522),"Sí","No")</x:f>
        <x:v>Sí</x:v>
      </x:c>
      <x:c r="W522" s="41" t="str">
        <x:f>IF(AND(E522&gt;M522,F522&gt;N522),"Sí","No")</x:f>
        <x:v>Sí</x:v>
      </x:c>
      <x:c r="X522" s="41" t="str">
        <x:f>IF(L522&gt;=H522,"Weekly","No weekly")</x:f>
        <x:v>Weekly</x:v>
      </x:c>
      <x:c r="Y522" s="41" t="n">
        <x:f>IFERROR(I522-E522,"")</x:f>
        <x:v>1.1508570000000002</x:v>
      </x:c>
      <x:c r="Z522" s="41" t="n">
        <x:f>IFERROR(J522-F522,"")</x:f>
        <x:v>3.4346510000000023</x:v>
      </x:c>
      <x:c r="AA522" s="41" t="n">
        <x:v>12152</x:v>
      </x:c>
      <x:c r="AB522" s="41" t="n">
        <x:v>5951</x:v>
      </x:c>
    </x:row>
    <x:row r="523">
      <x:c r="A523" s="41" t="str">
        <x:v>HYP_REFINE_AUTO002_TOPN_6_V1_DDGRID_LONG_R10_C21_E75_CR40_REDD_RECOVERED_DD8_SL22</x:v>
      </x:c>
      <x:c r="B523" s="41" t="str">
        <x:v>dd_guard_grid</x:v>
      </x:c>
      <x:c r="C523" s="41" t="str">
        <x:v>1999-01-04</x:v>
      </x:c>
      <x:c r="D523" s="41" t="str">
        <x:v>2026-05-22</x:v>
      </x:c>
      <x:c r="E523" s="41" t="n">
        <x:v>11.309459</x:v>
      </x:c>
      <x:c r="F523" s="41" t="n">
        <x:v>-33.791205</x:v>
      </x:c>
      <x:c r="G523" s="41" t="n">
        <x:v>1779.224508</x:v>
      </x:c>
      <x:c r="H523" s="41" t="n">
        <x:f>IFERROR(E523/ABS(F523),"")</x:f>
        <x:v>0.3346864664932784</x:v>
      </x:c>
      <x:c r="I523" s="41" t="n">
        <x:v>11.998665</x:v>
      </x:c>
      <x:c r="J523" s="41" t="n">
        <x:v>-28.995952</x:v>
      </x:c>
      <x:c r="K523" s="41" t="n">
        <x:v>2125.2269</x:v>
      </x:c>
      <x:c r="L523" s="41" t="n">
        <x:f>IFERROR(I523/ABS(J523),"")</x:f>
        <x:v>0.41380483041219</x:v>
      </x:c>
      <x:c r="M523" s="41" t="n">
        <x:v>6.802475</x:v>
      </x:c>
      <x:c r="N523" s="41" t="n">
        <x:v>-56.473669</x:v>
      </x:c>
      <x:c r="O523" s="41" t="n">
        <x:v>506.057416</x:v>
      </x:c>
      <x:c r="P523" s="41" t="n">
        <x:f>IFERROR(M523/ABS(N523),"")</x:f>
        <x:v>0.12045392340278087</x:v>
      </x:c>
      <x:c r="Q523" s="41" t="str">
        <x:f>IF(L523&gt;=MAX(H523,P523),"Weekly",IF(H523&gt;=MAX(L523,P523),"No weekly","SPY"))</x:f>
        <x:v>Weekly</x:v>
      </x:c>
      <x:c r="R523" s="41" t="n">
        <x:f>IFERROR(L523-P523,"")</x:f>
        <x:v>0.29335090700940913</x:v>
      </x:c>
      <x:c r="S523" s="41" t="n">
        <x:f>IFERROR(H523-P523,"")</x:f>
        <x:v>0.2142325430904975</x:v>
      </x:c>
      <x:c r="T523" s="41" t="n">
        <x:f>IFERROR(I523-M523,"")</x:f>
        <x:v>5.1961900000000005</x:v>
      </x:c>
      <x:c r="U523" s="41" t="n">
        <x:f>IFERROR(E523-M523,"")</x:f>
        <x:v>4.506984</x:v>
      </x:c>
      <x:c r="V523" s="41" t="str">
        <x:f>IF(AND(I523&gt;M523,J523&gt;N523),"Sí","No")</x:f>
        <x:v>Sí</x:v>
      </x:c>
      <x:c r="W523" s="41" t="str">
        <x:f>IF(AND(E523&gt;M523,F523&gt;N523),"Sí","No")</x:f>
        <x:v>Sí</x:v>
      </x:c>
      <x:c r="X523" s="41" t="str">
        <x:f>IF(L523&gt;=H523,"Weekly","No weekly")</x:f>
        <x:v>Weekly</x:v>
      </x:c>
      <x:c r="Y523" s="41" t="n">
        <x:f>IFERROR(I523-E523,"")</x:f>
        <x:v>0.6892060000000004</x:v>
      </x:c>
      <x:c r="Z523" s="41" t="n">
        <x:f>IFERROR(J523-F523,"")</x:f>
        <x:v>4.795252999999999</x:v>
      </x:c>
      <x:c r="AA523" s="41" t="n">
        <x:v>12533</x:v>
      </x:c>
      <x:c r="AB523" s="41" t="n">
        <x:v>5890</x:v>
      </x:c>
    </x:row>
    <x:row r="524">
      <x:c r="A524" s="41" t="str">
        <x:v>HYP_REFINE_AUTO002_TOPN_6_V1_DDGRID_LONG_R10_C22_E72_CR40_REDD_RECOVERED_DD8_SL20</x:v>
      </x:c>
      <x:c r="B524" s="41" t="str">
        <x:v>dd_guard_grid</x:v>
      </x:c>
      <x:c r="C524" s="41" t="str">
        <x:v>1999-01-04</x:v>
      </x:c>
      <x:c r="D524" s="41" t="str">
        <x:v>2026-05-22</x:v>
      </x:c>
      <x:c r="E524" s="41" t="n">
        <x:v>12.419922</x:v>
      </x:c>
      <x:c r="F524" s="41" t="n">
        <x:v>-32.203285</x:v>
      </x:c>
      <x:c r="G524" s="41" t="n">
        <x:v>2366.114037</x:v>
      </x:c>
      <x:c r="H524" s="41" t="n">
        <x:f>IFERROR(E524/ABS(F524),"")</x:f>
        <x:v>0.3856725175708006</x:v>
      </x:c>
      <x:c r="I524" s="41" t="n">
        <x:v>13.253088</x:v>
      </x:c>
      <x:c r="J524" s="41" t="n">
        <x:v>-29.006813</x:v>
      </x:c>
      <x:c r="K524" s="41" t="n">
        <x:v>2918.629205</x:v>
      </x:c>
      <x:c r="L524" s="41" t="n">
        <x:f>IFERROR(I524/ABS(J524),"")</x:f>
        <x:v>0.45689569550436304</x:v>
      </x:c>
      <x:c r="M524" s="41" t="n">
        <x:v>6.802475</x:v>
      </x:c>
      <x:c r="N524" s="41" t="n">
        <x:v>-56.473669</x:v>
      </x:c>
      <x:c r="O524" s="41" t="n">
        <x:v>506.057416</x:v>
      </x:c>
      <x:c r="P524" s="41" t="n">
        <x:f>IFERROR(M524/ABS(N524),"")</x:f>
        <x:v>0.12045392340278087</x:v>
      </x:c>
      <x:c r="Q524" s="41" t="str">
        <x:f>IF(L524&gt;=MAX(H524,P524),"Weekly",IF(H524&gt;=MAX(L524,P524),"No weekly","SPY"))</x:f>
        <x:v>Weekly</x:v>
      </x:c>
      <x:c r="R524" s="41" t="n">
        <x:f>IFERROR(L524-P524,"")</x:f>
        <x:v>0.33644177210158216</x:v>
      </x:c>
      <x:c r="S524" s="41" t="n">
        <x:f>IFERROR(H524-P524,"")</x:f>
        <x:v>0.26521859416801974</x:v>
      </x:c>
      <x:c r="T524" s="41" t="n">
        <x:f>IFERROR(I524-M524,"")</x:f>
        <x:v>6.450613</x:v>
      </x:c>
      <x:c r="U524" s="41" t="n">
        <x:f>IFERROR(E524-M524,"")</x:f>
        <x:v>5.617446999999999</x:v>
      </x:c>
      <x:c r="V524" s="41" t="str">
        <x:f>IF(AND(I524&gt;M524,J524&gt;N524),"Sí","No")</x:f>
        <x:v>Sí</x:v>
      </x:c>
      <x:c r="W524" s="41" t="str">
        <x:f>IF(AND(E524&gt;M524,F524&gt;N524),"Sí","No")</x:f>
        <x:v>Sí</x:v>
      </x:c>
      <x:c r="X524" s="41" t="str">
        <x:f>IF(L524&gt;=H524,"Weekly","No weekly")</x:f>
        <x:v>Weekly</x:v>
      </x:c>
      <x:c r="Y524" s="41" t="n">
        <x:f>IFERROR(I524-E524,"")</x:f>
        <x:v>0.8331660000000003</x:v>
      </x:c>
      <x:c r="Z524" s="41" t="n">
        <x:f>IFERROR(J524-F524,"")</x:f>
        <x:v>3.196472</x:v>
      </x:c>
      <x:c r="AA524" s="41" t="n">
        <x:v>12010</x:v>
      </x:c>
      <x:c r="AB524" s="41" t="n">
        <x:v>5833</x:v>
      </x:c>
    </x:row>
    <x:row r="525">
      <x:c r="A525" s="41" t="str">
        <x:v>HYP_REFINE_AUTO002_TOPN_6_V1_DDGRID_LONG_R10_C22_E75_CR36_REDD_RECOVERED_DD8_SL20</x:v>
      </x:c>
      <x:c r="B525" s="41" t="str">
        <x:v>dd_guard_grid</x:v>
      </x:c>
      <x:c r="C525" s="41" t="str">
        <x:v>1999-01-04</x:v>
      </x:c>
      <x:c r="D525" s="41" t="str">
        <x:v>2026-05-22</x:v>
      </x:c>
      <x:c r="E525" s="41" t="n">
        <x:v>12.461939</x:v>
      </x:c>
      <x:c r="F525" s="41" t="n">
        <x:v>-32.035625</x:v>
      </x:c>
      <x:c r="G525" s="41" t="n">
        <x:v>2391.47348</x:v>
      </x:c>
      <x:c r="H525" s="41" t="n">
        <x:f>IFERROR(E525/ABS(F525),"")</x:f>
        <x:v>0.3890025245332344</x:v>
      </x:c>
      <x:c r="I525" s="41" t="n">
        <x:v>12.184774</x:v>
      </x:c>
      <x:c r="J525" s="41" t="n">
        <x:v>-29.110166</x:v>
      </x:c>
      <x:c r="K525" s="41" t="n">
        <x:v>2228.713796</x:v>
      </x:c>
      <x:c r="L525" s="41" t="n">
        <x:f>IFERROR(I525/ABS(J525),"")</x:f>
        <x:v>0.4185745282249507</x:v>
      </x:c>
      <x:c r="M525" s="41" t="n">
        <x:v>6.802475</x:v>
      </x:c>
      <x:c r="N525" s="41" t="n">
        <x:v>-56.473669</x:v>
      </x:c>
      <x:c r="O525" s="41" t="n">
        <x:v>506.057416</x:v>
      </x:c>
      <x:c r="P525" s="41" t="n">
        <x:f>IFERROR(M525/ABS(N525),"")</x:f>
        <x:v>0.12045392340278087</x:v>
      </x:c>
      <x:c r="Q525" s="41" t="str">
        <x:f>IF(L525&gt;=MAX(H525,P525),"Weekly",IF(H525&gt;=MAX(L525,P525),"No weekly","SPY"))</x:f>
        <x:v>Weekly</x:v>
      </x:c>
      <x:c r="R525" s="41" t="n">
        <x:f>IFERROR(L525-P525,"")</x:f>
        <x:v>0.29812060482216984</x:v>
      </x:c>
      <x:c r="S525" s="41" t="n">
        <x:f>IFERROR(H525-P525,"")</x:f>
        <x:v>0.26854860113045353</x:v>
      </x:c>
      <x:c r="T525" s="41" t="n">
        <x:f>IFERROR(I525-M525,"")</x:f>
        <x:v>5.382299000000001</x:v>
      </x:c>
      <x:c r="U525" s="41" t="n">
        <x:f>IFERROR(E525-M525,"")</x:f>
        <x:v>5.659463999999999</x:v>
      </x:c>
      <x:c r="V525" s="41" t="str">
        <x:f>IF(AND(I525&gt;M525,J525&gt;N525),"Sí","No")</x:f>
        <x:v>Sí</x:v>
      </x:c>
      <x:c r="W525" s="41" t="str">
        <x:f>IF(AND(E525&gt;M525,F525&gt;N525),"Sí","No")</x:f>
        <x:v>Sí</x:v>
      </x:c>
      <x:c r="X525" s="41" t="str">
        <x:f>IF(L525&gt;=H525,"Weekly","No weekly")</x:f>
        <x:v>Weekly</x:v>
      </x:c>
      <x:c r="Y525" s="41" t="n">
        <x:f>IFERROR(I525-E525,"")</x:f>
        <x:v>-0.27716499999999833</x:v>
      </x:c>
      <x:c r="Z525" s="41" t="n">
        <x:f>IFERROR(J525-F525,"")</x:f>
        <x:v>2.9254590000000036</x:v>
      </x:c>
      <x:c r="AA525" s="41" t="n">
        <x:v>12251</x:v>
      </x:c>
      <x:c r="AB525" s="41" t="n">
        <x:v>6014</x:v>
      </x:c>
    </x:row>
    <x:row r="526">
      <x:c r="A526" s="41" t="str">
        <x:v>HYP_REFINE_AUTO002_TOPN_6_V1_DDGRID_LONG_R10_C22_E75_CR40_REDD_RECOVERED_DD10_SL20</x:v>
      </x:c>
      <x:c r="B526" s="41" t="str">
        <x:v>dd_guard_grid</x:v>
      </x:c>
      <x:c r="C526" s="41" t="str">
        <x:v>1999-01-04</x:v>
      </x:c>
      <x:c r="D526" s="41" t="str">
        <x:v>2026-05-22</x:v>
      </x:c>
      <x:c r="E526" s="41" t="n">
        <x:v>13.85197</x:v>
      </x:c>
      <x:c r="F526" s="41" t="n">
        <x:v>-32.641176</x:v>
      </x:c>
      <x:c r="G526" s="41" t="n">
        <x:v>3387.548019</x:v>
      </x:c>
      <x:c r="H526" s="41" t="n">
        <x:f>IFERROR(E526/ABS(F526),"")</x:f>
        <x:v>0.42437104594515834</x:v>
      </x:c>
      <x:c r="I526" s="41" t="n">
        <x:v>11.842303</x:v>
      </x:c>
      <x:c r="J526" s="41" t="n">
        <x:v>-29.467181</x:v>
      </x:c>
      <x:c r="K526" s="41" t="n">
        <x:v>2041.718961</x:v>
      </x:c>
      <x:c r="L526" s="41" t="n">
        <x:f>IFERROR(I526/ABS(J526),"")</x:f>
        <x:v>0.4018810961252113</x:v>
      </x:c>
      <x:c r="M526" s="41" t="n">
        <x:v>6.802475</x:v>
      </x:c>
      <x:c r="N526" s="41" t="n">
        <x:v>-56.473669</x:v>
      </x:c>
      <x:c r="O526" s="41" t="n">
        <x:v>506.057416</x:v>
      </x:c>
      <x:c r="P526" s="41" t="n">
        <x:f>IFERROR(M526/ABS(N526),"")</x:f>
        <x:v>0.12045392340278087</x:v>
      </x:c>
      <x:c r="Q526" s="41" t="str">
        <x:f>IF(L526&gt;=MAX(H526,P526),"Weekly",IF(H526&gt;=MAX(L526,P526),"No weekly","SPY"))</x:f>
        <x:v>No weekly</x:v>
      </x:c>
      <x:c r="R526" s="41" t="n">
        <x:f>IFERROR(L526-P526,"")</x:f>
        <x:v>0.2814271727224304</x:v>
      </x:c>
      <x:c r="S526" s="41" t="n">
        <x:f>IFERROR(H526-P526,"")</x:f>
        <x:v>0.30391712254237746</x:v>
      </x:c>
      <x:c r="T526" s="41" t="n">
        <x:f>IFERROR(I526-M526,"")</x:f>
        <x:v>5.039827999999999</x:v>
      </x:c>
      <x:c r="U526" s="41" t="n">
        <x:f>IFERROR(E526-M526,"")</x:f>
        <x:v>7.049494999999999</x:v>
      </x:c>
      <x:c r="V526" s="41" t="str">
        <x:f>IF(AND(I526&gt;M526,J526&gt;N526),"Sí","No")</x:f>
        <x:v>Sí</x:v>
      </x:c>
      <x:c r="W526" s="41" t="str">
        <x:f>IF(AND(E526&gt;M526,F526&gt;N526),"Sí","No")</x:f>
        <x:v>Sí</x:v>
      </x:c>
      <x:c r="X526" s="41" t="str">
        <x:f>IF(L526&gt;=H526,"Weekly","No weekly")</x:f>
        <x:v>No weekly</x:v>
      </x:c>
      <x:c r="Y526" s="41" t="n">
        <x:f>IFERROR(I526-E526,"")</x:f>
        <x:v>-2.0096670000000003</x:v>
      </x:c>
      <x:c r="Z526" s="41" t="n">
        <x:f>IFERROR(J526-F526,"")</x:f>
        <x:v>3.1739950000000015</x:v>
      </x:c>
      <x:c r="AA526" s="41" t="n">
        <x:v>11811</x:v>
      </x:c>
      <x:c r="AB526" s="41" t="n">
        <x:v>5315</x:v>
      </x:c>
    </x:row>
    <x:row r="527">
      <x:c r="A527" s="41" t="str">
        <x:v>HYP_REFINE_AUTO002_TOPN_6_V1_DDGRID_LONG_R10_C22_E75_CR40_REDD_RECOVERED_DD6_SL20</x:v>
      </x:c>
      <x:c r="B527" s="41" t="str">
        <x:v>dd_guard_grid</x:v>
      </x:c>
      <x:c r="C527" s="41" t="str">
        <x:v>1999-01-04</x:v>
      </x:c>
      <x:c r="D527" s="41" t="str">
        <x:v>2026-05-22</x:v>
      </x:c>
      <x:c r="E527" s="41" t="n">
        <x:v>12.599024</x:v>
      </x:c>
      <x:c r="F527" s="41" t="n">
        <x:v>-32.641176</x:v>
      </x:c>
      <x:c r="G527" s="41" t="n">
        <x:v>2475.972245</x:v>
      </x:c>
      <x:c r="H527" s="41" t="n">
        <x:f>IFERROR(E527/ABS(F527),"")</x:f>
        <x:v>0.3859856029696969</x:v>
      </x:c>
      <x:c r="I527" s="41" t="n">
        <x:v>11.953409</x:v>
      </x:c>
      <x:c r="J527" s="41" t="n">
        <x:v>-29.435035</x:v>
      </x:c>
      <x:c r="K527" s="41" t="n">
        <x:v>2100.739696</x:v>
      </x:c>
      <x:c r="L527" s="41" t="n">
        <x:f>IFERROR(I527/ABS(J527),"")</x:f>
        <x:v>0.4060946080070909</x:v>
      </x:c>
      <x:c r="M527" s="41" t="n">
        <x:v>6.802475</x:v>
      </x:c>
      <x:c r="N527" s="41" t="n">
        <x:v>-56.473669</x:v>
      </x:c>
      <x:c r="O527" s="41" t="n">
        <x:v>506.057416</x:v>
      </x:c>
      <x:c r="P527" s="41" t="n">
        <x:f>IFERROR(M527/ABS(N527),"")</x:f>
        <x:v>0.12045392340278087</x:v>
      </x:c>
      <x:c r="Q527" s="41" t="str">
        <x:f>IF(L527&gt;=MAX(H527,P527),"Weekly",IF(H527&gt;=MAX(L527,P527),"No weekly","SPY"))</x:f>
        <x:v>Weekly</x:v>
      </x:c>
      <x:c r="R527" s="41" t="n">
        <x:f>IFERROR(L527-P527,"")</x:f>
        <x:v>0.28564068460431</x:v>
      </x:c>
      <x:c r="S527" s="41" t="n">
        <x:f>IFERROR(H527-P527,"")</x:f>
        <x:v>0.26553167956691603</x:v>
      </x:c>
      <x:c r="T527" s="41" t="n">
        <x:f>IFERROR(I527-M527,"")</x:f>
        <x:v>5.150934</x:v>
      </x:c>
      <x:c r="U527" s="41" t="n">
        <x:f>IFERROR(E527-M527,"")</x:f>
        <x:v>5.796549</x:v>
      </x:c>
      <x:c r="V527" s="41" t="str">
        <x:f>IF(AND(I527&gt;M527,J527&gt;N527),"Sí","No")</x:f>
        <x:v>Sí</x:v>
      </x:c>
      <x:c r="W527" s="41" t="str">
        <x:f>IF(AND(E527&gt;M527,F527&gt;N527),"Sí","No")</x:f>
        <x:v>Sí</x:v>
      </x:c>
      <x:c r="X527" s="41" t="str">
        <x:f>IF(L527&gt;=H527,"Weekly","No weekly")</x:f>
        <x:v>Weekly</x:v>
      </x:c>
      <x:c r="Y527" s="41" t="n">
        <x:f>IFERROR(I527-E527,"")</x:f>
        <x:v>-0.6456149999999994</x:v>
      </x:c>
      <x:c r="Z527" s="41" t="n">
        <x:f>IFERROR(J527-F527,"")</x:f>
        <x:v>3.2061410000000024</x:v>
      </x:c>
      <x:c r="AA527" s="41" t="n">
        <x:v>12629</x:v>
      </x:c>
      <x:c r="AB527" s="41" t="n">
        <x:v>6180</x:v>
      </x:c>
    </x:row>
    <x:row r="528">
      <x:c r="A528" s="41" t="str">
        <x:v>HYP_REFINE_AUTO002_TOPN_6_V1_DDGRID_LONG_R10_C22_E75_CR40_REDD_RECOVERED_DD7_SL18</x:v>
      </x:c>
      <x:c r="B528" s="41" t="str">
        <x:v>dd_guard_grid</x:v>
      </x:c>
      <x:c r="C528" s="41" t="str">
        <x:v>1999-01-04</x:v>
      </x:c>
      <x:c r="D528" s="41" t="str">
        <x:v>2026-05-22</x:v>
      </x:c>
      <x:c r="E528" s="41" t="n">
        <x:v>12.099653</x:v>
      </x:c>
      <x:c r="F528" s="41" t="n">
        <x:v>-31.56548</x:v>
      </x:c>
      <x:c r="G528" s="41" t="n">
        <x:v>2180.819149</x:v>
      </x:c>
      <x:c r="H528" s="41" t="n">
        <x:f>IFERROR(E528/ABS(F528),"")</x:f>
        <x:v>0.383319151174004</x:v>
      </x:c>
      <x:c r="I528" s="41" t="n">
        <x:v>11.544886</x:v>
      </x:c>
      <x:c r="J528" s="41" t="n">
        <x:v>-29.670864</x:v>
      </x:c>
      <x:c r="K528" s="41" t="n">
        <x:v>1891.136429</x:v>
      </x:c>
      <x:c r="L528" s="41" t="n">
        <x:f>IFERROR(I528/ABS(J528),"")</x:f>
        <x:v>0.38909840980700794</x:v>
      </x:c>
      <x:c r="M528" s="41" t="n">
        <x:v>6.802475</x:v>
      </x:c>
      <x:c r="N528" s="41" t="n">
        <x:v>-56.473669</x:v>
      </x:c>
      <x:c r="O528" s="41" t="n">
        <x:v>506.057416</x:v>
      </x:c>
      <x:c r="P528" s="41" t="n">
        <x:f>IFERROR(M528/ABS(N528),"")</x:f>
        <x:v>0.12045392340278087</x:v>
      </x:c>
      <x:c r="Q528" s="41" t="str">
        <x:f>IF(L528&gt;=MAX(H528,P528),"Weekly",IF(H528&gt;=MAX(L528,P528),"No weekly","SPY"))</x:f>
        <x:v>Weekly</x:v>
      </x:c>
      <x:c r="R528" s="41" t="n">
        <x:f>IFERROR(L528-P528,"")</x:f>
        <x:v>0.26864448640422706</x:v>
      </x:c>
      <x:c r="S528" s="41" t="n">
        <x:f>IFERROR(H528-P528,"")</x:f>
        <x:v>0.2628652277712231</x:v>
      </x:c>
      <x:c r="T528" s="41" t="n">
        <x:f>IFERROR(I528-M528,"")</x:f>
        <x:v>4.742411</x:v>
      </x:c>
      <x:c r="U528" s="41" t="n">
        <x:f>IFERROR(E528-M528,"")</x:f>
        <x:v>5.297178</x:v>
      </x:c>
      <x:c r="V528" s="41" t="str">
        <x:f>IF(AND(I528&gt;M528,J528&gt;N528),"Sí","No")</x:f>
        <x:v>Sí</x:v>
      </x:c>
      <x:c r="W528" s="41" t="str">
        <x:f>IF(AND(E528&gt;M528,F528&gt;N528),"Sí","No")</x:f>
        <x:v>Sí</x:v>
      </x:c>
      <x:c r="X528" s="41" t="str">
        <x:f>IF(L528&gt;=H528,"Weekly","No weekly")</x:f>
        <x:v>Weekly</x:v>
      </x:c>
      <x:c r="Y528" s="41" t="n">
        <x:f>IFERROR(I528-E528,"")</x:f>
        <x:v>-0.554767</x:v>
      </x:c>
      <x:c r="Z528" s="41" t="n">
        <x:f>IFERROR(J528-F528,"")</x:f>
        <x:v>1.8946159999999992</x:v>
      </x:c>
      <x:c r="AA528" s="41" t="n">
        <x:v>12531</x:v>
      </x:c>
      <x:c r="AB528" s="41" t="n">
        <x:v>5895</x:v>
      </x:c>
    </x:row>
    <x:row r="529">
      <x:c r="A529" s="41" t="str">
        <x:v>HYP_REFINE_AUTO002_TOPN_6_V1_DDGRID_LONG_R10_C22_E75_CR40_REDD_RECOVERED_DD7_SL20</x:v>
      </x:c>
      <x:c r="B529" s="41" t="str">
        <x:v>dd_guard_grid</x:v>
      </x:c>
      <x:c r="C529" s="41" t="str">
        <x:v>1999-01-04</x:v>
      </x:c>
      <x:c r="D529" s="41" t="str">
        <x:v>2026-05-22</x:v>
      </x:c>
      <x:c r="E529" s="41" t="n">
        <x:v>12.527698</x:v>
      </x:c>
      <x:c r="F529" s="41" t="n">
        <x:v>-32.641176</x:v>
      </x:c>
      <x:c r="G529" s="41" t="n">
        <x:v>2431.668528</x:v>
      </x:c>
      <x:c r="H529" s="41" t="n">
        <x:f>IFERROR(E529/ABS(F529),"")</x:f>
        <x:v>0.38380044885637693</x:v>
      </x:c>
      <x:c r="I529" s="41" t="n">
        <x:v>12.226716</x:v>
      </x:c>
      <x:c r="J529" s="41" t="n">
        <x:v>-29.435035</x:v>
      </x:c>
      <x:c r="K529" s="41" t="n">
        <x:v>2252.66804</x:v>
      </x:c>
      <x:c r="L529" s="41" t="n">
        <x:f>IFERROR(I529/ABS(J529),"")</x:f>
        <x:v>0.41537969973536637</x:v>
      </x:c>
      <x:c r="M529" s="41" t="n">
        <x:v>6.802475</x:v>
      </x:c>
      <x:c r="N529" s="41" t="n">
        <x:v>-56.473669</x:v>
      </x:c>
      <x:c r="O529" s="41" t="n">
        <x:v>506.057416</x:v>
      </x:c>
      <x:c r="P529" s="41" t="n">
        <x:f>IFERROR(M529/ABS(N529),"")</x:f>
        <x:v>0.12045392340278087</x:v>
      </x:c>
      <x:c r="Q529" s="41" t="str">
        <x:f>IF(L529&gt;=MAX(H529,P529),"Weekly",IF(H529&gt;=MAX(L529,P529),"No weekly","SPY"))</x:f>
        <x:v>Weekly</x:v>
      </x:c>
      <x:c r="R529" s="41" t="n">
        <x:f>IFERROR(L529-P529,"")</x:f>
        <x:v>0.2949257763325855</x:v>
      </x:c>
      <x:c r="S529" s="41" t="n">
        <x:f>IFERROR(H529-P529,"")</x:f>
        <x:v>0.26334652545359605</x:v>
      </x:c>
      <x:c r="T529" s="41" t="n">
        <x:f>IFERROR(I529-M529,"")</x:f>
        <x:v>5.424240999999999</x:v>
      </x:c>
      <x:c r="U529" s="41" t="n">
        <x:f>IFERROR(E529-M529,"")</x:f>
        <x:v>5.725222999999999</x:v>
      </x:c>
      <x:c r="V529" s="41" t="str">
        <x:f>IF(AND(I529&gt;M529,J529&gt;N529),"Sí","No")</x:f>
        <x:v>Sí</x:v>
      </x:c>
      <x:c r="W529" s="41" t="str">
        <x:f>IF(AND(E529&gt;M529,F529&gt;N529),"Sí","No")</x:f>
        <x:v>Sí</x:v>
      </x:c>
      <x:c r="X529" s="41" t="str">
        <x:f>IF(L529&gt;=H529,"Weekly","No weekly")</x:f>
        <x:v>Weekly</x:v>
      </x:c>
      <x:c r="Y529" s="41" t="n">
        <x:f>IFERROR(I529-E529,"")</x:f>
        <x:v>-0.3009819999999994</x:v>
      </x:c>
      <x:c r="Z529" s="41" t="n">
        <x:f>IFERROR(J529-F529,"")</x:f>
        <x:v>3.2061410000000024</x:v>
      </x:c>
      <x:c r="AA529" s="41" t="n">
        <x:v>12487</x:v>
      </x:c>
      <x:c r="AB529" s="41" t="n">
        <x:v>6133</x:v>
      </x:c>
    </x:row>
    <x:row r="530">
      <x:c r="A530" s="41" t="str">
        <x:v>HYP_REFINE_AUTO002_TOPN_6_V1_DDGRID_LONG_R10_C22_E75_CR40_REDD_RECOVERED_DD7_SL22</x:v>
      </x:c>
      <x:c r="B530" s="41" t="str">
        <x:v>dd_guard_grid</x:v>
      </x:c>
      <x:c r="C530" s="41" t="str">
        <x:v>1999-01-04</x:v>
      </x:c>
      <x:c r="D530" s="41" t="str">
        <x:v>2026-05-22</x:v>
      </x:c>
      <x:c r="E530" s="41" t="n">
        <x:v>12.451051</x:v>
      </x:c>
      <x:c r="F530" s="41" t="n">
        <x:v>-33.556578</x:v>
      </x:c>
      <x:c r="G530" s="41" t="n">
        <x:v>2384.878016</x:v>
      </x:c>
      <x:c r="H530" s="41" t="n">
        <x:f>IFERROR(E530/ABS(F530),"")</x:f>
        <x:v>0.3710465053975408</x:v>
      </x:c>
      <x:c r="I530" s="41" t="n">
        <x:v>11.893828</x:v>
      </x:c>
      <x:c r="J530" s="41" t="n">
        <x:v>-29.461895</x:v>
      </x:c>
      <x:c r="K530" s="41" t="n">
        <x:v>2068.897671</x:v>
      </x:c>
      <x:c r="L530" s="41" t="n">
        <x:f>IFERROR(I530/ABS(J530),"")</x:f>
        <x:v>0.40370207008069237</x:v>
      </x:c>
      <x:c r="M530" s="41" t="n">
        <x:v>6.802475</x:v>
      </x:c>
      <x:c r="N530" s="41" t="n">
        <x:v>-56.473669</x:v>
      </x:c>
      <x:c r="O530" s="41" t="n">
        <x:v>506.057416</x:v>
      </x:c>
      <x:c r="P530" s="41" t="n">
        <x:f>IFERROR(M530/ABS(N530),"")</x:f>
        <x:v>0.12045392340278087</x:v>
      </x:c>
      <x:c r="Q530" s="41" t="str">
        <x:f>IF(L530&gt;=MAX(H530,P530),"Weekly",IF(H530&gt;=MAX(L530,P530),"No weekly","SPY"))</x:f>
        <x:v>Weekly</x:v>
      </x:c>
      <x:c r="R530" s="41" t="n">
        <x:f>IFERROR(L530-P530,"")</x:f>
        <x:v>0.2832481466779115</x:v>
      </x:c>
      <x:c r="S530" s="41" t="n">
        <x:f>IFERROR(H530-P530,"")</x:f>
        <x:v>0.2505925819947599</x:v>
      </x:c>
      <x:c r="T530" s="41" t="n">
        <x:f>IFERROR(I530-M530,"")</x:f>
        <x:v>5.091352999999999</x:v>
      </x:c>
      <x:c r="U530" s="41" t="n">
        <x:f>IFERROR(E530-M530,"")</x:f>
        <x:v>5.648575999999999</x:v>
      </x:c>
      <x:c r="V530" s="41" t="str">
        <x:f>IF(AND(I530&gt;M530,J530&gt;N530),"Sí","No")</x:f>
        <x:v>Sí</x:v>
      </x:c>
      <x:c r="W530" s="41" t="str">
        <x:f>IF(AND(E530&gt;M530,F530&gt;N530),"Sí","No")</x:f>
        <x:v>Sí</x:v>
      </x:c>
      <x:c r="X530" s="41" t="str">
        <x:f>IF(L530&gt;=H530,"Weekly","No weekly")</x:f>
        <x:v>Weekly</x:v>
      </x:c>
      <x:c r="Y530" s="41" t="n">
        <x:f>IFERROR(I530-E530,"")</x:f>
        <x:v>-0.5572230000000005</x:v>
      </x:c>
      <x:c r="Z530" s="41" t="n">
        <x:f>IFERROR(J530-F530,"")</x:f>
        <x:v>4.094683000000003</x:v>
      </x:c>
      <x:c r="AA530" s="41" t="n">
        <x:v>12770</x:v>
      </x:c>
      <x:c r="AB530" s="41" t="n">
        <x:v>6072</x:v>
      </x:c>
    </x:row>
    <x:row r="531">
      <x:c r="A531" s="41" t="str">
        <x:v>HYP_REFINE_AUTO002_TOPN_6_V1_DDGRID_LONG_R10_C22_E75_CR40_REDD_RECOVERED_DD8_SL18</x:v>
      </x:c>
      <x:c r="B531" s="41" t="str">
        <x:v>dd_guard_grid</x:v>
      </x:c>
      <x:c r="C531" s="41" t="str">
        <x:v>1999-01-04</x:v>
      </x:c>
      <x:c r="D531" s="41" t="str">
        <x:v>2026-05-22</x:v>
      </x:c>
      <x:c r="E531" s="41" t="n">
        <x:v>12.416108</x:v>
      </x:c>
      <x:c r="F531" s="41" t="n">
        <x:v>-31.56548</x:v>
      </x:c>
      <x:c r="G531" s="41" t="n">
        <x:v>2363.823996</x:v>
      </x:c>
      <x:c r="H531" s="41" t="n">
        <x:f>IFERROR(E531/ABS(F531),"")</x:f>
        <x:v>0.3933445016518044</x:v>
      </x:c>
      <x:c r="I531" s="41" t="n">
        <x:v>11.760115</x:v>
      </x:c>
      <x:c r="J531" s="41" t="n">
        <x:v>-29.670864</x:v>
      </x:c>
      <x:c r="K531" s="41" t="n">
        <x:v>1999.044636</x:v>
      </x:c>
      <x:c r="L531" s="41" t="n">
        <x:f>IFERROR(I531/ABS(J531),"")</x:f>
        <x:v>0.39635229361706487</x:v>
      </x:c>
      <x:c r="M531" s="41" t="n">
        <x:v>6.802475</x:v>
      </x:c>
      <x:c r="N531" s="41" t="n">
        <x:v>-56.473669</x:v>
      </x:c>
      <x:c r="O531" s="41" t="n">
        <x:v>506.057416</x:v>
      </x:c>
      <x:c r="P531" s="41" t="n">
        <x:f>IFERROR(M531/ABS(N531),"")</x:f>
        <x:v>0.12045392340278087</x:v>
      </x:c>
      <x:c r="Q531" s="41" t="str">
        <x:f>IF(L531&gt;=MAX(H531,P531),"Weekly",IF(H531&gt;=MAX(L531,P531),"No weekly","SPY"))</x:f>
        <x:v>Weekly</x:v>
      </x:c>
      <x:c r="R531" s="41" t="n">
        <x:f>IFERROR(L531-P531,"")</x:f>
        <x:v>0.275898370214284</x:v>
      </x:c>
      <x:c r="S531" s="41" t="n">
        <x:f>IFERROR(H531-P531,"")</x:f>
        <x:v>0.2728905782490235</x:v>
      </x:c>
      <x:c r="T531" s="41" t="n">
        <x:f>IFERROR(I531-M531,"")</x:f>
        <x:v>4.9576400000000005</x:v>
      </x:c>
      <x:c r="U531" s="41" t="n">
        <x:f>IFERROR(E531-M531,"")</x:f>
        <x:v>5.613632999999999</x:v>
      </x:c>
      <x:c r="V531" s="41" t="str">
        <x:f>IF(AND(I531&gt;M531,J531&gt;N531),"Sí","No")</x:f>
        <x:v>Sí</x:v>
      </x:c>
      <x:c r="W531" s="41" t="str">
        <x:f>IF(AND(E531&gt;M531,F531&gt;N531),"Sí","No")</x:f>
        <x:v>Sí</x:v>
      </x:c>
      <x:c r="X531" s="41" t="str">
        <x:f>IF(L531&gt;=H531,"Weekly","No weekly")</x:f>
        <x:v>Weekly</x:v>
      </x:c>
      <x:c r="Y531" s="41" t="n">
        <x:f>IFERROR(I531-E531,"")</x:f>
        <x:v>-0.6559929999999987</x:v>
      </x:c>
      <x:c r="Z531" s="41" t="n">
        <x:f>IFERROR(J531-F531,"")</x:f>
        <x:v>1.8946159999999992</x:v>
      </x:c>
      <x:c r="AA531" s="41" t="n">
        <x:v>12141</x:v>
      </x:c>
      <x:c r="AB531" s="41" t="n">
        <x:v>5620</x:v>
      </x:c>
    </x:row>
    <x:row r="532">
      <x:c r="A532" s="41" t="str">
        <x:v>HYP_REFINE_AUTO002_TOPN_6_V1_DDGRID_LONG_R10_C22_E75_CR40_REDD_RECOVERED_DD8_SL20</x:v>
      </x:c>
      <x:c r="B532" s="41" t="str">
        <x:v>dd_guard_grid</x:v>
      </x:c>
      <x:c r="C532" s="41" t="str">
        <x:v>1999-01-04</x:v>
      </x:c>
      <x:c r="D532" s="41" t="str">
        <x:v>2026-05-22</x:v>
      </x:c>
      <x:c r="E532" s="41" t="n">
        <x:v>12.613846</x:v>
      </x:c>
      <x:c r="F532" s="41" t="n">
        <x:v>-32.641176</x:v>
      </x:c>
      <x:c r="G532" s="41" t="n">
        <x:v>2485.271909</x:v>
      </x:c>
      <x:c r="H532" s="41" t="n">
        <x:f>IFERROR(E532/ABS(F532),"")</x:f>
        <x:v>0.3864396920012931</x:v>
      </x:c>
      <x:c r="I532" s="41" t="n">
        <x:v>12.388975</x:v>
      </x:c>
      <x:c r="J532" s="41" t="n">
        <x:v>-29.435035</x:v>
      </x:c>
      <x:c r="K532" s="41" t="n">
        <x:v>2347.594805</x:v>
      </x:c>
      <x:c r="L532" s="41" t="n">
        <x:f>IFERROR(I532/ABS(J532),"")</x:f>
        <x:v>0.42089214434431627</x:v>
      </x:c>
      <x:c r="M532" s="41" t="n">
        <x:v>6.802475</x:v>
      </x:c>
      <x:c r="N532" s="41" t="n">
        <x:v>-56.473669</x:v>
      </x:c>
      <x:c r="O532" s="41" t="n">
        <x:v>506.057416</x:v>
      </x:c>
      <x:c r="P532" s="41" t="n">
        <x:f>IFERROR(M532/ABS(N532),"")</x:f>
        <x:v>0.12045392340278087</x:v>
      </x:c>
      <x:c r="Q532" s="41" t="str">
        <x:f>IF(L532&gt;=MAX(H532,P532),"Weekly",IF(H532&gt;=MAX(L532,P532),"No weekly","SPY"))</x:f>
        <x:v>Weekly</x:v>
      </x:c>
      <x:c r="R532" s="41" t="n">
        <x:f>IFERROR(L532-P532,"")</x:f>
        <x:v>0.3004382209415354</x:v>
      </x:c>
      <x:c r="S532" s="41" t="n">
        <x:f>IFERROR(H532-P532,"")</x:f>
        <x:v>0.2659857685985122</x:v>
      </x:c>
      <x:c r="T532" s="41" t="n">
        <x:f>IFERROR(I532-M532,"")</x:f>
        <x:v>5.5865</x:v>
      </x:c>
      <x:c r="U532" s="41" t="n">
        <x:f>IFERROR(E532-M532,"")</x:f>
        <x:v>5.811371</x:v>
      </x:c>
      <x:c r="V532" s="41" t="str">
        <x:f>IF(AND(I532&gt;M532,J532&gt;N532),"Sí","No")</x:f>
        <x:v>Sí</x:v>
      </x:c>
      <x:c r="W532" s="41" t="str">
        <x:f>IF(AND(E532&gt;M532,F532&gt;N532),"Sí","No")</x:f>
        <x:v>Sí</x:v>
      </x:c>
      <x:c r="X532" s="41" t="str">
        <x:f>IF(L532&gt;=H532,"Weekly","No weekly")</x:f>
        <x:v>Weekly</x:v>
      </x:c>
      <x:c r="Y532" s="41" t="n">
        <x:f>IFERROR(I532-E532,"")</x:f>
        <x:v>-0.22487100000000027</x:v>
      </x:c>
      <x:c r="Z532" s="41" t="n">
        <x:f>IFERROR(J532-F532,"")</x:f>
        <x:v>3.2061410000000024</x:v>
      </x:c>
      <x:c r="AA532" s="41" t="n">
        <x:v>12154</x:v>
      </x:c>
      <x:c r="AB532" s="41" t="n">
        <x:v>5718</x:v>
      </x:c>
    </x:row>
    <x:row r="533">
      <x:c r="A533" s="41" t="str">
        <x:v>HYP_REFINE_AUTO002_TOPN_6_V1_DDGRID_LONG_R10_C22_E75_CR40_REDD_RECOVERED_DD8_SL22</x:v>
      </x:c>
      <x:c r="B533" s="41" t="str">
        <x:v>dd_guard_grid</x:v>
      </x:c>
      <x:c r="C533" s="41" t="str">
        <x:v>1999-01-04</x:v>
      </x:c>
      <x:c r="D533" s="41" t="str">
        <x:v>2026-05-22</x:v>
      </x:c>
      <x:c r="E533" s="41" t="n">
        <x:v>12.445641</x:v>
      </x:c>
      <x:c r="F533" s="41" t="n">
        <x:v>-33.556578</x:v>
      </x:c>
      <x:c r="G533" s="41" t="n">
        <x:v>2381.607145</x:v>
      </x:c>
      <x:c r="H533" s="41" t="n">
        <x:f>IFERROR(E533/ABS(F533),"")</x:f>
        <x:v>0.37088528514439106</x:v>
      </x:c>
      <x:c r="I533" s="41" t="n">
        <x:v>12.010701</x:v>
      </x:c>
      <x:c r="J533" s="41" t="n">
        <x:v>-29.461895</x:v>
      </x:c>
      <x:c r="K533" s="41" t="n">
        <x:v>2131.783376</x:v>
      </x:c>
      <x:c r="L533" s="41" t="n">
        <x:f>IFERROR(I533/ABS(J533),"")</x:f>
        <x:v>0.40766899074210944</x:v>
      </x:c>
      <x:c r="M533" s="41" t="n">
        <x:v>6.802475</x:v>
      </x:c>
      <x:c r="N533" s="41" t="n">
        <x:v>-56.473669</x:v>
      </x:c>
      <x:c r="O533" s="41" t="n">
        <x:v>506.057416</x:v>
      </x:c>
      <x:c r="P533" s="41" t="n">
        <x:f>IFERROR(M533/ABS(N533),"")</x:f>
        <x:v>0.12045392340278087</x:v>
      </x:c>
      <x:c r="Q533" s="41" t="str">
        <x:f>IF(L533&gt;=MAX(H533,P533),"Weekly",IF(H533&gt;=MAX(L533,P533),"No weekly","SPY"))</x:f>
        <x:v>Weekly</x:v>
      </x:c>
      <x:c r="R533" s="41" t="n">
        <x:f>IFERROR(L533-P533,"")</x:f>
        <x:v>0.28721506733932856</x:v>
      </x:c>
      <x:c r="S533" s="41" t="n">
        <x:f>IFERROR(H533-P533,"")</x:f>
        <x:v>0.2504313617416102</x:v>
      </x:c>
      <x:c r="T533" s="41" t="n">
        <x:f>IFERROR(I533-M533,"")</x:f>
        <x:v>5.208225999999999</x:v>
      </x:c>
      <x:c r="U533" s="41" t="n">
        <x:f>IFERROR(E533-M533,"")</x:f>
        <x:v>5.643166</x:v>
      </x:c>
      <x:c r="V533" s="41" t="str">
        <x:f>IF(AND(I533&gt;M533,J533&gt;N533),"Sí","No")</x:f>
        <x:v>Sí</x:v>
      </x:c>
      <x:c r="W533" s="41" t="str">
        <x:f>IF(AND(E533&gt;M533,F533&gt;N533),"Sí","No")</x:f>
        <x:v>Sí</x:v>
      </x:c>
      <x:c r="X533" s="41" t="str">
        <x:f>IF(L533&gt;=H533,"Weekly","No weekly")</x:f>
        <x:v>Weekly</x:v>
      </x:c>
      <x:c r="Y533" s="41" t="n">
        <x:f>IFERROR(I533-E533,"")</x:f>
        <x:v>-0.434940000000001</x:v>
      </x:c>
      <x:c r="Z533" s="41" t="n">
        <x:f>IFERROR(J533-F533,"")</x:f>
        <x:v>4.094683000000003</x:v>
      </x:c>
      <x:c r="AA533" s="41" t="n">
        <x:v>12405</x:v>
      </x:c>
      <x:c r="AB533" s="41" t="n">
        <x:v>5812</x:v>
      </x:c>
    </x:row>
    <x:row r="534">
      <x:c r="A534" s="41" t="str">
        <x:v>HYP_REFINE_AUTO002_TOPN_6_V1_DDGRID_LONG_R10_C22_E75_CR40_REDD_RECOVERED_DD8_SL24</x:v>
      </x:c>
      <x:c r="B534" s="41" t="str">
        <x:v>dd_guard_grid</x:v>
      </x:c>
      <x:c r="C534" s="41" t="str">
        <x:v>1999-01-04</x:v>
      </x:c>
      <x:c r="D534" s="41" t="str">
        <x:v>2026-05-22</x:v>
      </x:c>
      <x:c r="E534" s="41" t="n">
        <x:v>11.684489</x:v>
      </x:c>
      <x:c r="F534" s="41" t="n">
        <x:v>-34.053842</x:v>
      </x:c>
      <x:c r="G534" s="41" t="n">
        <x:v>1960.501707</x:v>
      </x:c>
      <x:c r="H534" s="41" t="n">
        <x:f>IFERROR(E534/ABS(F534),"")</x:f>
        <x:v>0.3431180834162559</x:v>
      </x:c>
      <x:c r="I534" s="41" t="n">
        <x:v>12.694022</x:v>
      </x:c>
      <x:c r="J534" s="41" t="n">
        <x:v>-29.457236</x:v>
      </x:c>
      <x:c r="K534" s="41" t="n">
        <x:v>2536.141177</x:v>
      </x:c>
      <x:c r="L534" s="41" t="n">
        <x:f>IFERROR(I534/ABS(J534),"")</x:f>
        <x:v>0.4309305190751773</x:v>
      </x:c>
      <x:c r="M534" s="41" t="n">
        <x:v>6.802475</x:v>
      </x:c>
      <x:c r="N534" s="41" t="n">
        <x:v>-56.473669</x:v>
      </x:c>
      <x:c r="O534" s="41" t="n">
        <x:v>506.057416</x:v>
      </x:c>
      <x:c r="P534" s="41" t="n">
        <x:f>IFERROR(M534/ABS(N534),"")</x:f>
        <x:v>0.12045392340278087</x:v>
      </x:c>
      <x:c r="Q534" s="41" t="str">
        <x:f>IF(L534&gt;=MAX(H534,P534),"Weekly",IF(H534&gt;=MAX(L534,P534),"No weekly","SPY"))</x:f>
        <x:v>Weekly</x:v>
      </x:c>
      <x:c r="R534" s="41" t="n">
        <x:f>IFERROR(L534-P534,"")</x:f>
        <x:v>0.31047659567239644</x:v>
      </x:c>
      <x:c r="S534" s="41" t="n">
        <x:f>IFERROR(H534-P534,"")</x:f>
        <x:v>0.222664160013475</x:v>
      </x:c>
      <x:c r="T534" s="41" t="n">
        <x:f>IFERROR(I534-M534,"")</x:f>
        <x:v>5.891547</x:v>
      </x:c>
      <x:c r="U534" s="41" t="n">
        <x:f>IFERROR(E534-M534,"")</x:f>
        <x:v>4.882013999999999</x:v>
      </x:c>
      <x:c r="V534" s="41" t="str">
        <x:f>IF(AND(I534&gt;M534,J534&gt;N534),"Sí","No")</x:f>
        <x:v>Sí</x:v>
      </x:c>
      <x:c r="W534" s="41" t="str">
        <x:f>IF(AND(E534&gt;M534,F534&gt;N534),"Sí","No")</x:f>
        <x:v>Sí</x:v>
      </x:c>
      <x:c r="X534" s="41" t="str">
        <x:f>IF(L534&gt;=H534,"Weekly","No weekly")</x:f>
        <x:v>Weekly</x:v>
      </x:c>
      <x:c r="Y534" s="41" t="n">
        <x:f>IFERROR(I534-E534,"")</x:f>
        <x:v>1.0095330000000011</x:v>
      </x:c>
      <x:c r="Z534" s="41" t="n">
        <x:f>IFERROR(J534-F534,"")</x:f>
        <x:v>4.596606000000001</x:v>
      </x:c>
      <x:c r="AA534" s="41" t="n">
        <x:v>12475</x:v>
      </x:c>
      <x:c r="AB534" s="41" t="n">
        <x:v>5923</x:v>
      </x:c>
    </x:row>
    <x:row r="535">
      <x:c r="A535" s="41" t="str">
        <x:v>HYP_REFINE_AUTO002_TOPN_6_V1_DDGRID_LONG_R10_C22_E75_CR40_REDD_RECOVERED_DD8_SLNONE</x:v>
      </x:c>
      <x:c r="B535" s="41" t="str">
        <x:v>dd_guard_grid</x:v>
      </x:c>
      <x:c r="C535" s="41" t="str">
        <x:v>1999-01-04</x:v>
      </x:c>
      <x:c r="D535" s="41" t="str">
        <x:v>2026-05-22</x:v>
      </x:c>
      <x:c r="E535" s="41" t="n">
        <x:v>12.699213</x:v>
      </x:c>
      <x:c r="F535" s="41" t="n">
        <x:v>-33.40545</x:v>
      </x:c>
      <x:c r="G535" s="41" t="n">
        <x:v>2539.467638</x:v>
      </x:c>
      <x:c r="H535" s="41" t="n">
        <x:f>IFERROR(E535/ABS(F535),"")</x:f>
        <x:v>0.380153926978981</x:v>
      </x:c>
      <x:c r="I535" s="41" t="n">
        <x:v>13.140418</x:v>
      </x:c>
      <x:c r="J535" s="41" t="n">
        <x:v>-29.476906</x:v>
      </x:c>
      <x:c r="K535" s="41" t="n">
        <x:v>2837.478777</x:v>
      </x:c>
      <x:c r="L535" s="41" t="n">
        <x:f>IFERROR(I535/ABS(J535),"")</x:f>
        <x:v>0.44578688143185724</x:v>
      </x:c>
      <x:c r="M535" s="41" t="n">
        <x:v>6.802475</x:v>
      </x:c>
      <x:c r="N535" s="41" t="n">
        <x:v>-56.473669</x:v>
      </x:c>
      <x:c r="O535" s="41" t="n">
        <x:v>506.057416</x:v>
      </x:c>
      <x:c r="P535" s="41" t="n">
        <x:f>IFERROR(M535/ABS(N535),"")</x:f>
        <x:v>0.12045392340278087</x:v>
      </x:c>
      <x:c r="Q535" s="41" t="str">
        <x:f>IF(L535&gt;=MAX(H535,P535),"Weekly",IF(H535&gt;=MAX(L535,P535),"No weekly","SPY"))</x:f>
        <x:v>Weekly</x:v>
      </x:c>
      <x:c r="R535" s="41" t="n">
        <x:f>IFERROR(L535-P535,"")</x:f>
        <x:v>0.32533295802907636</x:v>
      </x:c>
      <x:c r="S535" s="41" t="n">
        <x:f>IFERROR(H535-P535,"")</x:f>
        <x:v>0.2597000035762001</x:v>
      </x:c>
      <x:c r="T535" s="41" t="n">
        <x:f>IFERROR(I535-M535,"")</x:f>
        <x:v>6.337943</x:v>
      </x:c>
      <x:c r="U535" s="41" t="n">
        <x:f>IFERROR(E535-M535,"")</x:f>
        <x:v>5.896738</x:v>
      </x:c>
      <x:c r="V535" s="41" t="str">
        <x:f>IF(AND(I535&gt;M535,J535&gt;N535),"Sí","No")</x:f>
        <x:v>Sí</x:v>
      </x:c>
      <x:c r="W535" s="41" t="str">
        <x:f>IF(AND(E535&gt;M535,F535&gt;N535),"Sí","No")</x:f>
        <x:v>Sí</x:v>
      </x:c>
      <x:c r="X535" s="41" t="str">
        <x:f>IF(L535&gt;=H535,"Weekly","No weekly")</x:f>
        <x:v>Weekly</x:v>
      </x:c>
      <x:c r="Y535" s="41" t="n">
        <x:f>IFERROR(I535-E535,"")</x:f>
        <x:v>0.44120500000000007</x:v>
      </x:c>
      <x:c r="Z535" s="41" t="n">
        <x:f>IFERROR(J535-F535,"")</x:f>
        <x:v>3.9285440000000023</x:v>
      </x:c>
      <x:c r="AA535" s="41" t="n">
        <x:v>12355</x:v>
      </x:c>
      <x:c r="AB535" s="41" t="n">
        <x:v>6318</x:v>
      </x:c>
    </x:row>
    <x:row r="536">
      <x:c r="A536" s="41" t="str">
        <x:v>HYP_REFINE_AUTO002_TOPN_6_V1_DDGRID_LONG_R10_C22_E75_CR40_REDD_RECOVERED_DD9_SL18</x:v>
      </x:c>
      <x:c r="B536" s="41" t="str">
        <x:v>dd_guard_grid</x:v>
      </x:c>
      <x:c r="C536" s="41" t="str">
        <x:v>1999-01-04</x:v>
      </x:c>
      <x:c r="D536" s="41" t="str">
        <x:v>2026-05-22</x:v>
      </x:c>
      <x:c r="E536" s="41" t="n">
        <x:v>11.464577</x:v>
      </x:c>
      <x:c r="F536" s="41" t="n">
        <x:v>-31.56548</x:v>
      </x:c>
      <x:c r="G536" s="41" t="n">
        <x:v>1852.257955</x:v>
      </x:c>
      <x:c r="H536" s="41" t="n">
        <x:f>IFERROR(E536/ABS(F536),"")</x:f>
        <x:v>0.3631998309545744</x:v>
      </x:c>
      <x:c r="I536" s="41" t="n">
        <x:v>11.425685</x:v>
      </x:c>
      <x:c r="J536" s="41" t="n">
        <x:v>-29.670864</x:v>
      </x:c>
      <x:c r="K536" s="41" t="n">
        <x:v>1833.694133</x:v>
      </x:c>
      <x:c r="L536" s="41" t="n">
        <x:f>IFERROR(I536/ABS(J536),"")</x:f>
        <x:v>0.3850809669715044</x:v>
      </x:c>
      <x:c r="M536" s="41" t="n">
        <x:v>6.802475</x:v>
      </x:c>
      <x:c r="N536" s="41" t="n">
        <x:v>-56.473669</x:v>
      </x:c>
      <x:c r="O536" s="41" t="n">
        <x:v>506.057416</x:v>
      </x:c>
      <x:c r="P536" s="41" t="n">
        <x:f>IFERROR(M536/ABS(N536),"")</x:f>
        <x:v>0.12045392340278087</x:v>
      </x:c>
      <x:c r="Q536" s="41" t="str">
        <x:f>IF(L536&gt;=MAX(H536,P536),"Weekly",IF(H536&gt;=MAX(L536,P536),"No weekly","SPY"))</x:f>
        <x:v>Weekly</x:v>
      </x:c>
      <x:c r="R536" s="41" t="n">
        <x:f>IFERROR(L536-P536,"")</x:f>
        <x:v>0.2646270435687235</x:v>
      </x:c>
      <x:c r="S536" s="41" t="n">
        <x:f>IFERROR(H536-P536,"")</x:f>
        <x:v>0.24274590755179354</x:v>
      </x:c>
      <x:c r="T536" s="41" t="n">
        <x:f>IFERROR(I536-M536,"")</x:f>
        <x:v>4.623209999999999</x:v>
      </x:c>
      <x:c r="U536" s="41" t="n">
        <x:f>IFERROR(E536-M536,"")</x:f>
        <x:v>4.662102</x:v>
      </x:c>
      <x:c r="V536" s="41" t="str">
        <x:f>IF(AND(I536&gt;M536,J536&gt;N536),"Sí","No")</x:f>
        <x:v>Sí</x:v>
      </x:c>
      <x:c r="W536" s="41" t="str">
        <x:f>IF(AND(E536&gt;M536,F536&gt;N536),"Sí","No")</x:f>
        <x:v>Sí</x:v>
      </x:c>
      <x:c r="X536" s="41" t="str">
        <x:f>IF(L536&gt;=H536,"Weekly","No weekly")</x:f>
        <x:v>Weekly</x:v>
      </x:c>
      <x:c r="Y536" s="41" t="n">
        <x:f>IFERROR(I536-E536,"")</x:f>
        <x:v>-0.03889200000000059</x:v>
      </x:c>
      <x:c r="Z536" s="41" t="n">
        <x:f>IFERROR(J536-F536,"")</x:f>
        <x:v>1.8946159999999992</x:v>
      </x:c>
      <x:c r="AA536" s="41" t="n">
        <x:v>12012</x:v>
      </x:c>
      <x:c r="AB536" s="41" t="n">
        <x:v>5434</x:v>
      </x:c>
    </x:row>
    <x:row r="537">
      <x:c r="A537" s="41" t="str">
        <x:v>HYP_REFINE_AUTO002_TOPN_6_V1_DDGRID_LONG_R10_C22_E75_CR40_REDD_RECOVERED_DD9_SL20</x:v>
      </x:c>
      <x:c r="B537" s="41" t="str">
        <x:v>dd_guard_grid</x:v>
      </x:c>
      <x:c r="C537" s="41" t="str">
        <x:v>1999-01-04</x:v>
      </x:c>
      <x:c r="D537" s="41" t="str">
        <x:v>2026-05-22</x:v>
      </x:c>
      <x:c r="E537" s="41" t="n">
        <x:v>13.790238</x:v>
      </x:c>
      <x:c r="F537" s="41" t="n">
        <x:v>-32.641176</x:v>
      </x:c>
      <x:c r="G537" s="41" t="n">
        <x:v>3336.143559</x:v>
      </x:c>
      <x:c r="H537" s="41" t="n">
        <x:f>IFERROR(E537/ABS(F537),"")</x:f>
        <x:v>0.4224798150654866</x:v>
      </x:c>
      <x:c r="I537" s="41" t="n">
        <x:v>12.070528</x:v>
      </x:c>
      <x:c r="J537" s="41" t="n">
        <x:v>-29.435035</x:v>
      </x:c>
      <x:c r="K537" s="41" t="n">
        <x:v>2164.650454</x:v>
      </x:c>
      <x:c r="L537" s="41" t="n">
        <x:f>IFERROR(I537/ABS(J537),"")</x:f>
        <x:v>0.4100735059428331</x:v>
      </x:c>
      <x:c r="M537" s="41" t="n">
        <x:v>6.802475</x:v>
      </x:c>
      <x:c r="N537" s="41" t="n">
        <x:v>-56.473669</x:v>
      </x:c>
      <x:c r="O537" s="41" t="n">
        <x:v>506.057416</x:v>
      </x:c>
      <x:c r="P537" s="41" t="n">
        <x:f>IFERROR(M537/ABS(N537),"")</x:f>
        <x:v>0.12045392340278087</x:v>
      </x:c>
      <x:c r="Q537" s="41" t="str">
        <x:f>IF(L537&gt;=MAX(H537,P537),"Weekly",IF(H537&gt;=MAX(L537,P537),"No weekly","SPY"))</x:f>
        <x:v>No weekly</x:v>
      </x:c>
      <x:c r="R537" s="41" t="n">
        <x:f>IFERROR(L537-P537,"")</x:f>
        <x:v>0.2896195825400522</x:v>
      </x:c>
      <x:c r="S537" s="41" t="n">
        <x:f>IFERROR(H537-P537,"")</x:f>
        <x:v>0.3020258916627057</x:v>
      </x:c>
      <x:c r="T537" s="41" t="n">
        <x:f>IFERROR(I537-M537,"")</x:f>
        <x:v>5.268052999999999</x:v>
      </x:c>
      <x:c r="U537" s="41" t="n">
        <x:f>IFERROR(E537-M537,"")</x:f>
        <x:v>6.987763</x:v>
      </x:c>
      <x:c r="V537" s="41" t="str">
        <x:f>IF(AND(I537&gt;M537,J537&gt;N537),"Sí","No")</x:f>
        <x:v>Sí</x:v>
      </x:c>
      <x:c r="W537" s="41" t="str">
        <x:f>IF(AND(E537&gt;M537,F537&gt;N537),"Sí","No")</x:f>
        <x:v>Sí</x:v>
      </x:c>
      <x:c r="X537" s="41" t="str">
        <x:f>IF(L537&gt;=H537,"Weekly","No weekly")</x:f>
        <x:v>No weekly</x:v>
      </x:c>
      <x:c r="Y537" s="41" t="n">
        <x:f>IFERROR(I537-E537,"")</x:f>
        <x:v>-1.719710000000001</x:v>
      </x:c>
      <x:c r="Z537" s="41" t="n">
        <x:f>IFERROR(J537-F537,"")</x:f>
        <x:v>3.2061410000000024</x:v>
      </x:c>
      <x:c r="AA537" s="41" t="n">
        <x:v>11955</x:v>
      </x:c>
      <x:c r="AB537" s="41" t="n">
        <x:v>5492</x:v>
      </x:c>
    </x:row>
    <x:row r="538">
      <x:c r="A538" s="41" t="str">
        <x:v>HYP_REFINE_AUTO002_TOPN_6_V1_DDGRID_LONG_R10_C22_E75_CR42_REDD_RECOVERED_DD8_SL20</x:v>
      </x:c>
      <x:c r="B538" s="41" t="str">
        <x:v>dd_guard_grid</x:v>
      </x:c>
      <x:c r="C538" s="41" t="str">
        <x:v>1999-01-04</x:v>
      </x:c>
      <x:c r="D538" s="41" t="str">
        <x:v>2026-05-22</x:v>
      </x:c>
      <x:c r="E538" s="41" t="n">
        <x:v>12.774279</x:v>
      </x:c>
      <x:c r="F538" s="41" t="n">
        <x:v>-33.28926</x:v>
      </x:c>
      <x:c r="G538" s="41" t="n">
        <x:v>2588.026571</x:v>
      </x:c>
      <x:c r="H538" s="41" t="n">
        <x:f>IFERROR(E538/ABS(F538),"")</x:f>
        <x:v>0.38373574540257127</x:v>
      </x:c>
      <x:c r="I538" s="41" t="n">
        <x:v>13.321299</x:v>
      </x:c>
      <x:c r="J538" s="41" t="n">
        <x:v>-29.730748</x:v>
      </x:c>
      <x:c r="K538" s="41" t="n">
        <x:v>2968.803359</x:v>
      </x:c>
      <x:c r="L538" s="41" t="n">
        <x:f>IFERROR(I538/ABS(J538),"")</x:f>
        <x:v>0.448064710649056</x:v>
      </x:c>
      <x:c r="M538" s="41" t="n">
        <x:v>6.802475</x:v>
      </x:c>
      <x:c r="N538" s="41" t="n">
        <x:v>-56.473669</x:v>
      </x:c>
      <x:c r="O538" s="41" t="n">
        <x:v>506.057416</x:v>
      </x:c>
      <x:c r="P538" s="41" t="n">
        <x:f>IFERROR(M538/ABS(N538),"")</x:f>
        <x:v>0.12045392340278087</x:v>
      </x:c>
      <x:c r="Q538" s="41" t="str">
        <x:f>IF(L538&gt;=MAX(H538,P538),"Weekly",IF(H538&gt;=MAX(L538,P538),"No weekly","SPY"))</x:f>
        <x:v>Weekly</x:v>
      </x:c>
      <x:c r="R538" s="41" t="n">
        <x:f>IFERROR(L538-P538,"")</x:f>
        <x:v>0.3276107872462751</x:v>
      </x:c>
      <x:c r="S538" s="41" t="n">
        <x:f>IFERROR(H538-P538,"")</x:f>
        <x:v>0.2632818219997904</x:v>
      </x:c>
      <x:c r="T538" s="41" t="n">
        <x:f>IFERROR(I538-M538,"")</x:f>
        <x:v>6.5188239999999995</x:v>
      </x:c>
      <x:c r="U538" s="41" t="n">
        <x:f>IFERROR(E538-M538,"")</x:f>
        <x:v>5.971804</x:v>
      </x:c>
      <x:c r="V538" s="41" t="str">
        <x:f>IF(AND(I538&gt;M538,J538&gt;N538),"Sí","No")</x:f>
        <x:v>Sí</x:v>
      </x:c>
      <x:c r="W538" s="41" t="str">
        <x:f>IF(AND(E538&gt;M538,F538&gt;N538),"Sí","No")</x:f>
        <x:v>Sí</x:v>
      </x:c>
      <x:c r="X538" s="41" t="str">
        <x:f>IF(L538&gt;=H538,"Weekly","No weekly")</x:f>
        <x:v>Weekly</x:v>
      </x:c>
      <x:c r="Y538" s="41" t="n">
        <x:f>IFERROR(I538-E538,"")</x:f>
        <x:v>0.5470199999999998</x:v>
      </x:c>
      <x:c r="Z538" s="41" t="n">
        <x:f>IFERROR(J538-F538,"")</x:f>
        <x:v>3.5585120000000003</x:v>
      </x:c>
      <x:c r="AA538" s="41" t="n">
        <x:v>12099</x:v>
      </x:c>
      <x:c r="AB538" s="41" t="n">
        <x:v>5875</x:v>
      </x:c>
    </x:row>
    <x:row r="539">
      <x:c r="A539" s="41" t="str">
        <x:v>HYP_REFINE_AUTO002_TOPN_6_V1_DDGRID_LONG_R10_C22_E75_CR45_REDD_RECOVERED_DD8_SL20</x:v>
      </x:c>
      <x:c r="B539" s="41" t="str">
        <x:v>dd_guard_grid</x:v>
      </x:c>
      <x:c r="C539" s="41" t="str">
        <x:v>1999-01-04</x:v>
      </x:c>
      <x:c r="D539" s="41" t="str">
        <x:v>2026-05-22</x:v>
      </x:c>
      <x:c r="E539" s="41" t="n">
        <x:v>12.946384</x:v>
      </x:c>
      <x:c r="F539" s="41" t="n">
        <x:v>-33.754857</x:v>
      </x:c>
      <x:c r="G539" s="41" t="n">
        <x:v>2702.62857</x:v>
      </x:c>
      <x:c r="H539" s="41" t="n">
        <x:f>IFERROR(E539/ABS(F539),"")</x:f>
        <x:v>0.3835413670986667</x:v>
      </x:c>
      <x:c r="I539" s="41" t="n">
        <x:v>13.717062</x:v>
      </x:c>
      <x:c r="J539" s="41" t="n">
        <x:v>-29.842062</x:v>
      </x:c>
      <x:c r="K539" s="41" t="n">
        <x:v>3276.1554</x:v>
      </x:c>
      <x:c r="L539" s="41" t="n">
        <x:f>IFERROR(I539/ABS(J539),"")</x:f>
        <x:v>0.4596553012992199</x:v>
      </x:c>
      <x:c r="M539" s="41" t="n">
        <x:v>6.802475</x:v>
      </x:c>
      <x:c r="N539" s="41" t="n">
        <x:v>-56.473669</x:v>
      </x:c>
      <x:c r="O539" s="41" t="n">
        <x:v>506.057416</x:v>
      </x:c>
      <x:c r="P539" s="41" t="n">
        <x:f>IFERROR(M539/ABS(N539),"")</x:f>
        <x:v>0.12045392340278087</x:v>
      </x:c>
      <x:c r="Q539" s="41" t="str">
        <x:f>IF(L539&gt;=MAX(H539,P539),"Weekly",IF(H539&gt;=MAX(L539,P539),"No weekly","SPY"))</x:f>
        <x:v>Weekly</x:v>
      </x:c>
      <x:c r="R539" s="41" t="n">
        <x:f>IFERROR(L539-P539,"")</x:f>
        <x:v>0.339201377896439</x:v>
      </x:c>
      <x:c r="S539" s="41" t="n">
        <x:f>IFERROR(H539-P539,"")</x:f>
        <x:v>0.2630874436958858</x:v>
      </x:c>
      <x:c r="T539" s="41" t="n">
        <x:f>IFERROR(I539-M539,"")</x:f>
        <x:v>6.914587</x:v>
      </x:c>
      <x:c r="U539" s="41" t="n">
        <x:f>IFERROR(E539-M539,"")</x:f>
        <x:v>6.143909</x:v>
      </x:c>
      <x:c r="V539" s="41" t="str">
        <x:f>IF(AND(I539&gt;M539,J539&gt;N539),"Sí","No")</x:f>
        <x:v>Sí</x:v>
      </x:c>
      <x:c r="W539" s="41" t="str">
        <x:f>IF(AND(E539&gt;M539,F539&gt;N539),"Sí","No")</x:f>
        <x:v>Sí</x:v>
      </x:c>
      <x:c r="X539" s="41" t="str">
        <x:f>IF(L539&gt;=H539,"Weekly","No weekly")</x:f>
        <x:v>Weekly</x:v>
      </x:c>
      <x:c r="Y539" s="41" t="n">
        <x:f>IFERROR(I539-E539,"")</x:f>
        <x:v>0.7706780000000002</x:v>
      </x:c>
      <x:c r="Z539" s="41" t="n">
        <x:f>IFERROR(J539-F539,"")</x:f>
        <x:v>3.9127950000000027</x:v>
      </x:c>
      <x:c r="AA539" s="41" t="n">
        <x:v>11732</x:v>
      </x:c>
      <x:c r="AB539" s="41" t="n">
        <x:v>5705</x:v>
      </x:c>
    </x:row>
    <x:row r="540">
      <x:c r="A540" s="41" t="str">
        <x:v>HYP_REFINE_AUTO002_TOPN_6_V1_DDGRID_LONG_R10_C22_E78_CR40_REDD_RECOVERED_DD8_SL20</x:v>
      </x:c>
      <x:c r="B540" s="41" t="str">
        <x:v>dd_guard_grid</x:v>
      </x:c>
      <x:c r="C540" s="41" t="str">
        <x:v>1999-01-04</x:v>
      </x:c>
      <x:c r="D540" s="41" t="str">
        <x:v>2026-05-22</x:v>
      </x:c>
      <x:c r="E540" s="41" t="n">
        <x:v>12.854711</x:v>
      </x:c>
      <x:c r="F540" s="41" t="n">
        <x:v>-33.055814</x:v>
      </x:c>
      <x:c r="G540" s="41" t="n">
        <x:v>2641.011614</x:v>
      </x:c>
      <x:c r="H540" s="41" t="n">
        <x:f>IFERROR(E540/ABS(F540),"")</x:f>
        <x:v>0.3888789730000296</x:v>
      </x:c>
      <x:c r="I540" s="41" t="n">
        <x:v>12.09366</x:v>
      </x:c>
      <x:c r="J540" s="41" t="n">
        <x:v>-31.090204</x:v>
      </x:c>
      <x:c r="K540" s="41" t="n">
        <x:v>2177.482819</x:v>
      </x:c>
      <x:c r="L540" s="41" t="n">
        <x:f>IFERROR(I540/ABS(J540),"")</x:f>
        <x:v>0.3889861899909052</x:v>
      </x:c>
      <x:c r="M540" s="41" t="n">
        <x:v>6.802475</x:v>
      </x:c>
      <x:c r="N540" s="41" t="n">
        <x:v>-56.473669</x:v>
      </x:c>
      <x:c r="O540" s="41" t="n">
        <x:v>506.057416</x:v>
      </x:c>
      <x:c r="P540" s="41" t="n">
        <x:f>IFERROR(M540/ABS(N540),"")</x:f>
        <x:v>0.12045392340278087</x:v>
      </x:c>
      <x:c r="Q540" s="41" t="str">
        <x:f>IF(L540&gt;=MAX(H540,P540),"Weekly",IF(H540&gt;=MAX(L540,P540),"No weekly","SPY"))</x:f>
        <x:v>Weekly</x:v>
      </x:c>
      <x:c r="R540" s="41" t="n">
        <x:f>IFERROR(L540-P540,"")</x:f>
        <x:v>0.2685322665881243</x:v>
      </x:c>
      <x:c r="S540" s="41" t="n">
        <x:f>IFERROR(H540-P540,"")</x:f>
        <x:v>0.2684250495972487</x:v>
      </x:c>
      <x:c r="T540" s="41" t="n">
        <x:f>IFERROR(I540-M540,"")</x:f>
        <x:v>5.291185</x:v>
      </x:c>
      <x:c r="U540" s="41" t="n">
        <x:f>IFERROR(E540-M540,"")</x:f>
        <x:v>6.052236</x:v>
      </x:c>
      <x:c r="V540" s="41" t="str">
        <x:f>IF(AND(I540&gt;M540,J540&gt;N540),"Sí","No")</x:f>
        <x:v>Sí</x:v>
      </x:c>
      <x:c r="W540" s="41" t="str">
        <x:f>IF(AND(E540&gt;M540,F540&gt;N540),"Sí","No")</x:f>
        <x:v>Sí</x:v>
      </x:c>
      <x:c r="X540" s="41" t="str">
        <x:f>IF(L540&gt;=H540,"Weekly","No weekly")</x:f>
        <x:v>Weekly</x:v>
      </x:c>
      <x:c r="Y540" s="41" t="n">
        <x:f>IFERROR(I540-E540,"")</x:f>
        <x:v>-0.7610510000000001</x:v>
      </x:c>
      <x:c r="Z540" s="41" t="n">
        <x:f>IFERROR(J540-F540,"")</x:f>
        <x:v>1.965609999999998</x:v>
      </x:c>
      <x:c r="AA540" s="41" t="n">
        <x:v>12325</x:v>
      </x:c>
      <x:c r="AB540" s="41" t="n">
        <x:v>5917</x:v>
      </x:c>
    </x:row>
    <x:row r="541">
      <x:c r="A541" s="41" t="str">
        <x:v>HYP_REFINE_AUTO002_TOPN_6_V1_DDGRID_LONG_R10_C23_E75_CR40_REDD_RECOVERED_DD8_SL18</x:v>
      </x:c>
      <x:c r="B541" s="41" t="str">
        <x:v>dd_guard_grid</x:v>
      </x:c>
      <x:c r="C541" s="41" t="str">
        <x:v>1999-01-04</x:v>
      </x:c>
      <x:c r="D541" s="41" t="str">
        <x:v>2026-05-22</x:v>
      </x:c>
      <x:c r="E541" s="41" t="n">
        <x:v>12.774898</x:v>
      </x:c>
      <x:c r="F541" s="41" t="n">
        <x:v>-33.120684</x:v>
      </x:c>
      <x:c r="G541" s="41" t="n">
        <x:v>2588.43059</x:v>
      </x:c>
      <x:c r="H541" s="41" t="n">
        <x:f>IFERROR(E541/ABS(F541),"")</x:f>
        <x:v>0.3857075536241945</x:v>
      </x:c>
      <x:c r="I541" s="41" t="n">
        <x:v>11.469726</x:v>
      </x:c>
      <x:c r="J541" s="41" t="n">
        <x:v>-30.389067</x:v>
      </x:c>
      <x:c r="K541" s="41" t="n">
        <x:v>1854.728426</x:v>
      </x:c>
      <x:c r="L541" s="41" t="n">
        <x:f>IFERROR(I541/ABS(J541),"")</x:f>
        <x:v>0.37742935641953074</x:v>
      </x:c>
      <x:c r="M541" s="41" t="n">
        <x:v>6.802475</x:v>
      </x:c>
      <x:c r="N541" s="41" t="n">
        <x:v>-56.473669</x:v>
      </x:c>
      <x:c r="O541" s="41" t="n">
        <x:v>506.057416</x:v>
      </x:c>
      <x:c r="P541" s="41" t="n">
        <x:f>IFERROR(M541/ABS(N541),"")</x:f>
        <x:v>0.12045392340278087</x:v>
      </x:c>
      <x:c r="Q541" s="41" t="str">
        <x:f>IF(L541&gt;=MAX(H541,P541),"Weekly",IF(H541&gt;=MAX(L541,P541),"No weekly","SPY"))</x:f>
        <x:v>No weekly</x:v>
      </x:c>
      <x:c r="R541" s="41" t="n">
        <x:f>IFERROR(L541-P541,"")</x:f>
        <x:v>0.25697543301674985</x:v>
      </x:c>
      <x:c r="S541" s="41" t="n">
        <x:f>IFERROR(H541-P541,"")</x:f>
        <x:v>0.2652536302214136</x:v>
      </x:c>
      <x:c r="T541" s="41" t="n">
        <x:f>IFERROR(I541-M541,"")</x:f>
        <x:v>4.667250999999999</x:v>
      </x:c>
      <x:c r="U541" s="41" t="n">
        <x:f>IFERROR(E541-M541,"")</x:f>
        <x:v>5.972423</x:v>
      </x:c>
      <x:c r="V541" s="41" t="str">
        <x:f>IF(AND(I541&gt;M541,J541&gt;N541),"Sí","No")</x:f>
        <x:v>Sí</x:v>
      </x:c>
      <x:c r="W541" s="41" t="str">
        <x:f>IF(AND(E541&gt;M541,F541&gt;N541),"Sí","No")</x:f>
        <x:v>Sí</x:v>
      </x:c>
      <x:c r="X541" s="41" t="str">
        <x:f>IF(L541&gt;=H541,"Weekly","No weekly")</x:f>
        <x:v>No weekly</x:v>
      </x:c>
      <x:c r="Y541" s="41" t="n">
        <x:f>IFERROR(I541-E541,"")</x:f>
        <x:v>-1.3051720000000007</x:v>
      </x:c>
      <x:c r="Z541" s="41" t="n">
        <x:f>IFERROR(J541-F541,"")</x:f>
        <x:v>2.7316169999999964</x:v>
      </x:c>
      <x:c r="AA541" s="41" t="n">
        <x:v>12390</x:v>
      </x:c>
      <x:c r="AB541" s="41" t="n">
        <x:v>5659</x:v>
      </x:c>
    </x:row>
    <x:row r="542">
      <x:c r="A542" s="41" t="str">
        <x:v>HYP_REFINE_AUTO002_TOPN_6_V1_DDGRID_LONG_R10_C23_E75_CR40_REDD_RECOVERED_DD8_SL20</x:v>
      </x:c>
      <x:c r="B542" s="41" t="str">
        <x:v>dd_guard_grid</x:v>
      </x:c>
      <x:c r="C542" s="41" t="str">
        <x:v>1999-01-04</x:v>
      </x:c>
      <x:c r="D542" s="41" t="str">
        <x:v>2026-05-22</x:v>
      </x:c>
      <x:c r="E542" s="41" t="n">
        <x:v>12.649355</x:v>
      </x:c>
      <x:c r="F542" s="41" t="n">
        <x:v>-33.768143</x:v>
      </x:c>
      <x:c r="G542" s="41" t="n">
        <x:v>2507.683442</x:v>
      </x:c>
      <x:c r="H542" s="41" t="n">
        <x:f>IFERROR(E542/ABS(F542),"")</x:f>
        <x:v>0.37459433288943367</x:v>
      </x:c>
      <x:c r="I542" s="41" t="n">
        <x:v>12.684852</x:v>
      </x:c>
      <x:c r="J542" s="41" t="n">
        <x:v>-29.753749</x:v>
      </x:c>
      <x:c r="K542" s="41" t="n">
        <x:v>2530.274092</x:v>
      </x:c>
      <x:c r="L542" s="41" t="n">
        <x:f>IFERROR(I542/ABS(J542),"")</x:f>
        <x:v>0.42632785535698375</x:v>
      </x:c>
      <x:c r="M542" s="41" t="n">
        <x:v>6.802475</x:v>
      </x:c>
      <x:c r="N542" s="41" t="n">
        <x:v>-56.473669</x:v>
      </x:c>
      <x:c r="O542" s="41" t="n">
        <x:v>506.057416</x:v>
      </x:c>
      <x:c r="P542" s="41" t="n">
        <x:f>IFERROR(M542/ABS(N542),"")</x:f>
        <x:v>0.12045392340278087</x:v>
      </x:c>
      <x:c r="Q542" s="41" t="str">
        <x:f>IF(L542&gt;=MAX(H542,P542),"Weekly",IF(H542&gt;=MAX(L542,P542),"No weekly","SPY"))</x:f>
        <x:v>Weekly</x:v>
      </x:c>
      <x:c r="R542" s="41" t="n">
        <x:f>IFERROR(L542-P542,"")</x:f>
        <x:v>0.30587393195420287</x:v>
      </x:c>
      <x:c r="S542" s="41" t="n">
        <x:f>IFERROR(H542-P542,"")</x:f>
        <x:v>0.2541404094866528</x:v>
      </x:c>
      <x:c r="T542" s="41" t="n">
        <x:f>IFERROR(I542-M542,"")</x:f>
        <x:v>5.882376999999999</x:v>
      </x:c>
      <x:c r="U542" s="41" t="n">
        <x:f>IFERROR(E542-M542,"")</x:f>
        <x:v>5.84688</x:v>
      </x:c>
      <x:c r="V542" s="41" t="str">
        <x:f>IF(AND(I542&gt;M542,J542&gt;N542),"Sí","No")</x:f>
        <x:v>Sí</x:v>
      </x:c>
      <x:c r="W542" s="41" t="str">
        <x:f>IF(AND(E542&gt;M542,F542&gt;N542),"Sí","No")</x:f>
        <x:v>Sí</x:v>
      </x:c>
      <x:c r="X542" s="41" t="str">
        <x:f>IF(L542&gt;=H542,"Weekly","No weekly")</x:f>
        <x:v>Weekly</x:v>
      </x:c>
      <x:c r="Y542" s="41" t="n">
        <x:f>IFERROR(I542-E542,"")</x:f>
        <x:v>0.035496999999999446</x:v>
      </x:c>
      <x:c r="Z542" s="41" t="n">
        <x:f>IFERROR(J542-F542,"")</x:f>
        <x:v>4.014394000000003</x:v>
      </x:c>
      <x:c r="AA542" s="41" t="n">
        <x:v>11915</x:v>
      </x:c>
      <x:c r="AB542" s="41" t="n">
        <x:v>5718</x:v>
      </x:c>
    </x:row>
    <x:row r="543">
      <x:c r="A543" s="41" t="str">
        <x:v>HYP_REFINE_AUTO002_TOPN_6_V1_DDGRID_LONG_R10_C23_E75_CR40_REDD_RECOVERED_DD8_SL22</x:v>
      </x:c>
      <x:c r="B543" s="41" t="str">
        <x:v>dd_guard_grid</x:v>
      </x:c>
      <x:c r="C543" s="41" t="str">
        <x:v>1999-01-04</x:v>
      </x:c>
      <x:c r="D543" s="41" t="str">
        <x:v>2026-05-22</x:v>
      </x:c>
      <x:c r="E543" s="41" t="n">
        <x:v>12.439908</x:v>
      </x:c>
      <x:c r="F543" s="41" t="n">
        <x:v>-34.327584</x:v>
      </x:c>
      <x:c r="G543" s="41" t="n">
        <x:v>2378.145303</x:v>
      </x:c>
      <x:c r="H543" s="41" t="n">
        <x:f>IFERROR(E543/ABS(F543),"")</x:f>
        <x:v>0.3623881016502647</x:v>
      </x:c>
      <x:c r="I543" s="41" t="n">
        <x:v>12.384749</x:v>
      </x:c>
      <x:c r="J543" s="41" t="n">
        <x:v>-30.29645</x:v>
      </x:c>
      <x:c r="K543" s="41" t="n">
        <x:v>2345.075989</x:v>
      </x:c>
      <x:c r="L543" s="41" t="n">
        <x:f>IFERROR(I543/ABS(J543),"")</x:f>
        <x:v>0.40878548476801735</x:v>
      </x:c>
      <x:c r="M543" s="41" t="n">
        <x:v>6.802475</x:v>
      </x:c>
      <x:c r="N543" s="41" t="n">
        <x:v>-56.473669</x:v>
      </x:c>
      <x:c r="O543" s="41" t="n">
        <x:v>506.057416</x:v>
      </x:c>
      <x:c r="P543" s="41" t="n">
        <x:f>IFERROR(M543/ABS(N543),"")</x:f>
        <x:v>0.12045392340278087</x:v>
      </x:c>
      <x:c r="Q543" s="41" t="str">
        <x:f>IF(L543&gt;=MAX(H543,P543),"Weekly",IF(H543&gt;=MAX(L543,P543),"No weekly","SPY"))</x:f>
        <x:v>Weekly</x:v>
      </x:c>
      <x:c r="R543" s="41" t="n">
        <x:f>IFERROR(L543-P543,"")</x:f>
        <x:v>0.28833156136523647</x:v>
      </x:c>
      <x:c r="S543" s="41" t="n">
        <x:f>IFERROR(H543-P543,"")</x:f>
        <x:v>0.2419341782474838</x:v>
      </x:c>
      <x:c r="T543" s="41" t="n">
        <x:f>IFERROR(I543-M543,"")</x:f>
        <x:v>5.582273999999999</x:v>
      </x:c>
      <x:c r="U543" s="41" t="n">
        <x:f>IFERROR(E543-M543,"")</x:f>
        <x:v>5.637433000000001</x:v>
      </x:c>
      <x:c r="V543" s="41" t="str">
        <x:f>IF(AND(I543&gt;M543,J543&gt;N543),"Sí","No")</x:f>
        <x:v>Sí</x:v>
      </x:c>
      <x:c r="W543" s="41" t="str">
        <x:f>IF(AND(E543&gt;M543,F543&gt;N543),"Sí","No")</x:f>
        <x:v>Sí</x:v>
      </x:c>
      <x:c r="X543" s="41" t="str">
        <x:f>IF(L543&gt;=H543,"Weekly","No weekly")</x:f>
        <x:v>Weekly</x:v>
      </x:c>
      <x:c r="Y543" s="41" t="n">
        <x:f>IFERROR(I543-E543,"")</x:f>
        <x:v>-0.05515900000000151</x:v>
      </x:c>
      <x:c r="Z543" s="41" t="n">
        <x:f>IFERROR(J543-F543,"")</x:f>
        <x:v>4.0311340000000015</x:v>
      </x:c>
      <x:c r="AA543" s="41" t="n">
        <x:v>12032</x:v>
      </x:c>
      <x:c r="AB543" s="41" t="n">
        <x:v>5678</x:v>
      </x:c>
    </x:row>
    <x:row r="544">
      <x:c r="A544" s="41" t="str">
        <x:v>HYP_REFINE_AUTO002_TOPN_6_V1_DDGRID_LONG_R10_C24_E75_CR40_REDD_RECOVERED_DD8_SL20</x:v>
      </x:c>
      <x:c r="B544" s="41" t="str">
        <x:v>dd_guard_grid</x:v>
      </x:c>
      <x:c r="C544" s="41" t="str">
        <x:v>1999-01-04</x:v>
      </x:c>
      <x:c r="D544" s="41" t="str">
        <x:v>2026-05-22</x:v>
      </x:c>
      <x:c r="E544" s="41" t="n">
        <x:v>14.024915</x:v>
      </x:c>
      <x:c r="F544" s="41" t="n">
        <x:v>-33.937267</x:v>
      </x:c>
      <x:c r="G544" s="41" t="n">
        <x:v>3535.534649</x:v>
      </x:c>
      <x:c r="H544" s="41" t="n">
        <x:f>IFERROR(E544/ABS(F544),"")</x:f>
        <x:v>0.41326000116626954</x:v>
      </x:c>
      <x:c r="I544" s="41" t="n">
        <x:v>12.525171</x:v>
      </x:c>
      <x:c r="J544" s="41" t="n">
        <x:v>-30.976034</x:v>
      </x:c>
      <x:c r="K544" s="41" t="n">
        <x:v>2430.112671</x:v>
      </x:c>
      <x:c r="L544" s="41" t="n">
        <x:f>IFERROR(I544/ABS(J544),"")</x:f>
        <x:v>0.4043503761650055</x:v>
      </x:c>
      <x:c r="M544" s="41" t="n">
        <x:v>6.802475</x:v>
      </x:c>
      <x:c r="N544" s="41" t="n">
        <x:v>-56.473669</x:v>
      </x:c>
      <x:c r="O544" s="41" t="n">
        <x:v>506.057416</x:v>
      </x:c>
      <x:c r="P544" s="41" t="n">
        <x:f>IFERROR(M544/ABS(N544),"")</x:f>
        <x:v>0.12045392340278087</x:v>
      </x:c>
      <x:c r="Q544" s="41" t="str">
        <x:f>IF(L544&gt;=MAX(H544,P544),"Weekly",IF(H544&gt;=MAX(L544,P544),"No weekly","SPY"))</x:f>
        <x:v>No weekly</x:v>
      </x:c>
      <x:c r="R544" s="41" t="n">
        <x:f>IFERROR(L544-P544,"")</x:f>
        <x:v>0.28389645276222464</x:v>
      </x:c>
      <x:c r="S544" s="41" t="n">
        <x:f>IFERROR(H544-P544,"")</x:f>
        <x:v>0.29280607776348866</x:v>
      </x:c>
      <x:c r="T544" s="41" t="n">
        <x:f>IFERROR(I544-M544,"")</x:f>
        <x:v>5.722696</x:v>
      </x:c>
      <x:c r="U544" s="41" t="n">
        <x:f>IFERROR(E544-M544,"")</x:f>
        <x:v>7.22244</x:v>
      </x:c>
      <x:c r="V544" s="41" t="str">
        <x:f>IF(AND(I544&gt;M544,J544&gt;N544),"Sí","No")</x:f>
        <x:v>Sí</x:v>
      </x:c>
      <x:c r="W544" s="41" t="str">
        <x:f>IF(AND(E544&gt;M544,F544&gt;N544),"Sí","No")</x:f>
        <x:v>Sí</x:v>
      </x:c>
      <x:c r="X544" s="41" t="str">
        <x:f>IF(L544&gt;=H544,"Weekly","No weekly")</x:f>
        <x:v>No weekly</x:v>
      </x:c>
      <x:c r="Y544" s="41" t="n">
        <x:f>IFERROR(I544-E544,"")</x:f>
        <x:v>-1.4997439999999997</x:v>
      </x:c>
      <x:c r="Z544" s="41" t="n">
        <x:f>IFERROR(J544-F544,"")</x:f>
        <x:v>2.961233</x:v>
      </x:c>
      <x:c r="AA544" s="41" t="n">
        <x:v>12012</x:v>
      </x:c>
      <x:c r="AB544" s="41" t="n">
        <x:v>5442</x:v>
      </x:c>
    </x:row>
    <x:row r="545">
      <x:c r="A545" s="41" t="str">
        <x:v>HYP_REFINE_AUTO002_TOPN_6_V1_DDGRID_LONG_R11_C20_E75_CR40_REDD_RECOVERED_DD8_SL20</x:v>
      </x:c>
      <x:c r="B545" s="41" t="str">
        <x:v>dd_guard_grid</x:v>
      </x:c>
      <x:c r="C545" s="41" t="str">
        <x:v>1999-01-04</x:v>
      </x:c>
      <x:c r="D545" s="41" t="str">
        <x:v>2026-05-22</x:v>
      </x:c>
      <x:c r="E545" s="41" t="n">
        <x:v>11.387704</x:v>
      </x:c>
      <x:c r="F545" s="41" t="n">
        <x:v>-31.728289</x:v>
      </x:c>
      <x:c r="G545" s="41" t="n">
        <x:v>1815.728919</x:v>
      </x:c>
      <x:c r="H545" s="41" t="n">
        <x:f>IFERROR(E545/ABS(F545),"")</x:f>
        <x:v>0.3589132713711729</x:v>
      </x:c>
      <x:c r="I545" s="41" t="n">
        <x:v>12.697982</x:v>
      </x:c>
      <x:c r="J545" s="41" t="n">
        <x:v>-28.480174</x:v>
      </x:c>
      <x:c r="K545" s="41" t="n">
        <x:v>2538.678547</x:v>
      </x:c>
      <x:c r="L545" s="41" t="n">
        <x:f>IFERROR(I545/ABS(J545),"")</x:f>
        <x:v>0.44585338558675935</x:v>
      </x:c>
      <x:c r="M545" s="41" t="n">
        <x:v>6.802475</x:v>
      </x:c>
      <x:c r="N545" s="41" t="n">
        <x:v>-56.473669</x:v>
      </x:c>
      <x:c r="O545" s="41" t="n">
        <x:v>506.057416</x:v>
      </x:c>
      <x:c r="P545" s="41" t="n">
        <x:f>IFERROR(M545/ABS(N545),"")</x:f>
        <x:v>0.12045392340278087</x:v>
      </x:c>
      <x:c r="Q545" s="41" t="str">
        <x:f>IF(L545&gt;=MAX(H545,P545),"Weekly",IF(H545&gt;=MAX(L545,P545),"No weekly","SPY"))</x:f>
        <x:v>Weekly</x:v>
      </x:c>
      <x:c r="R545" s="41" t="n">
        <x:f>IFERROR(L545-P545,"")</x:f>
        <x:v>0.32539946218397847</x:v>
      </x:c>
      <x:c r="S545" s="41" t="n">
        <x:f>IFERROR(H545-P545,"")</x:f>
        <x:v>0.23845934796839202</x:v>
      </x:c>
      <x:c r="T545" s="41" t="n">
        <x:f>IFERROR(I545-M545,"")</x:f>
        <x:v>5.895506999999999</x:v>
      </x:c>
      <x:c r="U545" s="41" t="n">
        <x:f>IFERROR(E545-M545,"")</x:f>
        <x:v>4.585228999999999</x:v>
      </x:c>
      <x:c r="V545" s="41" t="str">
        <x:f>IF(AND(I545&gt;M545,J545&gt;N545),"Sí","No")</x:f>
        <x:v>Sí</x:v>
      </x:c>
      <x:c r="W545" s="41" t="str">
        <x:f>IF(AND(E545&gt;M545,F545&gt;N545),"Sí","No")</x:f>
        <x:v>Sí</x:v>
      </x:c>
      <x:c r="X545" s="41" t="str">
        <x:f>IF(L545&gt;=H545,"Weekly","No weekly")</x:f>
        <x:v>Weekly</x:v>
      </x:c>
      <x:c r="Y545" s="41" t="n">
        <x:f>IFERROR(I545-E545,"")</x:f>
        <x:v>1.3102780000000003</x:v>
      </x:c>
      <x:c r="Z545" s="41" t="n">
        <x:f>IFERROR(J545-F545,"")</x:f>
        <x:v>3.2481149999999985</x:v>
      </x:c>
      <x:c r="AA545" s="41" t="n">
        <x:v>11908</x:v>
      </x:c>
      <x:c r="AB545" s="41" t="n">
        <x:v>6068</x:v>
      </x:c>
    </x:row>
    <x:row r="546">
      <x:c r="A546" s="41" t="str">
        <x:v>HYP_REFINE_AUTO002_TOPN_6_V1_DDGRID_LONG_R11_C20_E75_CR40_REDD_RECOVERED_DD8_SL22</x:v>
      </x:c>
      <x:c r="B546" s="41" t="str">
        <x:v>dd_guard_grid</x:v>
      </x:c>
      <x:c r="C546" s="41" t="str">
        <x:v>1999-01-04</x:v>
      </x:c>
      <x:c r="D546" s="41" t="str">
        <x:v>2026-05-22</x:v>
      </x:c>
      <x:c r="E546" s="41" t="n">
        <x:v>10.728832</x:v>
      </x:c>
      <x:c r="F546" s="41" t="n">
        <x:v>-33.014094</x:v>
      </x:c>
      <x:c r="G546" s="41" t="n">
        <x:v>1528.517544</x:v>
      </x:c>
      <x:c r="H546" s="41" t="n">
        <x:f>IFERROR(E546/ABS(F546),"")</x:f>
        <x:v>0.3249773263503763</x:v>
      </x:c>
      <x:c r="I546" s="41" t="n">
        <x:v>12.48634</x:v>
      </x:c>
      <x:c r="J546" s="41" t="n">
        <x:v>-28.364536</x:v>
      </x:c>
      <x:c r="K546" s="41" t="n">
        <x:v>2406.31648</x:v>
      </x:c>
      <x:c r="L546" s="41" t="n">
        <x:f>IFERROR(I546/ABS(J546),"")</x:f>
        <x:v>0.4402095630966782</x:v>
      </x:c>
      <x:c r="M546" s="41" t="n">
        <x:v>6.802475</x:v>
      </x:c>
      <x:c r="N546" s="41" t="n">
        <x:v>-56.473669</x:v>
      </x:c>
      <x:c r="O546" s="41" t="n">
        <x:v>506.057416</x:v>
      </x:c>
      <x:c r="P546" s="41" t="n">
        <x:f>IFERROR(M546/ABS(N546),"")</x:f>
        <x:v>0.12045392340278087</x:v>
      </x:c>
      <x:c r="Q546" s="41" t="str">
        <x:f>IF(L546&gt;=MAX(H546,P546),"Weekly",IF(H546&gt;=MAX(L546,P546),"No weekly","SPY"))</x:f>
        <x:v>Weekly</x:v>
      </x:c>
      <x:c r="R546" s="41" t="n">
        <x:f>IFERROR(L546-P546,"")</x:f>
        <x:v>0.3197556396938973</x:v>
      </x:c>
      <x:c r="S546" s="41" t="n">
        <x:f>IFERROR(H546-P546,"")</x:f>
        <x:v>0.2045234029475954</x:v>
      </x:c>
      <x:c r="T546" s="41" t="n">
        <x:f>IFERROR(I546-M546,"")</x:f>
        <x:v>5.683865</x:v>
      </x:c>
      <x:c r="U546" s="41" t="n">
        <x:f>IFERROR(E546-M546,"")</x:f>
        <x:v>3.9263570000000003</x:v>
      </x:c>
      <x:c r="V546" s="41" t="str">
        <x:f>IF(AND(I546&gt;M546,J546&gt;N546),"Sí","No")</x:f>
        <x:v>Sí</x:v>
      </x:c>
      <x:c r="W546" s="41" t="str">
        <x:f>IF(AND(E546&gt;M546,F546&gt;N546),"Sí","No")</x:f>
        <x:v>Sí</x:v>
      </x:c>
      <x:c r="X546" s="41" t="str">
        <x:f>IF(L546&gt;=H546,"Weekly","No weekly")</x:f>
        <x:v>Weekly</x:v>
      </x:c>
      <x:c r="Y546" s="41" t="n">
        <x:f>IFERROR(I546-E546,"")</x:f>
        <x:v>1.7575079999999996</x:v>
      </x:c>
      <x:c r="Z546" s="41" t="n">
        <x:f>IFERROR(J546-F546,"")</x:f>
        <x:v>4.649557999999999</x:v>
      </x:c>
      <x:c r="AA546" s="41" t="n">
        <x:v>11862</x:v>
      </x:c>
      <x:c r="AB546" s="41" t="n">
        <x:v>6095</x:v>
      </x:c>
    </x:row>
    <x:row r="547">
      <x:c r="A547" s="41" t="str">
        <x:v>HYP_REFINE_AUTO002_TOPN_6_V1_DDGRID_LONG_R11_C21_E75_CR40_REDD_RECOVERED_DD7_SL18</x:v>
      </x:c>
      <x:c r="B547" s="41" t="str">
        <x:v>dd_guard_grid</x:v>
      </x:c>
      <x:c r="C547" s="41" t="str">
        <x:v>1999-01-04</x:v>
      </x:c>
      <x:c r="D547" s="41" t="str">
        <x:v>2026-05-22</x:v>
      </x:c>
      <x:c r="E547" s="41" t="n">
        <x:v>10.644624</x:v>
      </x:c>
      <x:c r="F547" s="41" t="n">
        <x:v>-31.460688</x:v>
      </x:c>
      <x:c r="G547" s="41" t="n">
        <x:v>1494.94822</x:v>
      </x:c>
      <x:c r="H547" s="41" t="n">
        <x:f>IFERROR(E547/ABS(F547),"")</x:f>
        <x:v>0.3383468282702527</x:v>
      </x:c>
      <x:c r="I547" s="41" t="n">
        <x:v>11.743916</x:v>
      </x:c>
      <x:c r="J547" s="41" t="n">
        <x:v>-28.891144</x:v>
      </x:c>
      <x:c r="K547" s="41" t="n">
        <x:v>1990.730549</x:v>
      </x:c>
      <x:c r="L547" s="41" t="n">
        <x:f>IFERROR(I547/ABS(J547),"")</x:f>
        <x:v>0.4064884381179229</x:v>
      </x:c>
      <x:c r="M547" s="41" t="n">
        <x:v>6.802475</x:v>
      </x:c>
      <x:c r="N547" s="41" t="n">
        <x:v>-56.473669</x:v>
      </x:c>
      <x:c r="O547" s="41" t="n">
        <x:v>506.057416</x:v>
      </x:c>
      <x:c r="P547" s="41" t="n">
        <x:f>IFERROR(M547/ABS(N547),"")</x:f>
        <x:v>0.12045392340278087</x:v>
      </x:c>
      <x:c r="Q547" s="41" t="str">
        <x:f>IF(L547&gt;=MAX(H547,P547),"Weekly",IF(H547&gt;=MAX(L547,P547),"No weekly","SPY"))</x:f>
        <x:v>Weekly</x:v>
      </x:c>
      <x:c r="R547" s="41" t="n">
        <x:f>IFERROR(L547-P547,"")</x:f>
        <x:v>0.286034514715142</x:v>
      </x:c>
      <x:c r="S547" s="41" t="n">
        <x:f>IFERROR(H547-P547,"")</x:f>
        <x:v>0.21789290486747181</x:v>
      </x:c>
      <x:c r="T547" s="41" t="n">
        <x:f>IFERROR(I547-M547,"")</x:f>
        <x:v>4.941441</x:v>
      </x:c>
      <x:c r="U547" s="41" t="n">
        <x:f>IFERROR(E547-M547,"")</x:f>
        <x:v>3.842149</x:v>
      </x:c>
      <x:c r="V547" s="41" t="str">
        <x:f>IF(AND(I547&gt;M547,J547&gt;N547),"Sí","No")</x:f>
        <x:v>Sí</x:v>
      </x:c>
      <x:c r="W547" s="41" t="str">
        <x:f>IF(AND(E547&gt;M547,F547&gt;N547),"Sí","No")</x:f>
        <x:v>Sí</x:v>
      </x:c>
      <x:c r="X547" s="41" t="str">
        <x:f>IF(L547&gt;=H547,"Weekly","No weekly")</x:f>
        <x:v>Weekly</x:v>
      </x:c>
      <x:c r="Y547" s="41" t="n">
        <x:f>IFERROR(I547-E547,"")</x:f>
        <x:v>1.0992920000000002</x:v>
      </x:c>
      <x:c r="Z547" s="41" t="n">
        <x:f>IFERROR(J547-F547,"")</x:f>
        <x:v>2.5695440000000005</x:v>
      </x:c>
      <x:c r="AA547" s="41" t="n">
        <x:v>12157</x:v>
      </x:c>
      <x:c r="AB547" s="41" t="n">
        <x:v>6014</x:v>
      </x:c>
    </x:row>
    <x:row r="548">
      <x:c r="A548" s="41" t="str">
        <x:v>HYP_REFINE_AUTO002_TOPN_6_V1_DDGRID_LONG_R11_C21_E75_CR40_REDD_RECOVERED_DD8_SL20</x:v>
      </x:c>
      <x:c r="B548" s="41" t="str">
        <x:v>dd_guard_grid</x:v>
      </x:c>
      <x:c r="C548" s="41" t="str">
        <x:v>1999-01-04</x:v>
      </x:c>
      <x:c r="D548" s="41" t="str">
        <x:v>2026-05-22</x:v>
      </x:c>
      <x:c r="E548" s="41" t="n">
        <x:v>12.840019</x:v>
      </x:c>
      <x:c r="F548" s="41" t="n">
        <x:v>-32.545222</x:v>
      </x:c>
      <x:c r="G548" s="41" t="n">
        <x:v>2631.258504</x:v>
      </x:c>
      <x:c r="H548" s="41" t="n">
        <x:f>IFERROR(E548/ABS(F548),"")</x:f>
        <x:v>0.3945285424693062</x:v>
      </x:c>
      <x:c r="I548" s="41" t="n">
        <x:v>13.410433</x:v>
      </x:c>
      <x:c r="J548" s="41" t="n">
        <x:v>-29.110571</x:v>
      </x:c>
      <x:c r="K548" s="41" t="n">
        <x:v>3035.579421</x:v>
      </x:c>
      <x:c r="L548" s="41" t="n">
        <x:f>IFERROR(I548/ABS(J548),"")</x:f>
        <x:v>0.4606722760608165</x:v>
      </x:c>
      <x:c r="M548" s="41" t="n">
        <x:v>6.802475</x:v>
      </x:c>
      <x:c r="N548" s="41" t="n">
        <x:v>-56.473669</x:v>
      </x:c>
      <x:c r="O548" s="41" t="n">
        <x:v>506.057416</x:v>
      </x:c>
      <x:c r="P548" s="41" t="n">
        <x:f>IFERROR(M548/ABS(N548),"")</x:f>
        <x:v>0.12045392340278087</x:v>
      </x:c>
      <x:c r="Q548" s="41" t="str">
        <x:f>IF(L548&gt;=MAX(H548,P548),"Weekly",IF(H548&gt;=MAX(L548,P548),"No weekly","SPY"))</x:f>
        <x:v>Weekly</x:v>
      </x:c>
      <x:c r="R548" s="41" t="n">
        <x:f>IFERROR(L548-P548,"")</x:f>
        <x:v>0.3402183526580356</x:v>
      </x:c>
      <x:c r="S548" s="41" t="n">
        <x:f>IFERROR(H548-P548,"")</x:f>
        <x:v>0.2740746190665253</x:v>
      </x:c>
      <x:c r="T548" s="41" t="n">
        <x:f>IFERROR(I548-M548,"")</x:f>
        <x:v>6.607957999999999</x:v>
      </x:c>
      <x:c r="U548" s="41" t="n">
        <x:f>IFERROR(E548-M548,"")</x:f>
        <x:v>6.037544</x:v>
      </x:c>
      <x:c r="V548" s="41" t="str">
        <x:f>IF(AND(I548&gt;M548,J548&gt;N548),"Sí","No")</x:f>
        <x:v>Sí</x:v>
      </x:c>
      <x:c r="W548" s="41" t="str">
        <x:f>IF(AND(E548&gt;M548,F548&gt;N548),"Sí","No")</x:f>
        <x:v>Sí</x:v>
      </x:c>
      <x:c r="X548" s="41" t="str">
        <x:f>IF(L548&gt;=H548,"Weekly","No weekly")</x:f>
        <x:v>Weekly</x:v>
      </x:c>
      <x:c r="Y548" s="41" t="n">
        <x:f>IFERROR(I548-E548,"")</x:f>
        <x:v>0.5704139999999995</x:v>
      </x:c>
      <x:c r="Z548" s="41" t="n">
        <x:f>IFERROR(J548-F548,"")</x:f>
        <x:v>3.4346510000000023</x:v>
      </x:c>
      <x:c r="AA548" s="41" t="n">
        <x:v>11960</x:v>
      </x:c>
      <x:c r="AB548" s="41" t="n">
        <x:v>5894</x:v>
      </x:c>
    </x:row>
    <x:row r="549">
      <x:c r="A549" s="41" t="str">
        <x:v>HYP_REFINE_AUTO002_TOPN_6_V1_DDGRID_LONG_R11_C21_E75_CR40_REDD_RECOVERED_DD8_SL22</x:v>
      </x:c>
      <x:c r="B549" s="41" t="str">
        <x:v>dd_guard_grid</x:v>
      </x:c>
      <x:c r="C549" s="41" t="str">
        <x:v>1999-01-04</x:v>
      </x:c>
      <x:c r="D549" s="41" t="str">
        <x:v>2026-05-22</x:v>
      </x:c>
      <x:c r="E549" s="41" t="n">
        <x:v>10.856943</x:v>
      </x:c>
      <x:c r="F549" s="41" t="n">
        <x:v>-33.791205</x:v>
      </x:c>
      <x:c r="G549" s="41" t="n">
        <x:v>1580.898103</x:v>
      </x:c>
      <x:c r="H549" s="41" t="n">
        <x:f>IFERROR(E549/ABS(F549),"")</x:f>
        <x:v>0.32129493458430974</x:v>
      </x:c>
      <x:c r="I549" s="41" t="n">
        <x:v>12.260422</x:v>
      </x:c>
      <x:c r="J549" s="41" t="n">
        <x:v>-28.995952</x:v>
      </x:c>
      <x:c r="K549" s="41" t="n">
        <x:v>2272.090444</x:v>
      </x:c>
      <x:c r="L549" s="41" t="n">
        <x:f>IFERROR(I549/ABS(J549),"")</x:f>
        <x:v>0.42283219395590116</x:v>
      </x:c>
      <x:c r="M549" s="41" t="n">
        <x:v>6.802475</x:v>
      </x:c>
      <x:c r="N549" s="41" t="n">
        <x:v>-56.473669</x:v>
      </x:c>
      <x:c r="O549" s="41" t="n">
        <x:v>506.057416</x:v>
      </x:c>
      <x:c r="P549" s="41" t="n">
        <x:f>IFERROR(M549/ABS(N549),"")</x:f>
        <x:v>0.12045392340278087</x:v>
      </x:c>
      <x:c r="Q549" s="41" t="str">
        <x:f>IF(L549&gt;=MAX(H549,P549),"Weekly",IF(H549&gt;=MAX(L549,P549),"No weekly","SPY"))</x:f>
        <x:v>Weekly</x:v>
      </x:c>
      <x:c r="R549" s="41" t="n">
        <x:f>IFERROR(L549-P549,"")</x:f>
        <x:v>0.3023782705531203</x:v>
      </x:c>
      <x:c r="S549" s="41" t="n">
        <x:f>IFERROR(H549-P549,"")</x:f>
        <x:v>0.20084101118152886</x:v>
      </x:c>
      <x:c r="T549" s="41" t="n">
        <x:f>IFERROR(I549-M549,"")</x:f>
        <x:v>5.457947</x:v>
      </x:c>
      <x:c r="U549" s="41" t="n">
        <x:f>IFERROR(E549-M549,"")</x:f>
        <x:v>4.054467999999999</x:v>
      </x:c>
      <x:c r="V549" s="41" t="str">
        <x:f>IF(AND(I549&gt;M549,J549&gt;N549),"Sí","No")</x:f>
        <x:v>Sí</x:v>
      </x:c>
      <x:c r="W549" s="41" t="str">
        <x:f>IF(AND(E549&gt;M549,F549&gt;N549),"Sí","No")</x:f>
        <x:v>Sí</x:v>
      </x:c>
      <x:c r="X549" s="41" t="str">
        <x:f>IF(L549&gt;=H549,"Weekly","No weekly")</x:f>
        <x:v>Weekly</x:v>
      </x:c>
      <x:c r="Y549" s="41" t="n">
        <x:f>IFERROR(I549-E549,"")</x:f>
        <x:v>1.4034790000000008</x:v>
      </x:c>
      <x:c r="Z549" s="41" t="n">
        <x:f>IFERROR(J549-F549,"")</x:f>
        <x:v>4.795252999999999</x:v>
      </x:c>
      <x:c r="AA549" s="41" t="n">
        <x:v>12338</x:v>
      </x:c>
      <x:c r="AB549" s="41" t="n">
        <x:v>5959</x:v>
      </x:c>
    </x:row>
    <x:row r="550">
      <x:c r="A550" s="41" t="str">
        <x:v>HYP_REFINE_AUTO002_TOPN_6_V1_DDGRID_LONG_R11_C21_E75_CR45_REDD_RECOVERED_DD8_SL20</x:v>
      </x:c>
      <x:c r="B550" s="41" t="str">
        <x:v>dd_guard_grid</x:v>
      </x:c>
      <x:c r="C550" s="41" t="str">
        <x:v>1999-01-04</x:v>
      </x:c>
      <x:c r="D550" s="41" t="str">
        <x:v>2026-05-22</x:v>
      </x:c>
      <x:c r="E550" s="41" t="n">
        <x:v>13.595386</x:v>
      </x:c>
      <x:c r="F550" s="41" t="n">
        <x:v>-33.712</x:v>
      </x:c>
      <x:c r="G550" s="41" t="n">
        <x:v>3178.635565</x:v>
      </x:c>
      <x:c r="H550" s="41" t="n">
        <x:f>IFERROR(E550/ABS(F550),"")</x:f>
        <x:v>0.4032803156146179</x:v>
      </x:c>
      <x:c r="I550" s="41" t="n">
        <x:v>13.608231</x:v>
      </x:c>
      <x:c r="J550" s="41" t="n">
        <x:v>-29.265353</x:v>
      </x:c>
      <x:c r="K550" s="41" t="n">
        <x:v>3188.800576</x:v>
      </x:c>
      <x:c r="L550" s="41" t="n">
        <x:f>IFERROR(I550/ABS(J550),"")</x:f>
        <x:v>0.46499459616974376</x:v>
      </x:c>
      <x:c r="M550" s="41" t="n">
        <x:v>6.802475</x:v>
      </x:c>
      <x:c r="N550" s="41" t="n">
        <x:v>-56.473669</x:v>
      </x:c>
      <x:c r="O550" s="41" t="n">
        <x:v>506.057416</x:v>
      </x:c>
      <x:c r="P550" s="41" t="n">
        <x:f>IFERROR(M550/ABS(N550),"")</x:f>
        <x:v>0.12045392340278087</x:v>
      </x:c>
      <x:c r="Q550" s="41" t="str">
        <x:f>IF(L550&gt;=MAX(H550,P550),"Weekly",IF(H550&gt;=MAX(L550,P550),"No weekly","SPY"))</x:f>
        <x:v>Weekly</x:v>
      </x:c>
      <x:c r="R550" s="41" t="n">
        <x:f>IFERROR(L550-P550,"")</x:f>
        <x:v>0.3445406727669629</x:v>
      </x:c>
      <x:c r="S550" s="41" t="n">
        <x:f>IFERROR(H550-P550,"")</x:f>
        <x:v>0.28282639221183703</x:v>
      </x:c>
      <x:c r="T550" s="41" t="n">
        <x:f>IFERROR(I550-M550,"")</x:f>
        <x:v>6.805756</x:v>
      </x:c>
      <x:c r="U550" s="41" t="n">
        <x:f>IFERROR(E550-M550,"")</x:f>
        <x:v>6.792910999999999</x:v>
      </x:c>
      <x:c r="V550" s="41" t="str">
        <x:f>IF(AND(I550&gt;M550,J550&gt;N550),"Sí","No")</x:f>
        <x:v>Sí</x:v>
      </x:c>
      <x:c r="W550" s="41" t="str">
        <x:f>IF(AND(E550&gt;M550,F550&gt;N550),"Sí","No")</x:f>
        <x:v>Sí</x:v>
      </x:c>
      <x:c r="X550" s="41" t="str">
        <x:f>IF(L550&gt;=H550,"Weekly","No weekly")</x:f>
        <x:v>Weekly</x:v>
      </x:c>
      <x:c r="Y550" s="41" t="n">
        <x:f>IFERROR(I550-E550,"")</x:f>
        <x:v>0.01284500000000044</x:v>
      </x:c>
      <x:c r="Z550" s="41" t="n">
        <x:f>IFERROR(J550-F550,"")</x:f>
        <x:v>4.446647000000002</x:v>
      </x:c>
      <x:c r="AA550" s="41" t="n">
        <x:v>11680</x:v>
      </x:c>
      <x:c r="AB550" s="41" t="n">
        <x:v>5657</x:v>
      </x:c>
    </x:row>
    <x:row r="551">
      <x:c r="A551" s="41" t="str">
        <x:v>HYP_REFINE_AUTO002_TOPN_6_V1_DDGRID_LONG_R11_C22_E70_CR40_REDD_RECOVERED_DD8_SL20</x:v>
      </x:c>
      <x:c r="B551" s="41" t="str">
        <x:v>dd_guard_grid</x:v>
      </x:c>
      <x:c r="C551" s="41" t="str">
        <x:v>1999-01-04</x:v>
      </x:c>
      <x:c r="D551" s="41" t="str">
        <x:v>2026-05-22</x:v>
      </x:c>
      <x:c r="E551" s="41" t="n">
        <x:v>12.41089</x:v>
      </x:c>
      <x:c r="F551" s="41" t="n">
        <x:v>-32.799855</x:v>
      </x:c>
      <x:c r="G551" s="41" t="n">
        <x:v>2360.695274</x:v>
      </x:c>
      <x:c r="H551" s="41" t="n">
        <x:f>IFERROR(E551/ABS(F551),"")</x:f>
        <x:v>0.37838246541028914</x:v>
      </x:c>
      <x:c r="I551" s="41" t="n">
        <x:v>12.726505</x:v>
      </x:c>
      <x:c r="J551" s="41" t="n">
        <x:v>-28.541105</x:v>
      </x:c>
      <x:c r="K551" s="41" t="n">
        <x:v>2557.023445</x:v>
      </x:c>
      <x:c r="L551" s="41" t="n">
        <x:f>IFERROR(I551/ABS(J551),"")</x:f>
        <x:v>0.44590092079476246</x:v>
      </x:c>
      <x:c r="M551" s="41" t="n">
        <x:v>6.802475</x:v>
      </x:c>
      <x:c r="N551" s="41" t="n">
        <x:v>-56.473669</x:v>
      </x:c>
      <x:c r="O551" s="41" t="n">
        <x:v>506.057416</x:v>
      </x:c>
      <x:c r="P551" s="41" t="n">
        <x:f>IFERROR(M551/ABS(N551),"")</x:f>
        <x:v>0.12045392340278087</x:v>
      </x:c>
      <x:c r="Q551" s="41" t="str">
        <x:f>IF(L551&gt;=MAX(H551,P551),"Weekly",IF(H551&gt;=MAX(L551,P551),"No weekly","SPY"))</x:f>
        <x:v>Weekly</x:v>
      </x:c>
      <x:c r="R551" s="41" t="n">
        <x:f>IFERROR(L551-P551,"")</x:f>
        <x:v>0.3254469973919816</x:v>
      </x:c>
      <x:c r="S551" s="41" t="n">
        <x:f>IFERROR(H551-P551,"")</x:f>
        <x:v>0.25792854200750825</x:v>
      </x:c>
      <x:c r="T551" s="41" t="n">
        <x:f>IFERROR(I551-M551,"")</x:f>
        <x:v>5.924029999999999</x:v>
      </x:c>
      <x:c r="U551" s="41" t="n">
        <x:f>IFERROR(E551-M551,"")</x:f>
        <x:v>5.608415</x:v>
      </x:c>
      <x:c r="V551" s="41" t="str">
        <x:f>IF(AND(I551&gt;M551,J551&gt;N551),"Sí","No")</x:f>
        <x:v>Sí</x:v>
      </x:c>
      <x:c r="W551" s="41" t="str">
        <x:f>IF(AND(E551&gt;M551,F551&gt;N551),"Sí","No")</x:f>
        <x:v>Sí</x:v>
      </x:c>
      <x:c r="X551" s="41" t="str">
        <x:f>IF(L551&gt;=H551,"Weekly","No weekly")</x:f>
        <x:v>Weekly</x:v>
      </x:c>
      <x:c r="Y551" s="41" t="n">
        <x:f>IFERROR(I551-E551,"")</x:f>
        <x:v>0.3156149999999993</x:v>
      </x:c>
      <x:c r="Z551" s="41" t="n">
        <x:f>IFERROR(J551-F551,"")</x:f>
        <x:v>4.258749999999999</x:v>
      </x:c>
      <x:c r="AA551" s="41" t="n">
        <x:v>12228</x:v>
      </x:c>
      <x:c r="AB551" s="41" t="n">
        <x:v>5661</x:v>
      </x:c>
    </x:row>
    <x:row r="552">
      <x:c r="A552" s="41" t="str">
        <x:v>HYP_REFINE_AUTO002_TOPN_6_V1_DDGRID_LONG_R11_C22_E72_CR40_REDD_RECOVERED_DD7_SL18</x:v>
      </x:c>
      <x:c r="B552" s="41" t="str">
        <x:v>dd_guard_grid</x:v>
      </x:c>
      <x:c r="C552" s="41" t="str">
        <x:v>1999-01-04</x:v>
      </x:c>
      <x:c r="D552" s="41" t="str">
        <x:v>2026-05-22</x:v>
      </x:c>
      <x:c r="E552" s="41" t="n">
        <x:v>11.43363</x:v>
      </x:c>
      <x:c r="F552" s="41" t="n">
        <x:v>-31.618695</x:v>
      </x:c>
      <x:c r="G552" s="41" t="n">
        <x:v>1837.472473</x:v>
      </x:c>
      <x:c r="H552" s="41" t="n">
        <x:f>IFERROR(E552/ABS(F552),"")</x:f>
        <x:v>0.36160980078399824</x:v>
      </x:c>
      <x:c r="I552" s="41" t="n">
        <x:v>11.462627</x:v>
      </x:c>
      <x:c r="J552" s="41" t="n">
        <x:v>-29.375561</x:v>
      </x:c>
      <x:c r="K552" s="41" t="n">
        <x:v>1851.323409</x:v>
      </x:c>
      <x:c r="L552" s="41" t="n">
        <x:f>IFERROR(I552/ABS(J552),"")</x:f>
        <x:v>0.39020963718786505</x:v>
      </x:c>
      <x:c r="M552" s="41" t="n">
        <x:v>6.802475</x:v>
      </x:c>
      <x:c r="N552" s="41" t="n">
        <x:v>-56.473669</x:v>
      </x:c>
      <x:c r="O552" s="41" t="n">
        <x:v>506.057416</x:v>
      </x:c>
      <x:c r="P552" s="41" t="n">
        <x:f>IFERROR(M552/ABS(N552),"")</x:f>
        <x:v>0.12045392340278087</x:v>
      </x:c>
      <x:c r="Q552" s="41" t="str">
        <x:f>IF(L552&gt;=MAX(H552,P552),"Weekly",IF(H552&gt;=MAX(L552,P552),"No weekly","SPY"))</x:f>
        <x:v>Weekly</x:v>
      </x:c>
      <x:c r="R552" s="41" t="n">
        <x:f>IFERROR(L552-P552,"")</x:f>
        <x:v>0.2697557137850842</x:v>
      </x:c>
      <x:c r="S552" s="41" t="n">
        <x:f>IFERROR(H552-P552,"")</x:f>
        <x:v>0.24115587738121735</x:v>
      </x:c>
      <x:c r="T552" s="41" t="n">
        <x:f>IFERROR(I552-M552,"")</x:f>
        <x:v>4.660151999999999</x:v>
      </x:c>
      <x:c r="U552" s="41" t="n">
        <x:f>IFERROR(E552-M552,"")</x:f>
        <x:v>4.631155000000001</x:v>
      </x:c>
      <x:c r="V552" s="41" t="str">
        <x:f>IF(AND(I552&gt;M552,J552&gt;N552),"Sí","No")</x:f>
        <x:v>Sí</x:v>
      </x:c>
      <x:c r="W552" s="41" t="str">
        <x:f>IF(AND(E552&gt;M552,F552&gt;N552),"Sí","No")</x:f>
        <x:v>Sí</x:v>
      </x:c>
      <x:c r="X552" s="41" t="str">
        <x:f>IF(L552&gt;=H552,"Weekly","No weekly")</x:f>
        <x:v>Weekly</x:v>
      </x:c>
      <x:c r="Y552" s="41" t="n">
        <x:f>IFERROR(I552-E552,"")</x:f>
        <x:v>0.028996999999998607</x:v>
      </x:c>
      <x:c r="Z552" s="41" t="n">
        <x:f>IFERROR(J552-F552,"")</x:f>
        <x:v>2.2431339999999977</x:v>
      </x:c>
      <x:c r="AA552" s="41" t="n">
        <x:v>12218</x:v>
      </x:c>
      <x:c r="AB552" s="41" t="n">
        <x:v>6166</x:v>
      </x:c>
    </x:row>
    <x:row r="553">
      <x:c r="A553" s="41" t="str">
        <x:v>HYP_REFINE_AUTO002_TOPN_6_V1_DDGRID_LONG_R11_C22_E72_CR40_REDD_RECOVERED_DD8_SL20</x:v>
      </x:c>
      <x:c r="B553" s="41" t="str">
        <x:v>dd_guard_grid</x:v>
      </x:c>
      <x:c r="C553" s="41" t="str">
        <x:v>1999-01-04</x:v>
      </x:c>
      <x:c r="D553" s="41" t="str">
        <x:v>2026-05-22</x:v>
      </x:c>
      <x:c r="E553" s="41" t="n">
        <x:v>12.147749</x:v>
      </x:c>
      <x:c r="F553" s="41" t="n">
        <x:v>-32.203285</x:v>
      </x:c>
      <x:c r="G553" s="41" t="n">
        <x:v>2207.763437</x:v>
      </x:c>
      <x:c r="H553" s="41" t="n">
        <x:f>IFERROR(E553/ABS(F553),"")</x:f>
        <x:v>0.37722080216350595</x:v>
      </x:c>
      <x:c r="I553" s="41" t="n">
        <x:v>13.265851</x:v>
      </x:c>
      <x:c r="J553" s="41" t="n">
        <x:v>-29.006813</x:v>
      </x:c>
      <x:c r="K553" s="41" t="n">
        <x:v>2927.956645</x:v>
      </x:c>
      <x:c r="L553" s="41" t="n">
        <x:f>IFERROR(I553/ABS(J553),"")</x:f>
        <x:v>0.4573356955829653</x:v>
      </x:c>
      <x:c r="M553" s="41" t="n">
        <x:v>6.802475</x:v>
      </x:c>
      <x:c r="N553" s="41" t="n">
        <x:v>-56.473669</x:v>
      </x:c>
      <x:c r="O553" s="41" t="n">
        <x:v>506.057416</x:v>
      </x:c>
      <x:c r="P553" s="41" t="n">
        <x:f>IFERROR(M553/ABS(N553),"")</x:f>
        <x:v>0.12045392340278087</x:v>
      </x:c>
      <x:c r="Q553" s="41" t="str">
        <x:f>IF(L553&gt;=MAX(H553,P553),"Weekly",IF(H553&gt;=MAX(L553,P553),"No weekly","SPY"))</x:f>
        <x:v>Weekly</x:v>
      </x:c>
      <x:c r="R553" s="41" t="n">
        <x:f>IFERROR(L553-P553,"")</x:f>
        <x:v>0.3368817721801844</x:v>
      </x:c>
      <x:c r="S553" s="41" t="n">
        <x:f>IFERROR(H553-P553,"")</x:f>
        <x:v>0.25676687876072507</x:v>
      </x:c>
      <x:c r="T553" s="41" t="n">
        <x:f>IFERROR(I553-M553,"")</x:f>
        <x:v>6.463375999999999</x:v>
      </x:c>
      <x:c r="U553" s="41" t="n">
        <x:f>IFERROR(E553-M553,"")</x:f>
        <x:v>5.345273999999999</x:v>
      </x:c>
      <x:c r="V553" s="41" t="str">
        <x:f>IF(AND(I553&gt;M553,J553&gt;N553),"Sí","No")</x:f>
        <x:v>Sí</x:v>
      </x:c>
      <x:c r="W553" s="41" t="str">
        <x:f>IF(AND(E553&gt;M553,F553&gt;N553),"Sí","No")</x:f>
        <x:v>Sí</x:v>
      </x:c>
      <x:c r="X553" s="41" t="str">
        <x:f>IF(L553&gt;=H553,"Weekly","No weekly")</x:f>
        <x:v>Weekly</x:v>
      </x:c>
      <x:c r="Y553" s="41" t="n">
        <x:f>IFERROR(I553-E553,"")</x:f>
        <x:v>1.1181020000000004</x:v>
      </x:c>
      <x:c r="Z553" s="41" t="n">
        <x:f>IFERROR(J553-F553,"")</x:f>
        <x:v>3.196472</x:v>
      </x:c>
      <x:c r="AA553" s="41" t="n">
        <x:v>11904</x:v>
      </x:c>
      <x:c r="AB553" s="41" t="n">
        <x:v>5755</x:v>
      </x:c>
    </x:row>
    <x:row r="554">
      <x:c r="A554" s="41" t="str">
        <x:v>HYP_REFINE_AUTO002_TOPN_6_V1_DDGRID_LONG_R11_C22_E75_CR33_REDD_RECOVERED_DD8_SL20</x:v>
      </x:c>
      <x:c r="B554" s="41" t="str">
        <x:v>dd_guard_grid</x:v>
      </x:c>
      <x:c r="C554" s="41" t="str">
        <x:v>1999-01-04</x:v>
      </x:c>
      <x:c r="D554" s="41" t="str">
        <x:v>2026-05-22</x:v>
      </x:c>
      <x:c r="E554" s="41" t="n">
        <x:v>12.012679</x:v>
      </x:c>
      <x:c r="F554" s="41" t="n">
        <x:v>-31.579607</x:v>
      </x:c>
      <x:c r="G554" s="41" t="n">
        <x:v>2132.862346</x:v>
      </x:c>
      <x:c r="H554" s="41" t="n">
        <x:f>IFERROR(E554/ABS(F554),"")</x:f>
        <x:v>0.38039355587927365</x:v>
      </x:c>
      <x:c r="I554" s="41" t="n">
        <x:v>11.705156</x:v>
      </x:c>
      <x:c r="J554" s="41" t="n">
        <x:v>-29.752206</x:v>
      </x:c>
      <x:c r="K554" s="41" t="n">
        <x:v>1970.966071</x:v>
      </x:c>
      <x:c r="L554" s="41" t="n">
        <x:f>IFERROR(I554/ABS(J554),"")</x:f>
        <x:v>0.3934214491523755</x:v>
      </x:c>
      <x:c r="M554" s="41" t="n">
        <x:v>6.802475</x:v>
      </x:c>
      <x:c r="N554" s="41" t="n">
        <x:v>-56.473669</x:v>
      </x:c>
      <x:c r="O554" s="41" t="n">
        <x:v>506.057416</x:v>
      </x:c>
      <x:c r="P554" s="41" t="n">
        <x:f>IFERROR(M554/ABS(N554),"")</x:f>
        <x:v>0.12045392340278087</x:v>
      </x:c>
      <x:c r="Q554" s="41" t="str">
        <x:f>IF(L554&gt;=MAX(H554,P554),"Weekly",IF(H554&gt;=MAX(L554,P554),"No weekly","SPY"))</x:f>
        <x:v>Weekly</x:v>
      </x:c>
      <x:c r="R554" s="41" t="n">
        <x:f>IFERROR(L554-P554,"")</x:f>
        <x:v>0.2729675257495946</x:v>
      </x:c>
      <x:c r="S554" s="41" t="n">
        <x:f>IFERROR(H554-P554,"")</x:f>
        <x:v>0.25993963247649277</x:v>
      </x:c>
      <x:c r="T554" s="41" t="n">
        <x:f>IFERROR(I554-M554,"")</x:f>
        <x:v>4.902681</x:v>
      </x:c>
      <x:c r="U554" s="41" t="n">
        <x:f>IFERROR(E554-M554,"")</x:f>
        <x:v>5.210204</x:v>
      </x:c>
      <x:c r="V554" s="41" t="str">
        <x:f>IF(AND(I554&gt;M554,J554&gt;N554),"Sí","No")</x:f>
        <x:v>Sí</x:v>
      </x:c>
      <x:c r="W554" s="41" t="str">
        <x:f>IF(AND(E554&gt;M554,F554&gt;N554),"Sí","No")</x:f>
        <x:v>Sí</x:v>
      </x:c>
      <x:c r="X554" s="41" t="str">
        <x:f>IF(L554&gt;=H554,"Weekly","No weekly")</x:f>
        <x:v>Weekly</x:v>
      </x:c>
      <x:c r="Y554" s="41" t="n">
        <x:f>IFERROR(I554-E554,"")</x:f>
        <x:v>-0.30752299999999977</x:v>
      </x:c>
      <x:c r="Z554" s="41" t="n">
        <x:f>IFERROR(J554-F554,"")</x:f>
        <x:v>1.8274009999999983</x:v>
      </x:c>
      <x:c r="AA554" s="41" t="n">
        <x:v>12467</x:v>
      </x:c>
      <x:c r="AB554" s="41" t="n">
        <x:v>6114</x:v>
      </x:c>
    </x:row>
    <x:row r="555">
      <x:c r="A555" s="41" t="str">
        <x:v>HYP_REFINE_AUTO002_TOPN_6_V1_DDGRID_LONG_R11_C22_E75_CR36_REDD_RECOVERED_DD8_SL20</x:v>
      </x:c>
      <x:c r="B555" s="41" t="str">
        <x:v>dd_guard_grid</x:v>
      </x:c>
      <x:c r="C555" s="41" t="str">
        <x:v>1999-01-04</x:v>
      </x:c>
      <x:c r="D555" s="41" t="str">
        <x:v>2026-05-22</x:v>
      </x:c>
      <x:c r="E555" s="41" t="n">
        <x:v>11.812102</x:v>
      </x:c>
      <x:c r="F555" s="41" t="n">
        <x:v>-32.035625</x:v>
      </x:c>
      <x:c r="G555" s="41" t="n">
        <x:v>2025.94165</x:v>
      </x:c>
      <x:c r="H555" s="41" t="n">
        <x:f>IFERROR(E555/ABS(F555),"")</x:f>
        <x:v>0.36871770099693696</x:v>
      </x:c>
      <x:c r="I555" s="41" t="n">
        <x:v>12.291483</x:v>
      </x:c>
      <x:c r="J555" s="41" t="n">
        <x:v>-29.110166</x:v>
      </x:c>
      <x:c r="K555" s="41" t="n">
        <x:v>2290.125666</x:v>
      </x:c>
      <x:c r="L555" s="41" t="n">
        <x:f>IFERROR(I555/ABS(J555),"")</x:f>
        <x:v>0.4222402235700064</x:v>
      </x:c>
      <x:c r="M555" s="41" t="n">
        <x:v>6.802475</x:v>
      </x:c>
      <x:c r="N555" s="41" t="n">
        <x:v>-56.473669</x:v>
      </x:c>
      <x:c r="O555" s="41" t="n">
        <x:v>506.057416</x:v>
      </x:c>
      <x:c r="P555" s="41" t="n">
        <x:f>IFERROR(M555/ABS(N555),"")</x:f>
        <x:v>0.12045392340278087</x:v>
      </x:c>
      <x:c r="Q555" s="41" t="str">
        <x:f>IF(L555&gt;=MAX(H555,P555),"Weekly",IF(H555&gt;=MAX(L555,P555),"No weekly","SPY"))</x:f>
        <x:v>Weekly</x:v>
      </x:c>
      <x:c r="R555" s="41" t="n">
        <x:f>IFERROR(L555-P555,"")</x:f>
        <x:v>0.3017863001672255</x:v>
      </x:c>
      <x:c r="S555" s="41" t="n">
        <x:f>IFERROR(H555-P555,"")</x:f>
        <x:v>0.24826377759415608</x:v>
      </x:c>
      <x:c r="T555" s="41" t="n">
        <x:f>IFERROR(I555-M555,"")</x:f>
        <x:v>5.489007999999999</x:v>
      </x:c>
      <x:c r="U555" s="41" t="n">
        <x:f>IFERROR(E555-M555,"")</x:f>
        <x:v>5.009626999999999</x:v>
      </x:c>
      <x:c r="V555" s="41" t="str">
        <x:f>IF(AND(I555&gt;M555,J555&gt;N555),"Sí","No")</x:f>
        <x:v>Sí</x:v>
      </x:c>
      <x:c r="W555" s="41" t="str">
        <x:f>IF(AND(E555&gt;M555,F555&gt;N555),"Sí","No")</x:f>
        <x:v>Sí</x:v>
      </x:c>
      <x:c r="X555" s="41" t="str">
        <x:f>IF(L555&gt;=H555,"Weekly","No weekly")</x:f>
        <x:v>Weekly</x:v>
      </x:c>
      <x:c r="Y555" s="41" t="n">
        <x:f>IFERROR(I555-E555,"")</x:f>
        <x:v>0.47938100000000006</x:v>
      </x:c>
      <x:c r="Z555" s="41" t="n">
        <x:f>IFERROR(J555-F555,"")</x:f>
        <x:v>2.9254590000000036</x:v>
      </x:c>
      <x:c r="AA555" s="41" t="n">
        <x:v>12077</x:v>
      </x:c>
      <x:c r="AB555" s="41" t="n">
        <x:v>6270</x:v>
      </x:c>
    </x:row>
    <x:row r="556">
      <x:c r="A556" s="41" t="str">
        <x:v>HYP_REFINE_AUTO002_TOPN_6_V1_DDGRID_LONG_R11_C22_E75_CR40_REDD_RECOVERED_DD10_SL18</x:v>
      </x:c>
      <x:c r="B556" s="41" t="str">
        <x:v>dd_guard_grid</x:v>
      </x:c>
      <x:c r="C556" s="41" t="str">
        <x:v>1999-01-04</x:v>
      </x:c>
      <x:c r="D556" s="41" t="str">
        <x:v>2026-05-22</x:v>
      </x:c>
      <x:c r="E556" s="41" t="n">
        <x:v>11.883693</x:v>
      </x:c>
      <x:c r="F556" s="41" t="n">
        <x:v>-31.56548</x:v>
      </x:c>
      <x:c r="G556" s="41" t="n">
        <x:v>2063.525684</x:v>
      </x:c>
      <x:c r="H556" s="41" t="n">
        <x:f>IFERROR(E556/ABS(F556),"")</x:f>
        <x:v>0.37647750010454456</x:v>
      </x:c>
      <x:c r="I556" s="41" t="n">
        <x:v>11.876383</x:v>
      </x:c>
      <x:c r="J556" s="41" t="n">
        <x:v>-29.670864</x:v>
      </x:c>
      <x:c r="K556" s="41" t="n">
        <x:v>2059.658493</x:v>
      </x:c>
      <x:c r="L556" s="41" t="n">
        <x:f>IFERROR(I556/ABS(J556),"")</x:f>
        <x:v>0.4002708852698054</x:v>
      </x:c>
      <x:c r="M556" s="41" t="n">
        <x:v>6.802475</x:v>
      </x:c>
      <x:c r="N556" s="41" t="n">
        <x:v>-56.473669</x:v>
      </x:c>
      <x:c r="O556" s="41" t="n">
        <x:v>506.057416</x:v>
      </x:c>
      <x:c r="P556" s="41" t="n">
        <x:f>IFERROR(M556/ABS(N556),"")</x:f>
        <x:v>0.12045392340278087</x:v>
      </x:c>
      <x:c r="Q556" s="41" t="str">
        <x:f>IF(L556&gt;=MAX(H556,P556),"Weekly",IF(H556&gt;=MAX(L556,P556),"No weekly","SPY"))</x:f>
        <x:v>Weekly</x:v>
      </x:c>
      <x:c r="R556" s="41" t="n">
        <x:f>IFERROR(L556-P556,"")</x:f>
        <x:v>0.27981696186702454</x:v>
      </x:c>
      <x:c r="S556" s="41" t="n">
        <x:f>IFERROR(H556-P556,"")</x:f>
        <x:v>0.2560235767017637</x:v>
      </x:c>
      <x:c r="T556" s="41" t="n">
        <x:f>IFERROR(I556-M556,"")</x:f>
        <x:v>5.073908</x:v>
      </x:c>
      <x:c r="U556" s="41" t="n">
        <x:f>IFERROR(E556-M556,"")</x:f>
        <x:v>5.081217999999999</x:v>
      </x:c>
      <x:c r="V556" s="41" t="str">
        <x:f>IF(AND(I556&gt;M556,J556&gt;N556),"Sí","No")</x:f>
        <x:v>Sí</x:v>
      </x:c>
      <x:c r="W556" s="41" t="str">
        <x:f>IF(AND(E556&gt;M556,F556&gt;N556),"Sí","No")</x:f>
        <x:v>Sí</x:v>
      </x:c>
      <x:c r="X556" s="41" t="str">
        <x:f>IF(L556&gt;=H556,"Weekly","No weekly")</x:f>
        <x:v>Weekly</x:v>
      </x:c>
      <x:c r="Y556" s="41" t="n">
        <x:f>IFERROR(I556-E556,"")</x:f>
        <x:v>-0.007309999999998595</x:v>
      </x:c>
      <x:c r="Z556" s="41" t="n">
        <x:f>IFERROR(J556-F556,"")</x:f>
        <x:v>1.8946159999999992</x:v>
      </x:c>
      <x:c r="AA556" s="41" t="n">
        <x:v>11485</x:v>
      </x:c>
      <x:c r="AB556" s="41" t="n">
        <x:v>5314</x:v>
      </x:c>
    </x:row>
    <x:row r="557">
      <x:c r="A557" s="41" t="str">
        <x:v>HYP_REFINE_AUTO002_TOPN_6_V1_DDGRID_LONG_R11_C22_E75_CR40_REDD_RECOVERED_DD10_SL20</x:v>
      </x:c>
      <x:c r="B557" s="41" t="str">
        <x:v>dd_guard_grid</x:v>
      </x:c>
      <x:c r="C557" s="41" t="str">
        <x:v>1999-01-04</x:v>
      </x:c>
      <x:c r="D557" s="41" t="str">
        <x:v>2026-05-22</x:v>
      </x:c>
      <x:c r="E557" s="41" t="n">
        <x:v>12.182555</x:v>
      </x:c>
      <x:c r="F557" s="41" t="n">
        <x:v>-32.641176</x:v>
      </x:c>
      <x:c r="G557" s="41" t="n">
        <x:v>2227.453301</x:v>
      </x:c>
      <x:c r="H557" s="41" t="n">
        <x:f>IFERROR(E557/ABS(F557),"")</x:f>
        <x:v>0.37322659575745676</x:v>
      </x:c>
      <x:c r="I557" s="41" t="n">
        <x:v>12.552446</x:v>
      </x:c>
      <x:c r="J557" s="41" t="n">
        <x:v>-29.467181</x:v>
      </x:c>
      <x:c r="K557" s="41" t="n">
        <x:v>2446.957002</x:v>
      </x:c>
      <x:c r="L557" s="41" t="n">
        <x:f>IFERROR(I557/ABS(J557),"")</x:f>
        <x:v>0.4259805510408342</x:v>
      </x:c>
      <x:c r="M557" s="41" t="n">
        <x:v>6.802475</x:v>
      </x:c>
      <x:c r="N557" s="41" t="n">
        <x:v>-56.473669</x:v>
      </x:c>
      <x:c r="O557" s="41" t="n">
        <x:v>506.057416</x:v>
      </x:c>
      <x:c r="P557" s="41" t="n">
        <x:f>IFERROR(M557/ABS(N557),"")</x:f>
        <x:v>0.12045392340278087</x:v>
      </x:c>
      <x:c r="Q557" s="41" t="str">
        <x:f>IF(L557&gt;=MAX(H557,P557),"Weekly",IF(H557&gt;=MAX(L557,P557),"No weekly","SPY"))</x:f>
        <x:v>Weekly</x:v>
      </x:c>
      <x:c r="R557" s="41" t="n">
        <x:f>IFERROR(L557-P557,"")</x:f>
        <x:v>0.3055266276380533</x:v>
      </x:c>
      <x:c r="S557" s="41" t="n">
        <x:f>IFERROR(H557-P557,"")</x:f>
        <x:v>0.2527726723546759</x:v>
      </x:c>
      <x:c r="T557" s="41" t="n">
        <x:f>IFERROR(I557-M557,"")</x:f>
        <x:v>5.7499709999999995</x:v>
      </x:c>
      <x:c r="U557" s="41" t="n">
        <x:f>IFERROR(E557-M557,"")</x:f>
        <x:v>5.38008</x:v>
      </x:c>
      <x:c r="V557" s="41" t="str">
        <x:f>IF(AND(I557&gt;M557,J557&gt;N557),"Sí","No")</x:f>
        <x:v>Sí</x:v>
      </x:c>
      <x:c r="W557" s="41" t="str">
        <x:f>IF(AND(E557&gt;M557,F557&gt;N557),"Sí","No")</x:f>
        <x:v>Sí</x:v>
      </x:c>
      <x:c r="X557" s="41" t="str">
        <x:f>IF(L557&gt;=H557,"Weekly","No weekly")</x:f>
        <x:v>Weekly</x:v>
      </x:c>
      <x:c r="Y557" s="41" t="n">
        <x:f>IFERROR(I557-E557,"")</x:f>
        <x:v>0.3698909999999991</x:v>
      </x:c>
      <x:c r="Z557" s="41" t="n">
        <x:f>IFERROR(J557-F557,"")</x:f>
        <x:v>3.1739950000000015</x:v>
      </x:c>
      <x:c r="AA557" s="41" t="n">
        <x:v>11475</x:v>
      </x:c>
      <x:c r="AB557" s="41" t="n">
        <x:v>5477</x:v>
      </x:c>
    </x:row>
    <x:row r="558">
      <x:c r="A558" s="41" t="str">
        <x:v>HYP_REFINE_AUTO002_TOPN_6_V1_DDGRID_LONG_R11_C22_E75_CR40_REDD_RECOVERED_DD6_SL18</x:v>
      </x:c>
      <x:c r="B558" s="41" t="str">
        <x:v>dd_guard_grid</x:v>
      </x:c>
      <x:c r="C558" s="41" t="str">
        <x:v>1999-01-04</x:v>
      </x:c>
      <x:c r="D558" s="41" t="str">
        <x:v>2026-05-22</x:v>
      </x:c>
      <x:c r="E558" s="41" t="n">
        <x:v>11.09052</x:v>
      </x:c>
      <x:c r="F558" s="41" t="n">
        <x:v>-31.60767</x:v>
      </x:c>
      <x:c r="G558" s="41" t="n">
        <x:v>1680.607215</x:v>
      </x:c>
      <x:c r="H558" s="41" t="n">
        <x:f>IFERROR(E558/ABS(F558),"")</x:f>
        <x:v>0.35088065649888145</x:v>
      </x:c>
      <x:c r="I558" s="41" t="n">
        <x:v>11.355366</x:v>
      </x:c>
      <x:c r="J558" s="41" t="n">
        <x:v>-29.670864</x:v>
      </x:c>
      <x:c r="K558" s="41" t="n">
        <x:v>1800.559951</x:v>
      </x:c>
      <x:c r="L558" s="41" t="n">
        <x:f>IFERROR(I558/ABS(J558),"")</x:f>
        <x:v>0.38271099891125515</x:v>
      </x:c>
      <x:c r="M558" s="41" t="n">
        <x:v>6.802475</x:v>
      </x:c>
      <x:c r="N558" s="41" t="n">
        <x:v>-56.473669</x:v>
      </x:c>
      <x:c r="O558" s="41" t="n">
        <x:v>506.057416</x:v>
      </x:c>
      <x:c r="P558" s="41" t="n">
        <x:f>IFERROR(M558/ABS(N558),"")</x:f>
        <x:v>0.12045392340278087</x:v>
      </x:c>
      <x:c r="Q558" s="41" t="str">
        <x:f>IF(L558&gt;=MAX(H558,P558),"Weekly",IF(H558&gt;=MAX(L558,P558),"No weekly","SPY"))</x:f>
        <x:v>Weekly</x:v>
      </x:c>
      <x:c r="R558" s="41" t="n">
        <x:f>IFERROR(L558-P558,"")</x:f>
        <x:v>0.26225707550847427</x:v>
      </x:c>
      <x:c r="S558" s="41" t="n">
        <x:f>IFERROR(H558-P558,"")</x:f>
        <x:v>0.23042673309610057</x:v>
      </x:c>
      <x:c r="T558" s="41" t="n">
        <x:f>IFERROR(I558-M558,"")</x:f>
        <x:v>4.552891</x:v>
      </x:c>
      <x:c r="U558" s="41" t="n">
        <x:f>IFERROR(E558-M558,"")</x:f>
        <x:v>4.288044999999999</x:v>
      </x:c>
      <x:c r="V558" s="41" t="str">
        <x:f>IF(AND(I558&gt;M558,J558&gt;N558),"Sí","No")</x:f>
        <x:v>Sí</x:v>
      </x:c>
      <x:c r="W558" s="41" t="str">
        <x:f>IF(AND(E558&gt;M558,F558&gt;N558),"Sí","No")</x:f>
        <x:v>Sí</x:v>
      </x:c>
      <x:c r="X558" s="41" t="str">
        <x:f>IF(L558&gt;=H558,"Weekly","No weekly")</x:f>
        <x:v>Weekly</x:v>
      </x:c>
      <x:c r="Y558" s="41" t="n">
        <x:f>IFERROR(I558-E558,"")</x:f>
        <x:v>0.26484600000000036</x:v>
      </x:c>
      <x:c r="Z558" s="41" t="n">
        <x:f>IFERROR(J558-F558,"")</x:f>
        <x:v>1.9368059999999971</x:v>
      </x:c>
      <x:c r="AA558" s="41" t="n">
        <x:v>12449</x:v>
      </x:c>
      <x:c r="AB558" s="41" t="n">
        <x:v>6228</x:v>
      </x:c>
    </x:row>
    <x:row r="559">
      <x:c r="A559" s="41" t="str">
        <x:v>HYP_REFINE_AUTO002_TOPN_6_V1_DDGRID_LONG_R11_C22_E75_CR40_REDD_RECOVERED_DD6_SL20</x:v>
      </x:c>
      <x:c r="B559" s="41" t="str">
        <x:v>dd_guard_grid</x:v>
      </x:c>
      <x:c r="C559" s="41" t="str">
        <x:v>1999-01-04</x:v>
      </x:c>
      <x:c r="D559" s="41" t="str">
        <x:v>2026-05-22</x:v>
      </x:c>
      <x:c r="E559" s="41" t="n">
        <x:v>12.501763</x:v>
      </x:c>
      <x:c r="F559" s="41" t="n">
        <x:v>-32.641176</x:v>
      </x:c>
      <x:c r="G559" s="41" t="n">
        <x:v>2415.741845</x:v>
      </x:c>
      <x:c r="H559" s="41" t="n">
        <x:f>IFERROR(E559/ABS(F559),"")</x:f>
        <x:v>0.38300590027761255</x:v>
      </x:c>
      <x:c r="I559" s="41" t="n">
        <x:v>12.080651</x:v>
      </x:c>
      <x:c r="J559" s="41" t="n">
        <x:v>-29.435035</x:v>
      </x:c>
      <x:c r="K559" s="41" t="n">
        <x:v>2170.257498</x:v>
      </x:c>
      <x:c r="L559" s="41" t="n">
        <x:f>IFERROR(I559/ABS(J559),"")</x:f>
        <x:v>0.41041741584475777</x:v>
      </x:c>
      <x:c r="M559" s="41" t="n">
        <x:v>6.802475</x:v>
      </x:c>
      <x:c r="N559" s="41" t="n">
        <x:v>-56.473669</x:v>
      </x:c>
      <x:c r="O559" s="41" t="n">
        <x:v>506.057416</x:v>
      </x:c>
      <x:c r="P559" s="41" t="n">
        <x:f>IFERROR(M559/ABS(N559),"")</x:f>
        <x:v>0.12045392340278087</x:v>
      </x:c>
      <x:c r="Q559" s="41" t="str">
        <x:f>IF(L559&gt;=MAX(H559,P559),"Weekly",IF(H559&gt;=MAX(L559,P559),"No weekly","SPY"))</x:f>
        <x:v>Weekly</x:v>
      </x:c>
      <x:c r="R559" s="41" t="n">
        <x:f>IFERROR(L559-P559,"")</x:f>
        <x:v>0.2899634924419769</x:v>
      </x:c>
      <x:c r="S559" s="41" t="n">
        <x:f>IFERROR(H559-P559,"")</x:f>
        <x:v>0.26255197687483167</x:v>
      </x:c>
      <x:c r="T559" s="41" t="n">
        <x:f>IFERROR(I559-M559,"")</x:f>
        <x:v>5.278175999999999</x:v>
      </x:c>
      <x:c r="U559" s="41" t="n">
        <x:f>IFERROR(E559-M559,"")</x:f>
        <x:v>5.699288</x:v>
      </x:c>
      <x:c r="V559" s="41" t="str">
        <x:f>IF(AND(I559&gt;M559,J559&gt;N559),"Sí","No")</x:f>
        <x:v>Sí</x:v>
      </x:c>
      <x:c r="W559" s="41" t="str">
        <x:f>IF(AND(E559&gt;M559,F559&gt;N559),"Sí","No")</x:f>
        <x:v>Sí</x:v>
      </x:c>
      <x:c r="X559" s="41" t="str">
        <x:f>IF(L559&gt;=H559,"Weekly","No weekly")</x:f>
        <x:v>Weekly</x:v>
      </x:c>
      <x:c r="Y559" s="41" t="n">
        <x:f>IFERROR(I559-E559,"")</x:f>
        <x:v>-0.4211120000000008</x:v>
      </x:c>
      <x:c r="Z559" s="41" t="n">
        <x:f>IFERROR(J559-F559,"")</x:f>
        <x:v>3.2061410000000024</x:v>
      </x:c>
      <x:c r="AA559" s="41" t="n">
        <x:v>12461</x:v>
      </x:c>
      <x:c r="AB559" s="41" t="n">
        <x:v>6244</x:v>
      </x:c>
    </x:row>
    <x:row r="560">
      <x:c r="A560" s="41" t="str">
        <x:v>HYP_REFINE_AUTO002_TOPN_6_V1_DDGRID_LONG_R11_C22_E75_CR40_REDD_RECOVERED_DD7_SL18</x:v>
      </x:c>
      <x:c r="B560" s="41" t="str">
        <x:v>dd_guard_grid</x:v>
      </x:c>
      <x:c r="C560" s="41" t="str">
        <x:v>1999-01-04</x:v>
      </x:c>
      <x:c r="D560" s="41" t="str">
        <x:v>2026-05-22</x:v>
      </x:c>
      <x:c r="E560" s="41" t="n">
        <x:v>11.716984</x:v>
      </x:c>
      <x:c r="F560" s="41" t="n">
        <x:v>-31.56548</x:v>
      </x:c>
      <x:c r="G560" s="41" t="n">
        <x:v>1976.978119</x:v>
      </x:c>
      <x:c r="H560" s="41" t="n">
        <x:f>IFERROR(E560/ABS(F560),"")</x:f>
        <x:v>0.37119612944266966</x:v>
      </x:c>
      <x:c r="I560" s="41" t="n">
        <x:v>11.432274</x:v>
      </x:c>
      <x:c r="J560" s="41" t="n">
        <x:v>-29.670864</x:v>
      </x:c>
      <x:c r="K560" s="41" t="n">
        <x:v>1836.827156</x:v>
      </x:c>
      <x:c r="L560" s="41" t="n">
        <x:f>IFERROR(I560/ABS(J560),"")</x:f>
        <x:v>0.3853030366759795</x:v>
      </x:c>
      <x:c r="M560" s="41" t="n">
        <x:v>6.802475</x:v>
      </x:c>
      <x:c r="N560" s="41" t="n">
        <x:v>-56.473669</x:v>
      </x:c>
      <x:c r="O560" s="41" t="n">
        <x:v>506.057416</x:v>
      </x:c>
      <x:c r="P560" s="41" t="n">
        <x:f>IFERROR(M560/ABS(N560),"")</x:f>
        <x:v>0.12045392340278087</x:v>
      </x:c>
      <x:c r="Q560" s="41" t="str">
        <x:f>IF(L560&gt;=MAX(H560,P560),"Weekly",IF(H560&gt;=MAX(L560,P560),"No weekly","SPY"))</x:f>
        <x:v>Weekly</x:v>
      </x:c>
      <x:c r="R560" s="41" t="n">
        <x:f>IFERROR(L560-P560,"")</x:f>
        <x:v>0.2648491132731986</x:v>
      </x:c>
      <x:c r="S560" s="41" t="n">
        <x:f>IFERROR(H560-P560,"")</x:f>
        <x:v>0.2507422060398888</x:v>
      </x:c>
      <x:c r="T560" s="41" t="n">
        <x:f>IFERROR(I560-M560,"")</x:f>
        <x:v>4.629798999999999</x:v>
      </x:c>
      <x:c r="U560" s="41" t="n">
        <x:f>IFERROR(E560-M560,"")</x:f>
        <x:v>4.914509</x:v>
      </x:c>
      <x:c r="V560" s="41" t="str">
        <x:f>IF(AND(I560&gt;M560,J560&gt;N560),"Sí","No")</x:f>
        <x:v>Sí</x:v>
      </x:c>
      <x:c r="W560" s="41" t="str">
        <x:f>IF(AND(E560&gt;M560,F560&gt;N560),"Sí","No")</x:f>
        <x:v>Sí</x:v>
      </x:c>
      <x:c r="X560" s="41" t="str">
        <x:f>IF(L560&gt;=H560,"Weekly","No weekly")</x:f>
        <x:v>Weekly</x:v>
      </x:c>
      <x:c r="Y560" s="41" t="n">
        <x:f>IFERROR(I560-E560,"")</x:f>
        <x:v>-0.28471000000000046</x:v>
      </x:c>
      <x:c r="Z560" s="41" t="n">
        <x:f>IFERROR(J560-F560,"")</x:f>
        <x:v>1.8946159999999992</x:v>
      </x:c>
      <x:c r="AA560" s="41" t="n">
        <x:v>12345</x:v>
      </x:c>
      <x:c r="AB560" s="41" t="n">
        <x:v>5965</x:v>
      </x:c>
    </x:row>
    <x:row r="561">
      <x:c r="A561" s="41" t="str">
        <x:v>HYP_REFINE_AUTO002_TOPN_6_V1_DDGRID_LONG_R11_C22_E75_CR40_REDD_RECOVERED_DD7_SL20</x:v>
      </x:c>
      <x:c r="B561" s="41" t="str">
        <x:v>dd_guard_grid</x:v>
      </x:c>
      <x:c r="C561" s="41" t="str">
        <x:v>1999-01-04</x:v>
      </x:c>
      <x:c r="D561" s="41" t="str">
        <x:v>2026-05-22</x:v>
      </x:c>
      <x:c r="E561" s="41" t="n">
        <x:v>13.884546</x:v>
      </x:c>
      <x:c r="F561" s="41" t="n">
        <x:v>-32.641176</x:v>
      </x:c>
      <x:c r="G561" s="41" t="n">
        <x:v>3414.971729</x:v>
      </x:c>
      <x:c r="H561" s="41" t="n">
        <x:f>IFERROR(E561/ABS(F561),"")</x:f>
        <x:v>0.42536904920337426</x:v>
      </x:c>
      <x:c r="I561" s="41" t="n">
        <x:v>12.088083</x:v>
      </x:c>
      <x:c r="J561" s="41" t="n">
        <x:v>-29.435035</x:v>
      </x:c>
      <x:c r="K561" s="41" t="n">
        <x:v>2174.382748</x:v>
      </x:c>
      <x:c r="L561" s="41" t="n">
        <x:f>IFERROR(I561/ABS(J561),"")</x:f>
        <x:v>0.41066990407859205</x:v>
      </x:c>
      <x:c r="M561" s="41" t="n">
        <x:v>6.802475</x:v>
      </x:c>
      <x:c r="N561" s="41" t="n">
        <x:v>-56.473669</x:v>
      </x:c>
      <x:c r="O561" s="41" t="n">
        <x:v>506.057416</x:v>
      </x:c>
      <x:c r="P561" s="41" t="n">
        <x:f>IFERROR(M561/ABS(N561),"")</x:f>
        <x:v>0.12045392340278087</x:v>
      </x:c>
      <x:c r="Q561" s="41" t="str">
        <x:f>IF(L561&gt;=MAX(H561,P561),"Weekly",IF(H561&gt;=MAX(L561,P561),"No weekly","SPY"))</x:f>
        <x:v>No weekly</x:v>
      </x:c>
      <x:c r="R561" s="41" t="n">
        <x:f>IFERROR(L561-P561,"")</x:f>
        <x:v>0.29021598067581117</x:v>
      </x:c>
      <x:c r="S561" s="41" t="n">
        <x:f>IFERROR(H561-P561,"")</x:f>
        <x:v>0.3049151258005934</x:v>
      </x:c>
      <x:c r="T561" s="41" t="n">
        <x:f>IFERROR(I561-M561,"")</x:f>
        <x:v>5.285607999999999</x:v>
      </x:c>
      <x:c r="U561" s="41" t="n">
        <x:f>IFERROR(E561-M561,"")</x:f>
        <x:v>7.082071</x:v>
      </x:c>
      <x:c r="V561" s="41" t="str">
        <x:f>IF(AND(I561&gt;M561,J561&gt;N561),"Sí","No")</x:f>
        <x:v>Sí</x:v>
      </x:c>
      <x:c r="W561" s="41" t="str">
        <x:f>IF(AND(E561&gt;M561,F561&gt;N561),"Sí","No")</x:f>
        <x:v>Sí</x:v>
      </x:c>
      <x:c r="X561" s="41" t="str">
        <x:f>IF(L561&gt;=H561,"Weekly","No weekly")</x:f>
        <x:v>No weekly</x:v>
      </x:c>
      <x:c r="Y561" s="41" t="n">
        <x:f>IFERROR(I561-E561,"")</x:f>
        <x:v>-1.796463000000001</x:v>
      </x:c>
      <x:c r="Z561" s="41" t="n">
        <x:f>IFERROR(J561-F561,"")</x:f>
        <x:v>3.2061410000000024</x:v>
      </x:c>
      <x:c r="AA561" s="41" t="n">
        <x:v>12361</x:v>
      </x:c>
      <x:c r="AB561" s="41" t="n">
        <x:v>5803</x:v>
      </x:c>
    </x:row>
    <x:row r="562">
      <x:c r="A562" s="41" t="str">
        <x:v>HYP_REFINE_AUTO002_TOPN_6_V1_DDGRID_LONG_R11_C22_E75_CR40_REDD_RECOVERED_DD7_SL22</x:v>
      </x:c>
      <x:c r="B562" s="41" t="str">
        <x:v>dd_guard_grid</x:v>
      </x:c>
      <x:c r="C562" s="41" t="str">
        <x:v>1999-01-04</x:v>
      </x:c>
      <x:c r="D562" s="41" t="str">
        <x:v>2026-05-22</x:v>
      </x:c>
      <x:c r="E562" s="41" t="n">
        <x:v>12.409144</x:v>
      </x:c>
      <x:c r="F562" s="41" t="n">
        <x:v>-33.556578</x:v>
      </x:c>
      <x:c r="G562" s="41" t="n">
        <x:v>2359.648702</x:v>
      </x:c>
      <x:c r="H562" s="41" t="n">
        <x:f>IFERROR(E562/ABS(F562),"")</x:f>
        <x:v>0.3697976593441679</x:v>
      </x:c>
      <x:c r="I562" s="41" t="n">
        <x:v>11.856549</x:v>
      </x:c>
      <x:c r="J562" s="41" t="n">
        <x:v>-29.461895</x:v>
      </x:c>
      <x:c r="K562" s="41" t="n">
        <x:v>2049.200443</x:v>
      </x:c>
      <x:c r="L562" s="41" t="n">
        <x:f>IFERROR(I562/ABS(J562),"")</x:f>
        <x:v>0.40243674074597036</x:v>
      </x:c>
      <x:c r="M562" s="41" t="n">
        <x:v>6.802475</x:v>
      </x:c>
      <x:c r="N562" s="41" t="n">
        <x:v>-56.473669</x:v>
      </x:c>
      <x:c r="O562" s="41" t="n">
        <x:v>506.057416</x:v>
      </x:c>
      <x:c r="P562" s="41" t="n">
        <x:f>IFERROR(M562/ABS(N562),"")</x:f>
        <x:v>0.12045392340278087</x:v>
      </x:c>
      <x:c r="Q562" s="41" t="str">
        <x:f>IF(L562&gt;=MAX(H562,P562),"Weekly",IF(H562&gt;=MAX(L562,P562),"No weekly","SPY"))</x:f>
        <x:v>Weekly</x:v>
      </x:c>
      <x:c r="R562" s="41" t="n">
        <x:f>IFERROR(L562-P562,"")</x:f>
        <x:v>0.2819828173431895</x:v>
      </x:c>
      <x:c r="S562" s="41" t="n">
        <x:f>IFERROR(H562-P562,"")</x:f>
        <x:v>0.24934373594138703</x:v>
      </x:c>
      <x:c r="T562" s="41" t="n">
        <x:f>IFERROR(I562-M562,"")</x:f>
        <x:v>5.054073999999999</x:v>
      </x:c>
      <x:c r="U562" s="41" t="n">
        <x:f>IFERROR(E562-M562,"")</x:f>
        <x:v>5.606668999999999</x:v>
      </x:c>
      <x:c r="V562" s="41" t="str">
        <x:f>IF(AND(I562&gt;M562,J562&gt;N562),"Sí","No")</x:f>
        <x:v>Sí</x:v>
      </x:c>
      <x:c r="W562" s="41" t="str">
        <x:f>IF(AND(E562&gt;M562,F562&gt;N562),"Sí","No")</x:f>
        <x:v>Sí</x:v>
      </x:c>
      <x:c r="X562" s="41" t="str">
        <x:f>IF(L562&gt;=H562,"Weekly","No weekly")</x:f>
        <x:v>Weekly</x:v>
      </x:c>
      <x:c r="Y562" s="41" t="n">
        <x:f>IFERROR(I562-E562,"")</x:f>
        <x:v>-0.5525950000000002</x:v>
      </x:c>
      <x:c r="Z562" s="41" t="n">
        <x:f>IFERROR(J562-F562,"")</x:f>
        <x:v>4.094683000000003</x:v>
      </x:c>
      <x:c r="AA562" s="41" t="n">
        <x:v>12622</x:v>
      </x:c>
      <x:c r="AB562" s="41" t="n">
        <x:v>6015</x:v>
      </x:c>
    </x:row>
    <x:row r="563">
      <x:c r="A563" s="41" t="str">
        <x:v>HYP_REFINE_AUTO002_TOPN_6_V1_DDGRID_LONG_R11_C22_E75_CR40_REDD_RECOVERED_DD7_SL24</x:v>
      </x:c>
      <x:c r="B563" s="41" t="str">
        <x:v>dd_guard_grid</x:v>
      </x:c>
      <x:c r="C563" s="41" t="str">
        <x:v>1999-01-04</x:v>
      </x:c>
      <x:c r="D563" s="41" t="str">
        <x:v>2026-05-22</x:v>
      </x:c>
      <x:c r="E563" s="41" t="n">
        <x:v>11.608074</x:v>
      </x:c>
      <x:c r="F563" s="41" t="n">
        <x:v>-34.053842</x:v>
      </x:c>
      <x:c r="G563" s="41" t="n">
        <x:v>1922.249543</x:v>
      </x:c>
      <x:c r="H563" s="41" t="n">
        <x:f>IFERROR(E563/ABS(F563),"")</x:f>
        <x:v>0.34087413690355406</x:v>
      </x:c>
      <x:c r="I563" s="41" t="n">
        <x:v>12.673467</x:v>
      </x:c>
      <x:c r="J563" s="41" t="n">
        <x:v>-29.457236</x:v>
      </x:c>
      <x:c r="K563" s="41" t="n">
        <x:v>2523.008489</x:v>
      </x:c>
      <x:c r="L563" s="41" t="n">
        <x:f>IFERROR(I563/ABS(J563),"")</x:f>
        <x:v>0.43023272787711647</x:v>
      </x:c>
      <x:c r="M563" s="41" t="n">
        <x:v>6.802475</x:v>
      </x:c>
      <x:c r="N563" s="41" t="n">
        <x:v>-56.473669</x:v>
      </x:c>
      <x:c r="O563" s="41" t="n">
        <x:v>506.057416</x:v>
      </x:c>
      <x:c r="P563" s="41" t="n">
        <x:f>IFERROR(M563/ABS(N563),"")</x:f>
        <x:v>0.12045392340278087</x:v>
      </x:c>
      <x:c r="Q563" s="41" t="str">
        <x:f>IF(L563&gt;=MAX(H563,P563),"Weekly",IF(H563&gt;=MAX(L563,P563),"No weekly","SPY"))</x:f>
        <x:v>Weekly</x:v>
      </x:c>
      <x:c r="R563" s="41" t="n">
        <x:f>IFERROR(L563-P563,"")</x:f>
        <x:v>0.3097788044743356</x:v>
      </x:c>
      <x:c r="S563" s="41" t="n">
        <x:f>IFERROR(H563-P563,"")</x:f>
        <x:v>0.22042021350077318</x:v>
      </x:c>
      <x:c r="T563" s="41" t="n">
        <x:f>IFERROR(I563-M563,"")</x:f>
        <x:v>5.870992</x:v>
      </x:c>
      <x:c r="U563" s="41" t="n">
        <x:f>IFERROR(E563-M563,"")</x:f>
        <x:v>4.805599</x:v>
      </x:c>
      <x:c r="V563" s="41" t="str">
        <x:f>IF(AND(I563&gt;M563,J563&gt;N563),"Sí","No")</x:f>
        <x:v>Sí</x:v>
      </x:c>
      <x:c r="W563" s="41" t="str">
        <x:f>IF(AND(E563&gt;M563,F563&gt;N563),"Sí","No")</x:f>
        <x:v>Sí</x:v>
      </x:c>
      <x:c r="X563" s="41" t="str">
        <x:f>IF(L563&gt;=H563,"Weekly","No weekly")</x:f>
        <x:v>Weekly</x:v>
      </x:c>
      <x:c r="Y563" s="41" t="n">
        <x:f>IFERROR(I563-E563,"")</x:f>
        <x:v>1.0653930000000003</x:v>
      </x:c>
      <x:c r="Z563" s="41" t="n">
        <x:f>IFERROR(J563-F563,"")</x:f>
        <x:v>4.596606000000001</x:v>
      </x:c>
      <x:c r="AA563" s="41" t="n">
        <x:v>12603</x:v>
      </x:c>
      <x:c r="AB563" s="41" t="n">
        <x:v>6127</x:v>
      </x:c>
    </x:row>
    <x:row r="564">
      <x:c r="A564" s="41" t="str">
        <x:v>HYP_REFINE_AUTO002_TOPN_6_V1_DDGRID_LONG_R11_C22_E75_CR40_REDD_RECOVERED_DD7_SLNONE</x:v>
      </x:c>
      <x:c r="B564" s="41" t="str">
        <x:v>dd_guard_grid</x:v>
      </x:c>
      <x:c r="C564" s="41" t="str">
        <x:v>1999-01-04</x:v>
      </x:c>
      <x:c r="D564" s="41" t="str">
        <x:v>2026-05-22</x:v>
      </x:c>
      <x:c r="E564" s="41" t="n">
        <x:v>12.64024</x:v>
      </x:c>
      <x:c r="F564" s="41" t="n">
        <x:v>-33.40545</x:v>
      </x:c>
      <x:c r="G564" s="41" t="n">
        <x:v>2501.912468</x:v>
      </x:c>
      <x:c r="H564" s="41" t="n">
        <x:f>IFERROR(E564/ABS(F564),"")</x:f>
        <x:v>0.37838855635831875</x:v>
      </x:c>
      <x:c r="I564" s="41" t="n">
        <x:v>13.139351</x:v>
      </x:c>
      <x:c r="J564" s="41" t="n">
        <x:v>-29.476906</x:v>
      </x:c>
      <x:c r="K564" s="41" t="n">
        <x:v>2836.720878</x:v>
      </x:c>
      <x:c r="L564" s="41" t="n">
        <x:f>IFERROR(I564/ABS(J564),"")</x:f>
        <x:v>0.44575068360295345</x:v>
      </x:c>
      <x:c r="M564" s="41" t="n">
        <x:v>6.802475</x:v>
      </x:c>
      <x:c r="N564" s="41" t="n">
        <x:v>-56.473669</x:v>
      </x:c>
      <x:c r="O564" s="41" t="n">
        <x:v>506.057416</x:v>
      </x:c>
      <x:c r="P564" s="41" t="n">
        <x:f>IFERROR(M564/ABS(N564),"")</x:f>
        <x:v>0.12045392340278087</x:v>
      </x:c>
      <x:c r="Q564" s="41" t="str">
        <x:f>IF(L564&gt;=MAX(H564,P564),"Weekly",IF(H564&gt;=MAX(L564,P564),"No weekly","SPY"))</x:f>
        <x:v>Weekly</x:v>
      </x:c>
      <x:c r="R564" s="41" t="n">
        <x:f>IFERROR(L564-P564,"")</x:f>
        <x:v>0.32529676020017256</x:v>
      </x:c>
      <x:c r="S564" s="41" t="n">
        <x:f>IFERROR(H564-P564,"")</x:f>
        <x:v>0.25793463295553787</x:v>
      </x:c>
      <x:c r="T564" s="41" t="n">
        <x:f>IFERROR(I564-M564,"")</x:f>
        <x:v>6.336875999999999</x:v>
      </x:c>
      <x:c r="U564" s="41" t="n">
        <x:f>IFERROR(E564-M564,"")</x:f>
        <x:v>5.837765</x:v>
      </x:c>
      <x:c r="V564" s="41" t="str">
        <x:f>IF(AND(I564&gt;M564,J564&gt;N564),"Sí","No")</x:f>
        <x:v>Sí</x:v>
      </x:c>
      <x:c r="W564" s="41" t="str">
        <x:f>IF(AND(E564&gt;M564,F564&gt;N564),"Sí","No")</x:f>
        <x:v>Sí</x:v>
      </x:c>
      <x:c r="X564" s="41" t="str">
        <x:f>IF(L564&gt;=H564,"Weekly","No weekly")</x:f>
        <x:v>Weekly</x:v>
      </x:c>
      <x:c r="Y564" s="41" t="n">
        <x:f>IFERROR(I564-E564,"")</x:f>
        <x:v>0.4991109999999992</x:v>
      </x:c>
      <x:c r="Z564" s="41" t="n">
        <x:f>IFERROR(J564-F564,"")</x:f>
        <x:v>3.9285440000000023</x:v>
      </x:c>
      <x:c r="AA564" s="41" t="n">
        <x:v>12484</x:v>
      </x:c>
      <x:c r="AB564" s="41" t="n">
        <x:v>6428</x:v>
      </x:c>
    </x:row>
    <x:row r="565">
      <x:c r="A565" s="41" t="str">
        <x:v>HYP_REFINE_AUTO002_TOPN_6_V1_DDGRID_LONG_R11_C22_E75_CR40_REDD_RECOVERED_DD8_SL18</x:v>
      </x:c>
      <x:c r="B565" s="41" t="str">
        <x:v>dd_guard_grid</x:v>
      </x:c>
      <x:c r="C565" s="41" t="str">
        <x:v>1999-01-04</x:v>
      </x:c>
      <x:c r="D565" s="41" t="str">
        <x:v>2026-05-22</x:v>
      </x:c>
      <x:c r="E565" s="41" t="n">
        <x:v>11.530365</x:v>
      </x:c>
      <x:c r="F565" s="41" t="n">
        <x:v>-31.56548</x:v>
      </x:c>
      <x:c r="G565" s="41" t="n">
        <x:v>1884.05158</x:v>
      </x:c>
      <x:c r="H565" s="41" t="n">
        <x:f>IFERROR(E565/ABS(F565),"")</x:f>
        <x:v>0.3652840064526185</x:v>
      </x:c>
      <x:c r="I565" s="41" t="n">
        <x:v>12.027387</x:v>
      </x:c>
      <x:c r="J565" s="41" t="n">
        <x:v>-29.670864</x:v>
      </x:c>
      <x:c r="K565" s="41" t="n">
        <x:v>2140.903478</x:v>
      </x:c>
      <x:c r="L565" s="41" t="n">
        <x:f>IFERROR(I565/ABS(J565),"")</x:f>
        <x:v>0.40536018769119764</x:v>
      </x:c>
      <x:c r="M565" s="41" t="n">
        <x:v>6.802475</x:v>
      </x:c>
      <x:c r="N565" s="41" t="n">
        <x:v>-56.473669</x:v>
      </x:c>
      <x:c r="O565" s="41" t="n">
        <x:v>506.057416</x:v>
      </x:c>
      <x:c r="P565" s="41" t="n">
        <x:f>IFERROR(M565/ABS(N565),"")</x:f>
        <x:v>0.12045392340278087</x:v>
      </x:c>
      <x:c r="Q565" s="41" t="str">
        <x:f>IF(L565&gt;=MAX(H565,P565),"Weekly",IF(H565&gt;=MAX(L565,P565),"No weekly","SPY"))</x:f>
        <x:v>Weekly</x:v>
      </x:c>
      <x:c r="R565" s="41" t="n">
        <x:f>IFERROR(L565-P565,"")</x:f>
        <x:v>0.28490626428841676</x:v>
      </x:c>
      <x:c r="S565" s="41" t="n">
        <x:f>IFERROR(H565-P565,"")</x:f>
        <x:v>0.2448300830498376</x:v>
      </x:c>
      <x:c r="T565" s="41" t="n">
        <x:f>IFERROR(I565-M565,"")</x:f>
        <x:v>5.224911999999999</x:v>
      </x:c>
      <x:c r="U565" s="41" t="n">
        <x:f>IFERROR(E565-M565,"")</x:f>
        <x:v>4.7278899999999995</x:v>
      </x:c>
      <x:c r="V565" s="41" t="str">
        <x:f>IF(AND(I565&gt;M565,J565&gt;N565),"Sí","No")</x:f>
        <x:v>Sí</x:v>
      </x:c>
      <x:c r="W565" s="41" t="str">
        <x:f>IF(AND(E565&gt;M565,F565&gt;N565),"Sí","No")</x:f>
        <x:v>Sí</x:v>
      </x:c>
      <x:c r="X565" s="41" t="str">
        <x:f>IF(L565&gt;=H565,"Weekly","No weekly")</x:f>
        <x:v>Weekly</x:v>
      </x:c>
      <x:c r="Y565" s="41" t="n">
        <x:f>IFERROR(I565-E565,"")</x:f>
        <x:v>0.4970219999999994</x:v>
      </x:c>
      <x:c r="Z565" s="41" t="n">
        <x:f>IFERROR(J565-F565,"")</x:f>
        <x:v>1.8946159999999992</x:v>
      </x:c>
      <x:c r="AA565" s="41" t="n">
        <x:v>11909</x:v>
      </x:c>
      <x:c r="AB565" s="41" t="n">
        <x:v>5845</x:v>
      </x:c>
    </x:row>
    <x:row r="566">
      <x:c r="A566" s="41" t="str">
        <x:v>HYP_REFINE_AUTO002_TOPN_6_V1_DDGRID_LONG_R11_C22_E75_CR40_REDD_RECOVERED_DD8_SL20</x:v>
      </x:c>
      <x:c r="B566" s="41" t="str">
        <x:v>dd_guard_grid</x:v>
      </x:c>
      <x:c r="C566" s="41" t="str">
        <x:v>1999-01-04</x:v>
      </x:c>
      <x:c r="D566" s="41" t="str">
        <x:v>2026-05-22</x:v>
      </x:c>
      <x:c r="E566" s="41" t="n">
        <x:v>12.026639</x:v>
      </x:c>
      <x:c r="F566" s="41" t="n">
        <x:v>-32.641176</x:v>
      </x:c>
      <x:c r="G566" s="41" t="n">
        <x:v>2140.494045</x:v>
      </x:c>
      <x:c r="H566" s="41" t="n">
        <x:f>IFERROR(E566/ABS(F566),"")</x:f>
        <x:v>0.3684499296226337</x:v>
      </x:c>
      <x:c r="I566" s="41" t="n">
        <x:v>12.541464</x:v>
      </x:c>
      <x:c r="J566" s="41" t="n">
        <x:v>-29.435035</x:v>
      </x:c>
      <x:c r="K566" s="41" t="n">
        <x:v>2440.161433</x:v>
      </x:c>
      <x:c r="L566" s="41" t="n">
        <x:f>IFERROR(I566/ABS(J566),"")</x:f>
        <x:v>0.42607267156298606</x:v>
      </x:c>
      <x:c r="M566" s="41" t="n">
        <x:v>6.802475</x:v>
      </x:c>
      <x:c r="N566" s="41" t="n">
        <x:v>-56.473669</x:v>
      </x:c>
      <x:c r="O566" s="41" t="n">
        <x:v>506.057416</x:v>
      </x:c>
      <x:c r="P566" s="41" t="n">
        <x:f>IFERROR(M566/ABS(N566),"")</x:f>
        <x:v>0.12045392340278087</x:v>
      </x:c>
      <x:c r="Q566" s="41" t="str">
        <x:f>IF(L566&gt;=MAX(H566,P566),"Weekly",IF(H566&gt;=MAX(L566,P566),"No weekly","SPY"))</x:f>
        <x:v>Weekly</x:v>
      </x:c>
      <x:c r="R566" s="41" t="n">
        <x:f>IFERROR(L566-P566,"")</x:f>
        <x:v>0.3056187481602052</x:v>
      </x:c>
      <x:c r="S566" s="41" t="n">
        <x:f>IFERROR(H566-P566,"")</x:f>
        <x:v>0.2479960062198528</x:v>
      </x:c>
      <x:c r="T566" s="41" t="n">
        <x:f>IFERROR(I566-M566,"")</x:f>
        <x:v>5.738988999999999</x:v>
      </x:c>
      <x:c r="U566" s="41" t="n">
        <x:f>IFERROR(E566-M566,"")</x:f>
        <x:v>5.224163999999999</x:v>
      </x:c>
      <x:c r="V566" s="41" t="str">
        <x:f>IF(AND(I566&gt;M566,J566&gt;N566),"Sí","No")</x:f>
        <x:v>Sí</x:v>
      </x:c>
      <x:c r="W566" s="41" t="str">
        <x:f>IF(AND(E566&gt;M566,F566&gt;N566),"Sí","No")</x:f>
        <x:v>Sí</x:v>
      </x:c>
      <x:c r="X566" s="41" t="str">
        <x:f>IF(L566&gt;=H566,"Weekly","No weekly")</x:f>
        <x:v>Weekly</x:v>
      </x:c>
      <x:c r="Y566" s="41" t="n">
        <x:f>IFERROR(I566-E566,"")</x:f>
        <x:v>0.5148250000000001</x:v>
      </x:c>
      <x:c r="Z566" s="41" t="n">
        <x:f>IFERROR(J566-F566,"")</x:f>
        <x:v>3.2061410000000024</x:v>
      </x:c>
      <x:c r="AA566" s="41" t="n">
        <x:v>11968</x:v>
      </x:c>
      <x:c r="AB566" s="41" t="n">
        <x:v>5958</x:v>
      </x:c>
    </x:row>
    <x:row r="567">
      <x:c r="A567" s="41" t="str">
        <x:v>HYP_REFINE_AUTO002_TOPN_6_V1_DDGRID_LONG_R11_C22_E75_CR40_REDD_RECOVERED_DD8_SL22</x:v>
      </x:c>
      <x:c r="B567" s="41" t="str">
        <x:v>dd_guard_grid</x:v>
      </x:c>
      <x:c r="C567" s="41" t="str">
        <x:v>1999-01-04</x:v>
      </x:c>
      <x:c r="D567" s="41" t="str">
        <x:v>2026-05-22</x:v>
      </x:c>
      <x:c r="E567" s="41" t="n">
        <x:v>12.448196</x:v>
      </x:c>
      <x:c r="F567" s="41" t="n">
        <x:v>-33.556578</x:v>
      </x:c>
      <x:c r="G567" s="41" t="n">
        <x:v>2383.151528</x:v>
      </x:c>
      <x:c r="H567" s="41" t="n">
        <x:f>IFERROR(E567/ABS(F567),"")</x:f>
        <x:v>0.3709614252084941</x:v>
      </x:c>
      <x:c r="I567" s="41" t="n">
        <x:v>12.273294</x:v>
      </x:c>
      <x:c r="J567" s="41" t="n">
        <x:v>-29.461895</x:v>
      </x:c>
      <x:c r="K567" s="41" t="n">
        <x:v>2279.548636</x:v>
      </x:c>
      <x:c r="L567" s="41" t="n">
        <x:f>IFERROR(I567/ABS(J567),"")</x:f>
        <x:v>0.4165819612078585</x:v>
      </x:c>
      <x:c r="M567" s="41" t="n">
        <x:v>6.802475</x:v>
      </x:c>
      <x:c r="N567" s="41" t="n">
        <x:v>-56.473669</x:v>
      </x:c>
      <x:c r="O567" s="41" t="n">
        <x:v>506.057416</x:v>
      </x:c>
      <x:c r="P567" s="41" t="n">
        <x:f>IFERROR(M567/ABS(N567),"")</x:f>
        <x:v>0.12045392340278087</x:v>
      </x:c>
      <x:c r="Q567" s="41" t="str">
        <x:f>IF(L567&gt;=MAX(H567,P567),"Weekly",IF(H567&gt;=MAX(L567,P567),"No weekly","SPY"))</x:f>
        <x:v>Weekly</x:v>
      </x:c>
      <x:c r="R567" s="41" t="n">
        <x:f>IFERROR(L567-P567,"")</x:f>
        <x:v>0.2961280378050776</x:v>
      </x:c>
      <x:c r="S567" s="41" t="n">
        <x:f>IFERROR(H567-P567,"")</x:f>
        <x:v>0.25050750180571324</x:v>
      </x:c>
      <x:c r="T567" s="41" t="n">
        <x:f>IFERROR(I567-M567,"")</x:f>
        <x:v>5.470819</x:v>
      </x:c>
      <x:c r="U567" s="41" t="n">
        <x:f>IFERROR(E567-M567,"")</x:f>
        <x:v>5.645720999999999</x:v>
      </x:c>
      <x:c r="V567" s="41" t="str">
        <x:f>IF(AND(I567&gt;M567,J567&gt;N567),"Sí","No")</x:f>
        <x:v>Sí</x:v>
      </x:c>
      <x:c r="W567" s="41" t="str">
        <x:f>IF(AND(E567&gt;M567,F567&gt;N567),"Sí","No")</x:f>
        <x:v>Sí</x:v>
      </x:c>
      <x:c r="X567" s="41" t="str">
        <x:f>IF(L567&gt;=H567,"Weekly","No weekly")</x:f>
        <x:v>Weekly</x:v>
      </x:c>
      <x:c r="Y567" s="41" t="n">
        <x:f>IFERROR(I567-E567,"")</x:f>
        <x:v>-0.17490199999999945</x:v>
      </x:c>
      <x:c r="Z567" s="41" t="n">
        <x:f>IFERROR(J567-F567,"")</x:f>
        <x:v>4.094683000000003</x:v>
      </x:c>
      <x:c r="AA567" s="41" t="n">
        <x:v>12187</x:v>
      </x:c>
      <x:c r="AB567" s="41" t="n">
        <x:v>5903</x:v>
      </x:c>
    </x:row>
    <x:row r="568">
      <x:c r="A568" s="41" t="str">
        <x:v>HYP_REFINE_AUTO002_TOPN_6_V1_DDGRID_LONG_R11_C22_E75_CR40_REDD_RECOVERED_DD8_SL24</x:v>
      </x:c>
      <x:c r="B568" s="41" t="str">
        <x:v>dd_guard_grid</x:v>
      </x:c>
      <x:c r="C568" s="41" t="str">
        <x:v>1999-01-04</x:v>
      </x:c>
      <x:c r="D568" s="41" t="str">
        <x:v>2026-05-22</x:v>
      </x:c>
      <x:c r="E568" s="41" t="n">
        <x:v>11.04798</x:v>
      </x:c>
      <x:c r="F568" s="41" t="n">
        <x:v>-34.053842</x:v>
      </x:c>
      <x:c r="G568" s="41" t="n">
        <x:v>1662.03318</x:v>
      </x:c>
      <x:c r="H568" s="41" t="n">
        <x:f>IFERROR(E568/ABS(F568),"")</x:f>
        <x:v>0.3244268297245286</x:v>
      </x:c>
      <x:c r="I568" s="41" t="n">
        <x:v>12.938188</x:v>
      </x:c>
      <x:c r="J568" s="41" t="n">
        <x:v>-29.457236</x:v>
      </x:c>
      <x:c r="K568" s="41" t="n">
        <x:v>2697.065741</x:v>
      </x:c>
      <x:c r="L568" s="41" t="n">
        <x:f>IFERROR(I568/ABS(J568),"")</x:f>
        <x:v>0.4392193483461924</x:v>
      </x:c>
      <x:c r="M568" s="41" t="n">
        <x:v>6.802475</x:v>
      </x:c>
      <x:c r="N568" s="41" t="n">
        <x:v>-56.473669</x:v>
      </x:c>
      <x:c r="O568" s="41" t="n">
        <x:v>506.057416</x:v>
      </x:c>
      <x:c r="P568" s="41" t="n">
        <x:f>IFERROR(M568/ABS(N568),"")</x:f>
        <x:v>0.12045392340278087</x:v>
      </x:c>
      <x:c r="Q568" s="41" t="str">
        <x:f>IF(L568&gt;=MAX(H568,P568),"Weekly",IF(H568&gt;=MAX(L568,P568),"No weekly","SPY"))</x:f>
        <x:v>Weekly</x:v>
      </x:c>
      <x:c r="R568" s="41" t="n">
        <x:f>IFERROR(L568-P568,"")</x:f>
        <x:v>0.31876542494341153</x:v>
      </x:c>
      <x:c r="S568" s="41" t="n">
        <x:f>IFERROR(H568-P568,"")</x:f>
        <x:v>0.2039729063217477</x:v>
      </x:c>
      <x:c r="T568" s="41" t="n">
        <x:f>IFERROR(I568-M568,"")</x:f>
        <x:v>6.135713</x:v>
      </x:c>
      <x:c r="U568" s="41" t="n">
        <x:f>IFERROR(E568-M568,"")</x:f>
        <x:v>4.2455050000000005</x:v>
      </x:c>
      <x:c r="V568" s="41" t="str">
        <x:f>IF(AND(I568&gt;M568,J568&gt;N568),"Sí","No")</x:f>
        <x:v>Sí</x:v>
      </x:c>
      <x:c r="W568" s="41" t="str">
        <x:f>IF(AND(E568&gt;M568,F568&gt;N568),"Sí","No")</x:f>
        <x:v>Sí</x:v>
      </x:c>
      <x:c r="X568" s="41" t="str">
        <x:f>IF(L568&gt;=H568,"Weekly","No weekly")</x:f>
        <x:v>Weekly</x:v>
      </x:c>
      <x:c r="Y568" s="41" t="n">
        <x:f>IFERROR(I568-E568,"")</x:f>
        <x:v>1.8902079999999994</x:v>
      </x:c>
      <x:c r="Z568" s="41" t="n">
        <x:f>IFERROR(J568-F568,"")</x:f>
        <x:v>4.596606000000001</x:v>
      </x:c>
      <x:c r="AA568" s="41" t="n">
        <x:v>12244</x:v>
      </x:c>
      <x:c r="AB568" s="41" t="n">
        <x:v>5995</x:v>
      </x:c>
    </x:row>
    <x:row r="569">
      <x:c r="A569" s="41" t="str">
        <x:v>HYP_REFINE_AUTO002_TOPN_6_V1_DDGRID_LONG_R11_C22_E75_CR40_REDD_RECOVERED_DD8_SLNONE</x:v>
      </x:c>
      <x:c r="B569" s="41" t="str">
        <x:v>dd_guard_grid</x:v>
      </x:c>
      <x:c r="C569" s="41" t="str">
        <x:v>1999-01-04</x:v>
      </x:c>
      <x:c r="D569" s="41" t="str">
        <x:v>2026-05-22</x:v>
      </x:c>
      <x:c r="E569" s="41" t="n">
        <x:v>12.602048</x:v>
      </x:c>
      <x:c r="F569" s="41" t="n">
        <x:v>-33.40545</x:v>
      </x:c>
      <x:c r="G569" s="41" t="n">
        <x:v>2477.866717</x:v>
      </x:c>
      <x:c r="H569" s="41" t="n">
        <x:f>IFERROR(E569/ABS(F569),"")</x:f>
        <x:v>0.37724526985866075</x:v>
      </x:c>
      <x:c r="I569" s="41" t="n">
        <x:v>13.360514</x:v>
      </x:c>
      <x:c r="J569" s="41" t="n">
        <x:v>-29.476906</x:v>
      </x:c>
      <x:c r="K569" s="41" t="n">
        <x:v>2998.011415</x:v>
      </x:c>
      <x:c r="L569" s="41" t="n">
        <x:f>IFERROR(I569/ABS(J569),"")</x:f>
        <x:v>0.4532536080957751</x:v>
      </x:c>
      <x:c r="M569" s="41" t="n">
        <x:v>6.802475</x:v>
      </x:c>
      <x:c r="N569" s="41" t="n">
        <x:v>-56.473669</x:v>
      </x:c>
      <x:c r="O569" s="41" t="n">
        <x:v>506.057416</x:v>
      </x:c>
      <x:c r="P569" s="41" t="n">
        <x:f>IFERROR(M569/ABS(N569),"")</x:f>
        <x:v>0.12045392340278087</x:v>
      </x:c>
      <x:c r="Q569" s="41" t="str">
        <x:f>IF(L569&gt;=MAX(H569,P569),"Weekly",IF(H569&gt;=MAX(L569,P569),"No weekly","SPY"))</x:f>
        <x:v>Weekly</x:v>
      </x:c>
      <x:c r="R569" s="41" t="n">
        <x:f>IFERROR(L569-P569,"")</x:f>
        <x:v>0.3327996846929942</x:v>
      </x:c>
      <x:c r="S569" s="41" t="n">
        <x:f>IFERROR(H569-P569,"")</x:f>
        <x:v>0.25679134645587987</x:v>
      </x:c>
      <x:c r="T569" s="41" t="n">
        <x:f>IFERROR(I569-M569,"")</x:f>
        <x:v>6.558039</x:v>
      </x:c>
      <x:c r="U569" s="41" t="n">
        <x:f>IFERROR(E569-M569,"")</x:f>
        <x:v>5.799573</x:v>
      </x:c>
      <x:c r="V569" s="41" t="str">
        <x:f>IF(AND(I569&gt;M569,J569&gt;N569),"Sí","No")</x:f>
        <x:v>Sí</x:v>
      </x:c>
      <x:c r="W569" s="41" t="str">
        <x:f>IF(AND(E569&gt;M569,F569&gt;N569),"Sí","No")</x:f>
        <x:v>Sí</x:v>
      </x:c>
      <x:c r="X569" s="41" t="str">
        <x:f>IF(L569&gt;=H569,"Weekly","No weekly")</x:f>
        <x:v>Weekly</x:v>
      </x:c>
      <x:c r="Y569" s="41" t="n">
        <x:f>IFERROR(I569-E569,"")</x:f>
        <x:v>0.7584660000000003</x:v>
      </x:c>
      <x:c r="Z569" s="41" t="n">
        <x:f>IFERROR(J569-F569,"")</x:f>
        <x:v>3.9285440000000023</x:v>
      </x:c>
      <x:c r="AA569" s="41" t="n">
        <x:v>12220</x:v>
      </x:c>
      <x:c r="AB569" s="41" t="n">
        <x:v>6253</x:v>
      </x:c>
    </x:row>
    <x:row r="570">
      <x:c r="A570" s="41" t="str">
        <x:v>HYP_REFINE_AUTO002_TOPN_6_V1_DDGRID_LONG_R11_C22_E75_CR40_REDD_RECOVERED_DD9_SL18</x:v>
      </x:c>
      <x:c r="B570" s="41" t="str">
        <x:v>dd_guard_grid</x:v>
      </x:c>
      <x:c r="C570" s="41" t="str">
        <x:v>1999-01-04</x:v>
      </x:c>
      <x:c r="D570" s="41" t="str">
        <x:v>2026-05-22</x:v>
      </x:c>
      <x:c r="E570" s="41" t="n">
        <x:v>11.579923</x:v>
      </x:c>
      <x:c r="F570" s="41" t="n">
        <x:v>-31.56548</x:v>
      </x:c>
      <x:c r="G570" s="41" t="n">
        <x:v>1908.330897</x:v>
      </x:c>
      <x:c r="H570" s="41" t="n">
        <x:f>IFERROR(E570/ABS(F570),"")</x:f>
        <x:v>0.3668540126746053</x:v>
      </x:c>
      <x:c r="I570" s="41" t="n">
        <x:v>11.859666</x:v>
      </x:c>
      <x:c r="J570" s="41" t="n">
        <x:v>-29.670864</x:v>
      </x:c>
      <x:c r="K570" s="41" t="n">
        <x:v>2050.841009</x:v>
      </x:c>
      <x:c r="L570" s="41" t="n">
        <x:f>IFERROR(I570/ABS(J570),"")</x:f>
        <x:v>0.3997074706014628</x:v>
      </x:c>
      <x:c r="M570" s="41" t="n">
        <x:v>6.802475</x:v>
      </x:c>
      <x:c r="N570" s="41" t="n">
        <x:v>-56.473669</x:v>
      </x:c>
      <x:c r="O570" s="41" t="n">
        <x:v>506.057416</x:v>
      </x:c>
      <x:c r="P570" s="41" t="n">
        <x:f>IFERROR(M570/ABS(N570),"")</x:f>
        <x:v>0.12045392340278087</x:v>
      </x:c>
      <x:c r="Q570" s="41" t="str">
        <x:f>IF(L570&gt;=MAX(H570,P570),"Weekly",IF(H570&gt;=MAX(L570,P570),"No weekly","SPY"))</x:f>
        <x:v>Weekly</x:v>
      </x:c>
      <x:c r="R570" s="41" t="n">
        <x:f>IFERROR(L570-P570,"")</x:f>
        <x:v>0.2792535471986819</x:v>
      </x:c>
      <x:c r="S570" s="41" t="n">
        <x:f>IFERROR(H570-P570,"")</x:f>
        <x:v>0.24640008927182444</x:v>
      </x:c>
      <x:c r="T570" s="41" t="n">
        <x:f>IFERROR(I570-M570,"")</x:f>
        <x:v>5.057191</x:v>
      </x:c>
      <x:c r="U570" s="41" t="n">
        <x:f>IFERROR(E570-M570,"")</x:f>
        <x:v>4.777448000000001</x:v>
      </x:c>
      <x:c r="V570" s="41" t="str">
        <x:f>IF(AND(I570&gt;M570,J570&gt;N570),"Sí","No")</x:f>
        <x:v>Sí</x:v>
      </x:c>
      <x:c r="W570" s="41" t="str">
        <x:f>IF(AND(E570&gt;M570,F570&gt;N570),"Sí","No")</x:f>
        <x:v>Sí</x:v>
      </x:c>
      <x:c r="X570" s="41" t="str">
        <x:f>IF(L570&gt;=H570,"Weekly","No weekly")</x:f>
        <x:v>Weekly</x:v>
      </x:c>
      <x:c r="Y570" s="41" t="n">
        <x:f>IFERROR(I570-E570,"")</x:f>
        <x:v>0.27974299999999985</x:v>
      </x:c>
      <x:c r="Z570" s="41" t="n">
        <x:f>IFERROR(J570-F570,"")</x:f>
        <x:v>1.8946159999999992</x:v>
      </x:c>
      <x:c r="AA570" s="41" t="n">
        <x:v>11707</x:v>
      </x:c>
      <x:c r="AB570" s="41" t="n">
        <x:v>5505</x:v>
      </x:c>
    </x:row>
    <x:row r="571">
      <x:c r="A571" s="41" t="str">
        <x:v>HYP_REFINE_AUTO002_TOPN_6_V1_DDGRID_LONG_R11_C22_E75_CR40_REDD_RECOVERED_DD9_SL20</x:v>
      </x:c>
      <x:c r="B571" s="41" t="str">
        <x:v>dd_guard_grid</x:v>
      </x:c>
      <x:c r="C571" s="41" t="str">
        <x:v>1999-01-04</x:v>
      </x:c>
      <x:c r="D571" s="41" t="str">
        <x:v>2026-05-22</x:v>
      </x:c>
      <x:c r="E571" s="41" t="n">
        <x:v>12.416458</x:v>
      </x:c>
      <x:c r="F571" s="41" t="n">
        <x:v>-32.641176</x:v>
      </x:c>
      <x:c r="G571" s="41" t="n">
        <x:v>2364.034335</x:v>
      </x:c>
      <x:c r="H571" s="41" t="n">
        <x:f>IFERROR(E571/ABS(F571),"")</x:f>
        <x:v>0.3803924834080733</x:v>
      </x:c>
      <x:c r="I571" s="41" t="n">
        <x:v>12.409916</x:v>
      </x:c>
      <x:c r="J571" s="41" t="n">
        <x:v>-29.435035</x:v>
      </x:c>
      <x:c r="K571" s="41" t="n">
        <x:v>2360.111546</x:v>
      </x:c>
      <x:c r="L571" s="41" t="n">
        <x:f>IFERROR(I571/ABS(J571),"")</x:f>
        <x:v>0.4216035754671262</x:v>
      </x:c>
      <x:c r="M571" s="41" t="n">
        <x:v>6.802475</x:v>
      </x:c>
      <x:c r="N571" s="41" t="n">
        <x:v>-56.473669</x:v>
      </x:c>
      <x:c r="O571" s="41" t="n">
        <x:v>506.057416</x:v>
      </x:c>
      <x:c r="P571" s="41" t="n">
        <x:f>IFERROR(M571/ABS(N571),"")</x:f>
        <x:v>0.12045392340278087</x:v>
      </x:c>
      <x:c r="Q571" s="41" t="str">
        <x:f>IF(L571&gt;=MAX(H571,P571),"Weekly",IF(H571&gt;=MAX(L571,P571),"No weekly","SPY"))</x:f>
        <x:v>Weekly</x:v>
      </x:c>
      <x:c r="R571" s="41" t="n">
        <x:f>IFERROR(L571-P571,"")</x:f>
        <x:v>0.3011496520643453</x:v>
      </x:c>
      <x:c r="S571" s="41" t="n">
        <x:f>IFERROR(H571-P571,"")</x:f>
        <x:v>0.2599385600052924</x:v>
      </x:c>
      <x:c r="T571" s="41" t="n">
        <x:f>IFERROR(I571-M571,"")</x:f>
        <x:v>5.607441000000001</x:v>
      </x:c>
      <x:c r="U571" s="41" t="n">
        <x:f>IFERROR(E571-M571,"")</x:f>
        <x:v>5.613983</x:v>
      </x:c>
      <x:c r="V571" s="41" t="str">
        <x:f>IF(AND(I571&gt;M571,J571&gt;N571),"Sí","No")</x:f>
        <x:v>Sí</x:v>
      </x:c>
      <x:c r="W571" s="41" t="str">
        <x:f>IF(AND(E571&gt;M571,F571&gt;N571),"Sí","No")</x:f>
        <x:v>Sí</x:v>
      </x:c>
      <x:c r="X571" s="41" t="str">
        <x:f>IF(L571&gt;=H571,"Weekly","No weekly")</x:f>
        <x:v>Weekly</x:v>
      </x:c>
      <x:c r="Y571" s="41" t="n">
        <x:f>IFERROR(I571-E571,"")</x:f>
        <x:v>-0.006541999999999604</x:v>
      </x:c>
      <x:c r="Z571" s="41" t="n">
        <x:f>IFERROR(J571-F571,"")</x:f>
        <x:v>3.2061410000000024</x:v>
      </x:c>
      <x:c r="AA571" s="41" t="n">
        <x:v>11646</x:v>
      </x:c>
      <x:c r="AB571" s="41" t="n">
        <x:v>5639</x:v>
      </x:c>
    </x:row>
    <x:row r="572">
      <x:c r="A572" s="41" t="str">
        <x:v>HYP_REFINE_AUTO002_TOPN_6_V1_DDGRID_LONG_R11_C22_E75_CR42_REDD_RECOVERED_DD7_SL18</x:v>
      </x:c>
      <x:c r="B572" s="41" t="str">
        <x:v>dd_guard_grid</x:v>
      </x:c>
      <x:c r="C572" s="41" t="str">
        <x:v>1999-01-04</x:v>
      </x:c>
      <x:c r="D572" s="41" t="str">
        <x:v>2026-05-22</x:v>
      </x:c>
      <x:c r="E572" s="41" t="n">
        <x:v>11.854742</x:v>
      </x:c>
      <x:c r="F572" s="41" t="n">
        <x:v>-32.297788</x:v>
      </x:c>
      <x:c r="G572" s="41" t="n">
        <x:v>2048.250356</x:v>
      </x:c>
      <x:c r="H572" s="41" t="n">
        <x:f>IFERROR(E572/ABS(F572),"")</x:f>
        <x:v>0.3670450124943541</x:v>
      </x:c>
      <x:c r="I572" s="41" t="n">
        <x:v>12.021335</x:v>
      </x:c>
      <x:c r="J572" s="41" t="n">
        <x:v>-29.861432</x:v>
      </x:c>
      <x:c r="K572" s="41" t="n">
        <x:v>2137.591556</x:v>
      </x:c>
      <x:c r="L572" s="41" t="n">
        <x:f>IFERROR(I572/ABS(J572),"")</x:f>
        <x:v>0.4025706134923469</x:v>
      </x:c>
      <x:c r="M572" s="41" t="n">
        <x:v>6.802475</x:v>
      </x:c>
      <x:c r="N572" s="41" t="n">
        <x:v>-56.473669</x:v>
      </x:c>
      <x:c r="O572" s="41" t="n">
        <x:v>506.057416</x:v>
      </x:c>
      <x:c r="P572" s="41" t="n">
        <x:f>IFERROR(M572/ABS(N572),"")</x:f>
        <x:v>0.12045392340278087</x:v>
      </x:c>
      <x:c r="Q572" s="41" t="str">
        <x:f>IF(L572&gt;=MAX(H572,P572),"Weekly",IF(H572&gt;=MAX(L572,P572),"No weekly","SPY"))</x:f>
        <x:v>Weekly</x:v>
      </x:c>
      <x:c r="R572" s="41" t="n">
        <x:f>IFERROR(L572-P572,"")</x:f>
        <x:v>0.282116690089566</x:v>
      </x:c>
      <x:c r="S572" s="41" t="n">
        <x:f>IFERROR(H572-P572,"")</x:f>
        <x:v>0.24659108909157323</x:v>
      </x:c>
      <x:c r="T572" s="41" t="n">
        <x:f>IFERROR(I572-M572,"")</x:f>
        <x:v>5.21886</x:v>
      </x:c>
      <x:c r="U572" s="41" t="n">
        <x:f>IFERROR(E572-M572,"")</x:f>
        <x:v>5.052267</x:v>
      </x:c>
      <x:c r="V572" s="41" t="str">
        <x:f>IF(AND(I572&gt;M572,J572&gt;N572),"Sí","No")</x:f>
        <x:v>Sí</x:v>
      </x:c>
      <x:c r="W572" s="41" t="str">
        <x:f>IF(AND(E572&gt;M572,F572&gt;N572),"Sí","No")</x:f>
        <x:v>Sí</x:v>
      </x:c>
      <x:c r="X572" s="41" t="str">
        <x:f>IF(L572&gt;=H572,"Weekly","No weekly")</x:f>
        <x:v>Weekly</x:v>
      </x:c>
      <x:c r="Y572" s="41" t="n">
        <x:f>IFERROR(I572-E572,"")</x:f>
        <x:v>0.16659300000000066</x:v>
      </x:c>
      <x:c r="Z572" s="41" t="n">
        <x:f>IFERROR(J572-F572,"")</x:f>
        <x:v>2.4363559999999964</x:v>
      </x:c>
      <x:c r="AA572" s="41" t="n">
        <x:v>11852</x:v>
      </x:c>
      <x:c r="AB572" s="41" t="n">
        <x:v>5910</x:v>
      </x:c>
    </x:row>
    <x:row r="573">
      <x:c r="A573" s="41" t="str">
        <x:v>HYP_REFINE_AUTO002_TOPN_6_V1_DDGRID_LONG_R11_C22_E75_CR42_REDD_RECOVERED_DD8_SL20</x:v>
      </x:c>
      <x:c r="B573" s="41" t="str">
        <x:v>dd_guard_grid</x:v>
      </x:c>
      <x:c r="C573" s="41" t="str">
        <x:v>1999-01-04</x:v>
      </x:c>
      <x:c r="D573" s="41" t="str">
        <x:v>2026-05-22</x:v>
      </x:c>
      <x:c r="E573" s="41" t="n">
        <x:v>13.783161</x:v>
      </x:c>
      <x:c r="F573" s="41" t="n">
        <x:v>-33.28926</x:v>
      </x:c>
      <x:c r="G573" s="41" t="n">
        <x:v>3330.297865</x:v>
      </x:c>
      <x:c r="H573" s="41" t="n">
        <x:f>IFERROR(E573/ABS(F573),"")</x:f>
        <x:v>0.41404227669825044</x:v>
      </x:c>
      <x:c r="I573" s="41" t="n">
        <x:v>13.469826</x:v>
      </x:c>
      <x:c r="J573" s="41" t="n">
        <x:v>-29.730748</x:v>
      </x:c>
      <x:c r="K573" s="41" t="n">
        <x:v>3080.849402</x:v>
      </x:c>
      <x:c r="L573" s="41" t="n">
        <x:f>IFERROR(I573/ABS(J573),"")</x:f>
        <x:v>0.45306044772233783</x:v>
      </x:c>
      <x:c r="M573" s="41" t="n">
        <x:v>6.802475</x:v>
      </x:c>
      <x:c r="N573" s="41" t="n">
        <x:v>-56.473669</x:v>
      </x:c>
      <x:c r="O573" s="41" t="n">
        <x:v>506.057416</x:v>
      </x:c>
      <x:c r="P573" s="41" t="n">
        <x:f>IFERROR(M573/ABS(N573),"")</x:f>
        <x:v>0.12045392340278087</x:v>
      </x:c>
      <x:c r="Q573" s="41" t="str">
        <x:f>IF(L573&gt;=MAX(H573,P573),"Weekly",IF(H573&gt;=MAX(L573,P573),"No weekly","SPY"))</x:f>
        <x:v>Weekly</x:v>
      </x:c>
      <x:c r="R573" s="41" t="n">
        <x:f>IFERROR(L573-P573,"")</x:f>
        <x:v>0.33260652431955695</x:v>
      </x:c>
      <x:c r="S573" s="41" t="n">
        <x:f>IFERROR(H573-P573,"")</x:f>
        <x:v>0.29358835329546956</x:v>
      </x:c>
      <x:c r="T573" s="41" t="n">
        <x:f>IFERROR(I573-M573,"")</x:f>
        <x:v>6.667350999999999</x:v>
      </x:c>
      <x:c r="U573" s="41" t="n">
        <x:f>IFERROR(E573-M573,"")</x:f>
        <x:v>6.9806859999999995</x:v>
      </x:c>
      <x:c r="V573" s="41" t="str">
        <x:f>IF(AND(I573&gt;M573,J573&gt;N573),"Sí","No")</x:f>
        <x:v>Sí</x:v>
      </x:c>
      <x:c r="W573" s="41" t="str">
        <x:f>IF(AND(E573&gt;M573,F573&gt;N573),"Sí","No")</x:f>
        <x:v>Sí</x:v>
      </x:c>
      <x:c r="X573" s="41" t="str">
        <x:f>IF(L573&gt;=H573,"Weekly","No weekly")</x:f>
        <x:v>Weekly</x:v>
      </x:c>
      <x:c r="Y573" s="41" t="n">
        <x:f>IFERROR(I573-E573,"")</x:f>
        <x:v>-0.31333500000000036</x:v>
      </x:c>
      <x:c r="Z573" s="41" t="n">
        <x:f>IFERROR(J573-F573,"")</x:f>
        <x:v>3.5585120000000003</x:v>
      </x:c>
      <x:c r="AA573" s="41" t="n">
        <x:v>11890</x:v>
      </x:c>
      <x:c r="AB573" s="41" t="n">
        <x:v>5594</x:v>
      </x:c>
    </x:row>
    <x:row r="574">
      <x:c r="A574" s="41" t="str">
        <x:v>HYP_REFINE_AUTO002_TOPN_6_V1_DDGRID_LONG_R11_C22_E75_CR45_REDD_RECOVERED_DD7_SL20</x:v>
      </x:c>
      <x:c r="B574" s="41" t="str">
        <x:v>dd_guard_grid</x:v>
      </x:c>
      <x:c r="C574" s="41" t="str">
        <x:v>1999-01-04</x:v>
      </x:c>
      <x:c r="D574" s="41" t="str">
        <x:v>2026-05-22</x:v>
      </x:c>
      <x:c r="E574" s="41" t="n">
        <x:v>14.02465</x:v>
      </x:c>
      <x:c r="F574" s="41" t="n">
        <x:v>-33.754857</x:v>
      </x:c>
      <x:c r="G574" s="41" t="n">
        <x:v>3535.302997</x:v>
      </x:c>
      <x:c r="H574" s="41" t="n">
        <x:f>IFERROR(E574/ABS(F574),"")</x:f>
        <x:v>0.4154853922207402</x:v>
      </x:c>
      <x:c r="I574" s="41" t="n">
        <x:v>13.603032</x:v>
      </x:c>
      <x:c r="J574" s="41" t="n">
        <x:v>-29.842062</x:v>
      </x:c>
      <x:c r="K574" s="41" t="n">
        <x:v>3184.682909</x:v>
      </x:c>
      <x:c r="L574" s="41" t="n">
        <x:f>IFERROR(I574/ABS(J574),"")</x:f>
        <x:v>0.45583418464850056</x:v>
      </x:c>
      <x:c r="M574" s="41" t="n">
        <x:v>6.802475</x:v>
      </x:c>
      <x:c r="N574" s="41" t="n">
        <x:v>-56.473669</x:v>
      </x:c>
      <x:c r="O574" s="41" t="n">
        <x:v>506.057416</x:v>
      </x:c>
      <x:c r="P574" s="41" t="n">
        <x:f>IFERROR(M574/ABS(N574),"")</x:f>
        <x:v>0.12045392340278087</x:v>
      </x:c>
      <x:c r="Q574" s="41" t="str">
        <x:f>IF(L574&gt;=MAX(H574,P574),"Weekly",IF(H574&gt;=MAX(L574,P574),"No weekly","SPY"))</x:f>
        <x:v>Weekly</x:v>
      </x:c>
      <x:c r="R574" s="41" t="n">
        <x:f>IFERROR(L574-P574,"")</x:f>
        <x:v>0.3353802612457197</x:v>
      </x:c>
      <x:c r="S574" s="41" t="n">
        <x:f>IFERROR(H574-P574,"")</x:f>
        <x:v>0.29503146881795933</x:v>
      </x:c>
      <x:c r="T574" s="41" t="n">
        <x:f>IFERROR(I574-M574,"")</x:f>
        <x:v>6.800557</x:v>
      </x:c>
      <x:c r="U574" s="41" t="n">
        <x:f>IFERROR(E574-M574,"")</x:f>
        <x:v>7.222174999999999</x:v>
      </x:c>
      <x:c r="V574" s="41" t="str">
        <x:f>IF(AND(I574&gt;M574,J574&gt;N574),"Sí","No")</x:f>
        <x:v>Sí</x:v>
      </x:c>
      <x:c r="W574" s="41" t="str">
        <x:f>IF(AND(E574&gt;M574,F574&gt;N574),"Sí","No")</x:f>
        <x:v>Sí</x:v>
      </x:c>
      <x:c r="X574" s="41" t="str">
        <x:f>IF(L574&gt;=H574,"Weekly","No weekly")</x:f>
        <x:v>Weekly</x:v>
      </x:c>
      <x:c r="Y574" s="41" t="n">
        <x:f>IFERROR(I574-E574,"")</x:f>
        <x:v>-0.4216179999999987</x:v>
      </x:c>
      <x:c r="Z574" s="41" t="n">
        <x:f>IFERROR(J574-F574,"")</x:f>
        <x:v>3.9127950000000027</x:v>
      </x:c>
      <x:c r="AA574" s="41" t="n">
        <x:v>11801</x:v>
      </x:c>
      <x:c r="AB574" s="41" t="n">
        <x:v>5557</x:v>
      </x:c>
    </x:row>
    <x:row r="575">
      <x:c r="A575" s="41" t="str">
        <x:v>HYP_REFINE_AUTO002_TOPN_6_V1_DDGRID_LONG_R11_C22_E75_CR45_REDD_RECOVERED_DD8_SL18</x:v>
      </x:c>
      <x:c r="B575" s="41" t="str">
        <x:v>dd_guard_grid</x:v>
      </x:c>
      <x:c r="C575" s="41" t="str">
        <x:v>1999-01-04</x:v>
      </x:c>
      <x:c r="D575" s="41" t="str">
        <x:v>2026-05-22</x:v>
      </x:c>
      <x:c r="E575" s="41" t="n">
        <x:v>12.001578</x:v>
      </x:c>
      <x:c r="F575" s="41" t="n">
        <x:v>-32.615422</x:v>
      </x:c>
      <x:c r="G575" s="41" t="n">
        <x:v>2126.81194</x:v>
      </x:c>
      <x:c r="H575" s="41" t="n">
        <x:f>IFERROR(E575/ABS(F575),"")</x:f>
        <x:v>0.36797248859757203</x:v>
      </x:c>
      <x:c r="I575" s="41" t="n">
        <x:v>13.219853</x:v>
      </x:c>
      <x:c r="J575" s="41" t="n">
        <x:v>-30.147391</x:v>
      </x:c>
      <x:c r="K575" s="41" t="n">
        <x:v>2894.47025</x:v>
      </x:c>
      <x:c r="L575" s="41" t="n">
        <x:f>IFERROR(I575/ABS(J575),"")</x:f>
        <x:v>0.43850736536372253</x:v>
      </x:c>
      <x:c r="M575" s="41" t="n">
        <x:v>6.802475</x:v>
      </x:c>
      <x:c r="N575" s="41" t="n">
        <x:v>-56.473669</x:v>
      </x:c>
      <x:c r="O575" s="41" t="n">
        <x:v>506.057416</x:v>
      </x:c>
      <x:c r="P575" s="41" t="n">
        <x:f>IFERROR(M575/ABS(N575),"")</x:f>
        <x:v>0.12045392340278087</x:v>
      </x:c>
      <x:c r="Q575" s="41" t="str">
        <x:f>IF(L575&gt;=MAX(H575,P575),"Weekly",IF(H575&gt;=MAX(L575,P575),"No weekly","SPY"))</x:f>
        <x:v>Weekly</x:v>
      </x:c>
      <x:c r="R575" s="41" t="n">
        <x:f>IFERROR(L575-P575,"")</x:f>
        <x:v>0.31805344196094165</x:v>
      </x:c>
      <x:c r="S575" s="41" t="n">
        <x:f>IFERROR(H575-P575,"")</x:f>
        <x:v>0.24751856519479115</x:v>
      </x:c>
      <x:c r="T575" s="41" t="n">
        <x:f>IFERROR(I575-M575,"")</x:f>
        <x:v>6.417378</x:v>
      </x:c>
      <x:c r="U575" s="41" t="n">
        <x:f>IFERROR(E575-M575,"")</x:f>
        <x:v>5.199103</x:v>
      </x:c>
      <x:c r="V575" s="41" t="str">
        <x:f>IF(AND(I575&gt;M575,J575&gt;N575),"Sí","No")</x:f>
        <x:v>Sí</x:v>
      </x:c>
      <x:c r="W575" s="41" t="str">
        <x:f>IF(AND(E575&gt;M575,F575&gt;N575),"Sí","No")</x:f>
        <x:v>Sí</x:v>
      </x:c>
      <x:c r="X575" s="41" t="str">
        <x:f>IF(L575&gt;=H575,"Weekly","No weekly")</x:f>
        <x:v>Weekly</x:v>
      </x:c>
      <x:c r="Y575" s="41" t="n">
        <x:f>IFERROR(I575-E575,"")</x:f>
        <x:v>1.2182750000000002</x:v>
      </x:c>
      <x:c r="Z575" s="41" t="n">
        <x:f>IFERROR(J575-F575,"")</x:f>
        <x:v>2.4680310000000034</x:v>
      </x:c>
      <x:c r="AA575" s="41" t="n">
        <x:v>11438</x:v>
      </x:c>
      <x:c r="AB575" s="41" t="n">
        <x:v>5647</x:v>
      </x:c>
    </x:row>
    <x:row r="576">
      <x:c r="A576" s="41" t="str">
        <x:v>HYP_REFINE_AUTO002_TOPN_6_V1_DDGRID_LONG_R11_C22_E75_CR45_REDD_RECOVERED_DD8_SL20</x:v>
      </x:c>
      <x:c r="B576" s="41" t="str">
        <x:v>dd_guard_grid</x:v>
      </x:c>
      <x:c r="C576" s="41" t="str">
        <x:v>1999-01-04</x:v>
      </x:c>
      <x:c r="D576" s="41" t="str">
        <x:v>2026-05-22</x:v>
      </x:c>
      <x:c r="E576" s="41" t="n">
        <x:v>13.943822</x:v>
      </x:c>
      <x:c r="F576" s="41" t="n">
        <x:v>-33.754857</x:v>
      </x:c>
      <x:c r="G576" s="41" t="n">
        <x:v>3465.406427</x:v>
      </x:c>
      <x:c r="H576" s="41" t="n">
        <x:f>IFERROR(E576/ABS(F576),"")</x:f>
        <x:v>0.4130908331206973</x:v>
      </x:c>
      <x:c r="I576" s="41" t="n">
        <x:v>13.84567</x:v>
      </x:c>
      <x:c r="J576" s="41" t="n">
        <x:v>-29.842062</x:v>
      </x:c>
      <x:c r="K576" s="41" t="n">
        <x:v>3382.267859</x:v>
      </x:c>
      <x:c r="L576" s="41" t="n">
        <x:f>IFERROR(I576/ABS(J576),"")</x:f>
        <x:v>0.4639649230673135</x:v>
      </x:c>
      <x:c r="M576" s="41" t="n">
        <x:v>6.802475</x:v>
      </x:c>
      <x:c r="N576" s="41" t="n">
        <x:v>-56.473669</x:v>
      </x:c>
      <x:c r="O576" s="41" t="n">
        <x:v>506.057416</x:v>
      </x:c>
      <x:c r="P576" s="41" t="n">
        <x:f>IFERROR(M576/ABS(N576),"")</x:f>
        <x:v>0.12045392340278087</x:v>
      </x:c>
      <x:c r="Q576" s="41" t="str">
        <x:f>IF(L576&gt;=MAX(H576,P576),"Weekly",IF(H576&gt;=MAX(L576,P576),"No weekly","SPY"))</x:f>
        <x:v>Weekly</x:v>
      </x:c>
      <x:c r="R576" s="41" t="n">
        <x:f>IFERROR(L576-P576,"")</x:f>
        <x:v>0.34351099966453263</x:v>
      </x:c>
      <x:c r="S576" s="41" t="n">
        <x:f>IFERROR(H576-P576,"")</x:f>
        <x:v>0.2926369097179164</x:v>
      </x:c>
      <x:c r="T576" s="41" t="n">
        <x:f>IFERROR(I576-M576,"")</x:f>
        <x:v>7.043195</x:v>
      </x:c>
      <x:c r="U576" s="41" t="n">
        <x:f>IFERROR(E576-M576,"")</x:f>
        <x:v>7.1413470000000006</x:v>
      </x:c>
      <x:c r="V576" s="41" t="str">
        <x:f>IF(AND(I576&gt;M576,J576&gt;N576),"Sí","No")</x:f>
        <x:v>Sí</x:v>
      </x:c>
      <x:c r="W576" s="41" t="str">
        <x:f>IF(AND(E576&gt;M576,F576&gt;N576),"Sí","No")</x:f>
        <x:v>Sí</x:v>
      </x:c>
      <x:c r="X576" s="41" t="str">
        <x:f>IF(L576&gt;=H576,"Weekly","No weekly")</x:f>
        <x:v>Weekly</x:v>
      </x:c>
      <x:c r="Y576" s="41" t="n">
        <x:f>IFERROR(I576-E576,"")</x:f>
        <x:v>-0.09815200000000068</x:v>
      </x:c>
      <x:c r="Z576" s="41" t="n">
        <x:f>IFERROR(J576-F576,"")</x:f>
        <x:v>3.9127950000000027</x:v>
      </x:c>
      <x:c r="AA576" s="41" t="n">
        <x:v>11542</x:v>
      </x:c>
      <x:c r="AB576" s="41" t="n">
        <x:v>5452</x:v>
      </x:c>
    </x:row>
    <x:row r="577">
      <x:c r="A577" s="41" t="str">
        <x:v>HYP_REFINE_AUTO002_TOPN_6_V1_DDGRID_LONG_R11_C22_E75_CR45_REDD_RECOVERED_DD8_SL22</x:v>
      </x:c>
      <x:c r="B577" s="41" t="str">
        <x:v>dd_guard_grid</x:v>
      </x:c>
      <x:c r="C577" s="41" t="str">
        <x:v>1999-01-04</x:v>
      </x:c>
      <x:c r="D577" s="41" t="str">
        <x:v>2026-05-22</x:v>
      </x:c>
      <x:c r="E577" s="41" t="n">
        <x:v>12.91066</x:v>
      </x:c>
      <x:c r="F577" s="41" t="n">
        <x:v>-34.278714</x:v>
      </x:c>
      <x:c r="G577" s="41" t="n">
        <x:v>2678.459764</x:v>
      </x:c>
      <x:c r="H577" s="41" t="n">
        <x:f>IFERROR(E577/ABS(F577),"")</x:f>
        <x:v>0.3766378166928899</x:v>
      </x:c>
      <x:c r="I577" s="41" t="n">
        <x:v>13.99192</x:v>
      </x:c>
      <x:c r="J577" s="41" t="n">
        <x:v>-29.714556</x:v>
      </x:c>
      <x:c r="K577" s="41" t="n">
        <x:v>3506.842233</x:v>
      </x:c>
      <x:c r="L577" s="41" t="n">
        <x:f>IFERROR(I577/ABS(J577),"")</x:f>
        <x:v>0.4708776399014678</x:v>
      </x:c>
      <x:c r="M577" s="41" t="n">
        <x:v>6.802475</x:v>
      </x:c>
      <x:c r="N577" s="41" t="n">
        <x:v>-56.473669</x:v>
      </x:c>
      <x:c r="O577" s="41" t="n">
        <x:v>506.057416</x:v>
      </x:c>
      <x:c r="P577" s="41" t="n">
        <x:f>IFERROR(M577/ABS(N577),"")</x:f>
        <x:v>0.12045392340278087</x:v>
      </x:c>
      <x:c r="Q577" s="41" t="str">
        <x:f>IF(L577&gt;=MAX(H577,P577),"Weekly",IF(H577&gt;=MAX(L577,P577),"No weekly","SPY"))</x:f>
        <x:v>Weekly</x:v>
      </x:c>
      <x:c r="R577" s="41" t="n">
        <x:f>IFERROR(L577-P577,"")</x:f>
        <x:v>0.3504237164986869</x:v>
      </x:c>
      <x:c r="S577" s="41" t="n">
        <x:f>IFERROR(H577-P577,"")</x:f>
        <x:v>0.25618389329010904</x:v>
      </x:c>
      <x:c r="T577" s="41" t="n">
        <x:f>IFERROR(I577-M577,"")</x:f>
        <x:v>7.189445</x:v>
      </x:c>
      <x:c r="U577" s="41" t="n">
        <x:f>IFERROR(E577-M577,"")</x:f>
        <x:v>6.108185</x:v>
      </x:c>
      <x:c r="V577" s="41" t="str">
        <x:f>IF(AND(I577&gt;M577,J577&gt;N577),"Sí","No")</x:f>
        <x:v>Sí</x:v>
      </x:c>
      <x:c r="W577" s="41" t="str">
        <x:f>IF(AND(E577&gt;M577,F577&gt;N577),"Sí","No")</x:f>
        <x:v>Sí</x:v>
      </x:c>
      <x:c r="X577" s="41" t="str">
        <x:f>IF(L577&gt;=H577,"Weekly","No weekly")</x:f>
        <x:v>Weekly</x:v>
      </x:c>
      <x:c r="Y577" s="41" t="n">
        <x:f>IFERROR(I577-E577,"")</x:f>
        <x:v>1.0812600000000003</x:v>
      </x:c>
      <x:c r="Z577" s="41" t="n">
        <x:f>IFERROR(J577-F577,"")</x:f>
        <x:v>4.564157999999999</x:v>
      </x:c>
      <x:c r="AA577" s="41" t="n">
        <x:v>11616</x:v>
      </x:c>
      <x:c r="AB577" s="41" t="n">
        <x:v>5653</x:v>
      </x:c>
    </x:row>
    <x:row r="578">
      <x:c r="A578" s="41" t="str">
        <x:v>HYP_REFINE_AUTO002_TOPN_6_V1_DDGRID_LONG_R11_C22_E75_CR45_REDD_RECOVERED_DD9_SL20</x:v>
      </x:c>
      <x:c r="B578" s="41" t="str">
        <x:v>dd_guard_grid</x:v>
      </x:c>
      <x:c r="C578" s="41" t="str">
        <x:v>1999-01-04</x:v>
      </x:c>
      <x:c r="D578" s="41" t="str">
        <x:v>2026-05-22</x:v>
      </x:c>
      <x:c r="E578" s="41" t="n">
        <x:v>13.946428</x:v>
      </x:c>
      <x:c r="F578" s="41" t="n">
        <x:v>-33.754857</x:v>
      </x:c>
      <x:c r="G578" s="41" t="n">
        <x:v>3467.639931</x:v>
      </x:c>
      <x:c r="H578" s="41" t="n">
        <x:f>IFERROR(E578/ABS(F578),"")</x:f>
        <x:v>0.41316803682504116</x:v>
      </x:c>
      <x:c r="I578" s="41" t="n">
        <x:v>13.082222</x:v>
      </x:c>
      <x:c r="J578" s="41" t="n">
        <x:v>-29.842062</x:v>
      </x:c>
      <x:c r="K578" s="41" t="n">
        <x:v>2796.390855</x:v>
      </x:c>
      <x:c r="L578" s="41" t="n">
        <x:f>IFERROR(I578/ABS(J578),"")</x:f>
        <x:v>0.43838197239855614</x:v>
      </x:c>
      <x:c r="M578" s="41" t="n">
        <x:v>6.802475</x:v>
      </x:c>
      <x:c r="N578" s="41" t="n">
        <x:v>-56.473669</x:v>
      </x:c>
      <x:c r="O578" s="41" t="n">
        <x:v>506.057416</x:v>
      </x:c>
      <x:c r="P578" s="41" t="n">
        <x:f>IFERROR(M578/ABS(N578),"")</x:f>
        <x:v>0.12045392340278087</x:v>
      </x:c>
      <x:c r="Q578" s="41" t="str">
        <x:f>IF(L578&gt;=MAX(H578,P578),"Weekly",IF(H578&gt;=MAX(L578,P578),"No weekly","SPY"))</x:f>
        <x:v>Weekly</x:v>
      </x:c>
      <x:c r="R578" s="41" t="n">
        <x:f>IFERROR(L578-P578,"")</x:f>
        <x:v>0.31792804899577526</x:v>
      </x:c>
      <x:c r="S578" s="41" t="n">
        <x:f>IFERROR(H578-P578,"")</x:f>
        <x:v>0.2927141134222603</x:v>
      </x:c>
      <x:c r="T578" s="41" t="n">
        <x:f>IFERROR(I578-M578,"")</x:f>
        <x:v>6.2797469999999995</x:v>
      </x:c>
      <x:c r="U578" s="41" t="n">
        <x:f>IFERROR(E578-M578,"")</x:f>
        <x:v>7.143952999999999</x:v>
      </x:c>
      <x:c r="V578" s="41" t="str">
        <x:f>IF(AND(I578&gt;M578,J578&gt;N578),"Sí","No")</x:f>
        <x:v>Sí</x:v>
      </x:c>
      <x:c r="W578" s="41" t="str">
        <x:f>IF(AND(E578&gt;M578,F578&gt;N578),"Sí","No")</x:f>
        <x:v>Sí</x:v>
      </x:c>
      <x:c r="X578" s="41" t="str">
        <x:f>IF(L578&gt;=H578,"Weekly","No weekly")</x:f>
        <x:v>Weekly</x:v>
      </x:c>
      <x:c r="Y578" s="41" t="n">
        <x:f>IFERROR(I578-E578,"")</x:f>
        <x:v>-0.8642059999999994</x:v>
      </x:c>
      <x:c r="Z578" s="41" t="n">
        <x:f>IFERROR(J578-F578,"")</x:f>
        <x:v>3.9127950000000027</x:v>
      </x:c>
      <x:c r="AA578" s="41" t="n">
        <x:v>11611</x:v>
      </x:c>
      <x:c r="AB578" s="41" t="n">
        <x:v>5285</x:v>
      </x:c>
    </x:row>
    <x:row r="579">
      <x:c r="A579" s="41" t="str">
        <x:v>HYP_REFINE_AUTO002_TOPN_6_V1_DDGRID_LONG_R11_C22_E78_CR40_REDD_RECOVERED_DD7_SL18</x:v>
      </x:c>
      <x:c r="B579" s="41" t="str">
        <x:v>dd_guard_grid</x:v>
      </x:c>
      <x:c r="C579" s="41" t="str">
        <x:v>1999-01-04</x:v>
      </x:c>
      <x:c r="D579" s="41" t="str">
        <x:v>2026-05-22</x:v>
      </x:c>
      <x:c r="E579" s="41" t="n">
        <x:v>11.299259</x:v>
      </x:c>
      <x:c r="F579" s="41" t="n">
        <x:v>-31.850591</x:v>
      </x:c>
      <x:c r="G579" s="41" t="n">
        <x:v>1774.515727</x:v>
      </x:c>
      <x:c r="H579" s="41" t="n">
        <x:f>IFERROR(E579/ABS(F579),"")</x:f>
        <x:v>0.35475822096990284</x:v>
      </x:c>
      <x:c r="I579" s="41" t="n">
        <x:v>11.974366</x:v>
      </x:c>
      <x:c r="J579" s="41" t="n">
        <x:v>-29.985068</x:v>
      </x:c>
      <x:c r="K579" s="41" t="n">
        <x:v>2112.046882</x:v>
      </x:c>
      <x:c r="L579" s="41" t="n">
        <x:f>IFERROR(I579/ABS(J579),"")</x:f>
        <x:v>0.3993443003030709</x:v>
      </x:c>
      <x:c r="M579" s="41" t="n">
        <x:v>6.802475</x:v>
      </x:c>
      <x:c r="N579" s="41" t="n">
        <x:v>-56.473669</x:v>
      </x:c>
      <x:c r="O579" s="41" t="n">
        <x:v>506.057416</x:v>
      </x:c>
      <x:c r="P579" s="41" t="n">
        <x:f>IFERROR(M579/ABS(N579),"")</x:f>
        <x:v>0.12045392340278087</x:v>
      </x:c>
      <x:c r="Q579" s="41" t="str">
        <x:f>IF(L579&gt;=MAX(H579,P579),"Weekly",IF(H579&gt;=MAX(L579,P579),"No weekly","SPY"))</x:f>
        <x:v>Weekly</x:v>
      </x:c>
      <x:c r="R579" s="41" t="n">
        <x:f>IFERROR(L579-P579,"")</x:f>
        <x:v>0.27889037690029</x:v>
      </x:c>
      <x:c r="S579" s="41" t="n">
        <x:f>IFERROR(H579-P579,"")</x:f>
        <x:v>0.23430429756712196</x:v>
      </x:c>
      <x:c r="T579" s="41" t="n">
        <x:f>IFERROR(I579-M579,"")</x:f>
        <x:v>5.171891</x:v>
      </x:c>
      <x:c r="U579" s="41" t="n">
        <x:f>IFERROR(E579-M579,"")</x:f>
        <x:v>4.496783999999999</x:v>
      </x:c>
      <x:c r="V579" s="41" t="str">
        <x:f>IF(AND(I579&gt;M579,J579&gt;N579),"Sí","No")</x:f>
        <x:v>Sí</x:v>
      </x:c>
      <x:c r="W579" s="41" t="str">
        <x:f>IF(AND(E579&gt;M579,F579&gt;N579),"Sí","No")</x:f>
        <x:v>Sí</x:v>
      </x:c>
      <x:c r="X579" s="41" t="str">
        <x:f>IF(L579&gt;=H579,"Weekly","No weekly")</x:f>
        <x:v>Weekly</x:v>
      </x:c>
      <x:c r="Y579" s="41" t="n">
        <x:f>IFERROR(I579-E579,"")</x:f>
        <x:v>0.6751070000000006</x:v>
      </x:c>
      <x:c r="Z579" s="41" t="n">
        <x:f>IFERROR(J579-F579,"")</x:f>
        <x:v>1.8655230000000032</x:v>
      </x:c>
      <x:c r="AA579" s="41" t="n">
        <x:v>12165</x:v>
      </x:c>
      <x:c r="AB579" s="41" t="n">
        <x:v>6087</x:v>
      </x:c>
    </x:row>
    <x:row r="580">
      <x:c r="A580" s="41" t="str">
        <x:v>HYP_REFINE_AUTO002_TOPN_6_V1_DDGRID_LONG_R11_C22_E78_CR40_REDD_RECOVERED_DD8_SL20</x:v>
      </x:c>
      <x:c r="B580" s="41" t="str">
        <x:v>dd_guard_grid</x:v>
      </x:c>
      <x:c r="C580" s="41" t="str">
        <x:v>1999-01-04</x:v>
      </x:c>
      <x:c r="D580" s="41" t="str">
        <x:v>2026-05-22</x:v>
      </x:c>
      <x:c r="E580" s="41" t="n">
        <x:v>12.289543</x:v>
      </x:c>
      <x:c r="F580" s="41" t="n">
        <x:v>-33.055814</x:v>
      </x:c>
      <x:c r="G580" s="41" t="n">
        <x:v>2288.995491</x:v>
      </x:c>
      <x:c r="H580" s="41" t="n">
        <x:f>IFERROR(E580/ABS(F580),"")</x:f>
        <x:v>0.3717815873479927</x:v>
      </x:c>
      <x:c r="I580" s="41" t="n">
        <x:v>11.9865</x:v>
      </x:c>
      <x:c r="J580" s="41" t="n">
        <x:v>-31.090204</x:v>
      </x:c>
      <x:c r="K580" s="41" t="n">
        <x:v>2118.61921</x:v>
      </x:c>
      <x:c r="L580" s="41" t="n">
        <x:f>IFERROR(I580/ABS(J580),"")</x:f>
        <x:v>0.3855394451577095</x:v>
      </x:c>
      <x:c r="M580" s="41" t="n">
        <x:v>6.802475</x:v>
      </x:c>
      <x:c r="N580" s="41" t="n">
        <x:v>-56.473669</x:v>
      </x:c>
      <x:c r="O580" s="41" t="n">
        <x:v>506.057416</x:v>
      </x:c>
      <x:c r="P580" s="41" t="n">
        <x:f>IFERROR(M580/ABS(N580),"")</x:f>
        <x:v>0.12045392340278087</x:v>
      </x:c>
      <x:c r="Q580" s="41" t="str">
        <x:f>IF(L580&gt;=MAX(H580,P580),"Weekly",IF(H580&gt;=MAX(L580,P580),"No weekly","SPY"))</x:f>
        <x:v>Weekly</x:v>
      </x:c>
      <x:c r="R580" s="41" t="n">
        <x:f>IFERROR(L580-P580,"")</x:f>
        <x:v>0.2650855217549286</x:v>
      </x:c>
      <x:c r="S580" s="41" t="n">
        <x:f>IFERROR(H580-P580,"")</x:f>
        <x:v>0.25132766394521183</x:v>
      </x:c>
      <x:c r="T580" s="41" t="n">
        <x:f>IFERROR(I580-M580,"")</x:f>
        <x:v>5.184024999999999</x:v>
      </x:c>
      <x:c r="U580" s="41" t="n">
        <x:f>IFERROR(E580-M580,"")</x:f>
        <x:v>5.487068</x:v>
      </x:c>
      <x:c r="V580" s="41" t="str">
        <x:f>IF(AND(I580&gt;M580,J580&gt;N580),"Sí","No")</x:f>
        <x:v>Sí</x:v>
      </x:c>
      <x:c r="W580" s="41" t="str">
        <x:f>IF(AND(E580&gt;M580,F580&gt;N580),"Sí","No")</x:f>
        <x:v>Sí</x:v>
      </x:c>
      <x:c r="X580" s="41" t="str">
        <x:f>IF(L580&gt;=H580,"Weekly","No weekly")</x:f>
        <x:v>Weekly</x:v>
      </x:c>
      <x:c r="Y580" s="41" t="n">
        <x:f>IFERROR(I580-E580,"")</x:f>
        <x:v>-0.3030430000000006</x:v>
      </x:c>
      <x:c r="Z580" s="41" t="n">
        <x:f>IFERROR(J580-F580,"")</x:f>
        <x:v>1.965609999999998</x:v>
      </x:c>
      <x:c r="AA580" s="41" t="n">
        <x:v>12246</x:v>
      </x:c>
      <x:c r="AB580" s="41" t="n">
        <x:v>6045</x:v>
      </x:c>
    </x:row>
    <x:row r="581">
      <x:c r="A581" s="41" t="str">
        <x:v>HYP_REFINE_AUTO002_TOPN_6_V1_DDGRID_LONG_R11_C22_E80_CR40_REDD_RECOVERED_DD8_SL20</x:v>
      </x:c>
      <x:c r="B581" s="41" t="str">
        <x:v>dd_guard_grid</x:v>
      </x:c>
      <x:c r="C581" s="41" t="str">
        <x:v>1999-01-04</x:v>
      </x:c>
      <x:c r="D581" s="41" t="str">
        <x:v>2026-05-22</x:v>
      </x:c>
      <x:c r="E581" s="41" t="n">
        <x:v>12.194587</x:v>
      </x:c>
      <x:c r="F581" s="41" t="n">
        <x:v>-33.329993</x:v>
      </x:c>
      <x:c r="G581" s="41" t="n">
        <x:v>2234.297269</x:v>
      </x:c>
      <x:c r="H581" s="41" t="n">
        <x:f>IFERROR(E581/ABS(F581),"")</x:f>
        <x:v>0.3658742742610237</x:v>
      </x:c>
      <x:c r="I581" s="41" t="n">
        <x:v>12.149848</x:v>
      </x:c>
      <x:c r="J581" s="41" t="n">
        <x:v>-30.981413</x:v>
      </x:c>
      <x:c r="K581" s="41" t="n">
        <x:v>2208.946186</x:v>
      </x:c>
      <x:c r="L581" s="41" t="n">
        <x:f>IFERROR(I581/ABS(J581),"")</x:f>
        <x:v>0.39216571561794167</x:v>
      </x:c>
      <x:c r="M581" s="41" t="n">
        <x:v>6.802475</x:v>
      </x:c>
      <x:c r="N581" s="41" t="n">
        <x:v>-56.473669</x:v>
      </x:c>
      <x:c r="O581" s="41" t="n">
        <x:v>506.057416</x:v>
      </x:c>
      <x:c r="P581" s="41" t="n">
        <x:f>IFERROR(M581/ABS(N581),"")</x:f>
        <x:v>0.12045392340278087</x:v>
      </x:c>
      <x:c r="Q581" s="41" t="str">
        <x:f>IF(L581&gt;=MAX(H581,P581),"Weekly",IF(H581&gt;=MAX(L581,P581),"No weekly","SPY"))</x:f>
        <x:v>Weekly</x:v>
      </x:c>
      <x:c r="R581" s="41" t="n">
        <x:f>IFERROR(L581-P581,"")</x:f>
        <x:v>0.2717117922151608</x:v>
      </x:c>
      <x:c r="S581" s="41" t="n">
        <x:f>IFERROR(H581-P581,"")</x:f>
        <x:v>0.24542035085824282</x:v>
      </x:c>
      <x:c r="T581" s="41" t="n">
        <x:f>IFERROR(I581-M581,"")</x:f>
        <x:v>5.347373</x:v>
      </x:c>
      <x:c r="U581" s="41" t="n">
        <x:f>IFERROR(E581-M581,"")</x:f>
        <x:v>5.392112</x:v>
      </x:c>
      <x:c r="V581" s="41" t="str">
        <x:f>IF(AND(I581&gt;M581,J581&gt;N581),"Sí","No")</x:f>
        <x:v>Sí</x:v>
      </x:c>
      <x:c r="W581" s="41" t="str">
        <x:f>IF(AND(E581&gt;M581,F581&gt;N581),"Sí","No")</x:f>
        <x:v>Sí</x:v>
      </x:c>
      <x:c r="X581" s="41" t="str">
        <x:f>IF(L581&gt;=H581,"Weekly","No weekly")</x:f>
        <x:v>Weekly</x:v>
      </x:c>
      <x:c r="Y581" s="41" t="n">
        <x:f>IFERROR(I581-E581,"")</x:f>
        <x:v>-0.04473899999999986</x:v>
      </x:c>
      <x:c r="Z581" s="41" t="n">
        <x:f>IFERROR(J581-F581,"")</x:f>
        <x:v>2.348580000000002</x:v>
      </x:c>
      <x:c r="AA581" s="41" t="n">
        <x:v>12127</x:v>
      </x:c>
      <x:c r="AB581" s="41" t="n">
        <x:v>5852</x:v>
      </x:c>
    </x:row>
    <x:row r="582">
      <x:c r="A582" s="41" t="str">
        <x:v>HYP_REFINE_AUTO002_TOPN_6_V1_DDGRID_LONG_R11_C23_E72_CR40_REDD_RECOVERED_DD8_SL22</x:v>
      </x:c>
      <x:c r="B582" s="41" t="str">
        <x:v>dd_guard_grid</x:v>
      </x:c>
      <x:c r="C582" s="41" t="str">
        <x:v>1999-01-04</x:v>
      </x:c>
      <x:c r="D582" s="41" t="str">
        <x:v>2026-05-22</x:v>
      </x:c>
      <x:c r="E582" s="41" t="n">
        <x:v>11.827938</x:v>
      </x:c>
      <x:c r="F582" s="41" t="n">
        <x:v>-33.796834</x:v>
      </x:c>
      <x:c r="G582" s="41" t="n">
        <x:v>2034.200387</x:v>
      </x:c>
      <x:c r="H582" s="41" t="n">
        <x:f>IFERROR(E582/ABS(F582),"")</x:f>
        <x:v>0.34997177546275493</x:v>
      </x:c>
      <x:c r="I582" s="41" t="n">
        <x:v>12.348787</x:v>
      </x:c>
      <x:c r="J582" s="41" t="n">
        <x:v>-27.832392</x:v>
      </x:c>
      <x:c r="K582" s="41" t="n">
        <x:v>2323.745698</x:v>
      </x:c>
      <x:c r="L582" s="41" t="n">
        <x:f>IFERROR(I582/ABS(J582),"")</x:f>
        <x:v>0.44368399956424875</x:v>
      </x:c>
      <x:c r="M582" s="41" t="n">
        <x:v>6.802475</x:v>
      </x:c>
      <x:c r="N582" s="41" t="n">
        <x:v>-56.473669</x:v>
      </x:c>
      <x:c r="O582" s="41" t="n">
        <x:v>506.057416</x:v>
      </x:c>
      <x:c r="P582" s="41" t="n">
        <x:f>IFERROR(M582/ABS(N582),"")</x:f>
        <x:v>0.12045392340278087</x:v>
      </x:c>
      <x:c r="Q582" s="41" t="str">
        <x:f>IF(L582&gt;=MAX(H582,P582),"Weekly",IF(H582&gt;=MAX(L582,P582),"No weekly","SPY"))</x:f>
        <x:v>Weekly</x:v>
      </x:c>
      <x:c r="R582" s="41" t="n">
        <x:f>IFERROR(L582-P582,"")</x:f>
        <x:v>0.32323007616146787</x:v>
      </x:c>
      <x:c r="S582" s="41" t="n">
        <x:f>IFERROR(H582-P582,"")</x:f>
        <x:v>0.22951785205997405</x:v>
      </x:c>
      <x:c r="T582" s="41" t="n">
        <x:f>IFERROR(I582-M582,"")</x:f>
        <x:v>5.5463119999999995</x:v>
      </x:c>
      <x:c r="U582" s="41" t="n">
        <x:f>IFERROR(E582-M582,"")</x:f>
        <x:v>5.025462999999999</x:v>
      </x:c>
      <x:c r="V582" s="41" t="str">
        <x:f>IF(AND(I582&gt;M582,J582&gt;N582),"Sí","No")</x:f>
        <x:v>Sí</x:v>
      </x:c>
      <x:c r="W582" s="41" t="str">
        <x:f>IF(AND(E582&gt;M582,F582&gt;N582),"Sí","No")</x:f>
        <x:v>Sí</x:v>
      </x:c>
      <x:c r="X582" s="41" t="str">
        <x:f>IF(L582&gt;=H582,"Weekly","No weekly")</x:f>
        <x:v>Weekly</x:v>
      </x:c>
      <x:c r="Y582" s="41" t="n">
        <x:f>IFERROR(I582-E582,"")</x:f>
        <x:v>0.5208490000000001</x:v>
      </x:c>
      <x:c r="Z582" s="41" t="n">
        <x:f>IFERROR(J582-F582,"")</x:f>
        <x:v>5.964441999999998</x:v>
      </x:c>
      <x:c r="AA582" s="41" t="n">
        <x:v>11828</x:v>
      </x:c>
      <x:c r="AB582" s="41" t="n">
        <x:v>5866</x:v>
      </x:c>
    </x:row>
    <x:row r="583">
      <x:c r="A583" s="41" t="str">
        <x:v>HYP_REFINE_AUTO002_TOPN_6_V1_DDGRID_LONG_R11_C23_E75_CR40_REDD_RECOVERED_DD7_SL18</x:v>
      </x:c>
      <x:c r="B583" s="41" t="str">
        <x:v>dd_guard_grid</x:v>
      </x:c>
      <x:c r="C583" s="41" t="str">
        <x:v>1999-01-04</x:v>
      </x:c>
      <x:c r="D583" s="41" t="str">
        <x:v>2026-05-22</x:v>
      </x:c>
      <x:c r="E583" s="41" t="n">
        <x:v>12.914115</x:v>
      </x:c>
      <x:c r="F583" s="41" t="n">
        <x:v>-33.120684</x:v>
      </x:c>
      <x:c r="G583" s="41" t="n">
        <x:v>2680.788388</x:v>
      </x:c>
      <x:c r="H583" s="41" t="n">
        <x:f>IFERROR(E583/ABS(F583),"")</x:f>
        <x:v>0.38991087865214386</x:v>
      </x:c>
      <x:c r="I583" s="41" t="n">
        <x:v>11.235027</x:v>
      </x:c>
      <x:c r="J583" s="41" t="n">
        <x:v>-30.389067</x:v>
      </x:c>
      <x:c r="K583" s="41" t="n">
        <x:v>1745.121759</x:v>
      </x:c>
      <x:c r="L583" s="41" t="n">
        <x:f>IFERROR(I583/ABS(J583),"")</x:f>
        <x:v>0.3697062170418065</x:v>
      </x:c>
      <x:c r="M583" s="41" t="n">
        <x:v>6.802475</x:v>
      </x:c>
      <x:c r="N583" s="41" t="n">
        <x:v>-56.473669</x:v>
      </x:c>
      <x:c r="O583" s="41" t="n">
        <x:v>506.057416</x:v>
      </x:c>
      <x:c r="P583" s="41" t="n">
        <x:f>IFERROR(M583/ABS(N583),"")</x:f>
        <x:v>0.12045392340278087</x:v>
      </x:c>
      <x:c r="Q583" s="41" t="str">
        <x:f>IF(L583&gt;=MAX(H583,P583),"Weekly",IF(H583&gt;=MAX(L583,P583),"No weekly","SPY"))</x:f>
        <x:v>No weekly</x:v>
      </x:c>
      <x:c r="R583" s="41" t="n">
        <x:f>IFERROR(L583-P583,"")</x:f>
        <x:v>0.24925229363902562</x:v>
      </x:c>
      <x:c r="S583" s="41" t="n">
        <x:f>IFERROR(H583-P583,"")</x:f>
        <x:v>0.269456955249363</x:v>
      </x:c>
      <x:c r="T583" s="41" t="n">
        <x:f>IFERROR(I583-M583,"")</x:f>
        <x:v>4.432552</x:v>
      </x:c>
      <x:c r="U583" s="41" t="n">
        <x:f>IFERROR(E583-M583,"")</x:f>
        <x:v>6.11164</x:v>
      </x:c>
      <x:c r="V583" s="41" t="str">
        <x:f>IF(AND(I583&gt;M583,J583&gt;N583),"Sí","No")</x:f>
        <x:v>Sí</x:v>
      </x:c>
      <x:c r="W583" s="41" t="str">
        <x:f>IF(AND(E583&gt;M583,F583&gt;N583),"Sí","No")</x:f>
        <x:v>Sí</x:v>
      </x:c>
      <x:c r="X583" s="41" t="str">
        <x:f>IF(L583&gt;=H583,"Weekly","No weekly")</x:f>
        <x:v>No weekly</x:v>
      </x:c>
      <x:c r="Y583" s="41" t="n">
        <x:f>IFERROR(I583-E583,"")</x:f>
        <x:v>-1.6790880000000001</x:v>
      </x:c>
      <x:c r="Z583" s="41" t="n">
        <x:f>IFERROR(J583-F583,"")</x:f>
        <x:v>2.7316169999999964</x:v>
      </x:c>
      <x:c r="AA583" s="41" t="n">
        <x:v>12447</x:v>
      </x:c>
      <x:c r="AB583" s="41" t="n">
        <x:v>5316</x:v>
      </x:c>
    </x:row>
    <x:row r="584">
      <x:c r="A584" s="41" t="str">
        <x:v>HYP_REFINE_AUTO002_TOPN_6_V1_DDGRID_LONG_R11_C23_E75_CR40_REDD_RECOVERED_DD7_SL22</x:v>
      </x:c>
      <x:c r="B584" s="41" t="str">
        <x:v>dd_guard_grid</x:v>
      </x:c>
      <x:c r="C584" s="41" t="str">
        <x:v>1999-01-04</x:v>
      </x:c>
      <x:c r="D584" s="41" t="str">
        <x:v>2026-05-22</x:v>
      </x:c>
      <x:c r="E584" s="41" t="n">
        <x:v>12.421077</x:v>
      </x:c>
      <x:c r="F584" s="41" t="n">
        <x:v>-34.327584</x:v>
      </x:c>
      <x:c r="G584" s="41" t="n">
        <x:v>2366.807733</x:v>
      </x:c>
      <x:c r="H584" s="41" t="n">
        <x:f>IFERROR(E584/ABS(F584),"")</x:f>
        <x:v>0.3618395340610047</x:v>
      </x:c>
      <x:c r="I584" s="41" t="n">
        <x:v>12.544031</x:v>
      </x:c>
      <x:c r="J584" s="41" t="n">
        <x:v>-29.887188</x:v>
      </x:c>
      <x:c r="K584" s="41" t="n">
        <x:v>2441.748436</x:v>
      </x:c>
      <x:c r="L584" s="41" t="n">
        <x:f>IFERROR(I584/ABS(J584),"")</x:f>
        <x:v>0.4197126541312619</x:v>
      </x:c>
      <x:c r="M584" s="41" t="n">
        <x:v>6.802475</x:v>
      </x:c>
      <x:c r="N584" s="41" t="n">
        <x:v>-56.473669</x:v>
      </x:c>
      <x:c r="O584" s="41" t="n">
        <x:v>506.057416</x:v>
      </x:c>
      <x:c r="P584" s="41" t="n">
        <x:f>IFERROR(M584/ABS(N584),"")</x:f>
        <x:v>0.12045392340278087</x:v>
      </x:c>
      <x:c r="Q584" s="41" t="str">
        <x:f>IF(L584&gt;=MAX(H584,P584),"Weekly",IF(H584&gt;=MAX(L584,P584),"No weekly","SPY"))</x:f>
        <x:v>Weekly</x:v>
      </x:c>
      <x:c r="R584" s="41" t="n">
        <x:f>IFERROR(L584-P584,"")</x:f>
        <x:v>0.299258730728481</x:v>
      </x:c>
      <x:c r="S584" s="41" t="n">
        <x:f>IFERROR(H584-P584,"")</x:f>
        <x:v>0.24138561065822384</x:v>
      </x:c>
      <x:c r="T584" s="41" t="n">
        <x:f>IFERROR(I584-M584,"")</x:f>
        <x:v>5.741556</x:v>
      </x:c>
      <x:c r="U584" s="41" t="n">
        <x:f>IFERROR(E584-M584,"")</x:f>
        <x:v>5.618602</x:v>
      </x:c>
      <x:c r="V584" s="41" t="str">
        <x:f>IF(AND(I584&gt;M584,J584&gt;N584),"Sí","No")</x:f>
        <x:v>Sí</x:v>
      </x:c>
      <x:c r="W584" s="41" t="str">
        <x:f>IF(AND(E584&gt;M584,F584&gt;N584),"Sí","No")</x:f>
        <x:v>Sí</x:v>
      </x:c>
      <x:c r="X584" s="41" t="str">
        <x:f>IF(L584&gt;=H584,"Weekly","No weekly")</x:f>
        <x:v>Weekly</x:v>
      </x:c>
      <x:c r="Y584" s="41" t="n">
        <x:f>IFERROR(I584-E584,"")</x:f>
        <x:v>0.12295400000000001</x:v>
      </x:c>
      <x:c r="Z584" s="41" t="n">
        <x:f>IFERROR(J584-F584,"")</x:f>
        <x:v>4.440396000000003</x:v>
      </x:c>
      <x:c r="AA584" s="41" t="n">
        <x:v>11981</x:v>
      </x:c>
      <x:c r="AB584" s="41" t="n">
        <x:v>5841</x:v>
      </x:c>
    </x:row>
    <x:row r="585">
      <x:c r="A585" s="41" t="str">
        <x:v>HYP_REFINE_AUTO002_TOPN_6_V1_DDGRID_LONG_R11_C23_E75_CR40_REDD_RECOVERED_DD8_SL18</x:v>
      </x:c>
      <x:c r="B585" s="41" t="str">
        <x:v>dd_guard_grid</x:v>
      </x:c>
      <x:c r="C585" s="41" t="str">
        <x:v>1999-01-04</x:v>
      </x:c>
      <x:c r="D585" s="41" t="str">
        <x:v>2026-05-22</x:v>
      </x:c>
      <x:c r="E585" s="41" t="n">
        <x:v>12.355035</x:v>
      </x:c>
      <x:c r="F585" s="41" t="n">
        <x:v>-33.120684</x:v>
      </x:c>
      <x:c r="G585" s="41" t="n">
        <x:v>2327.438342</x:v>
      </x:c>
      <x:c r="H585" s="41" t="n">
        <x:f>IFERROR(E585/ABS(F585),"")</x:f>
        <x:v>0.3730307924800104</x:v>
      </x:c>
      <x:c r="I585" s="41" t="n">
        <x:v>11.589961</x:v>
      </x:c>
      <x:c r="J585" s="41" t="n">
        <x:v>-30.389067</x:v>
      </x:c>
      <x:c r="K585" s="41" t="n">
        <x:v>1913.283125</x:v>
      </x:c>
      <x:c r="L585" s="41" t="n">
        <x:f>IFERROR(I585/ABS(J585),"")</x:f>
        <x:v>0.38138587801988133</x:v>
      </x:c>
      <x:c r="M585" s="41" t="n">
        <x:v>6.802475</x:v>
      </x:c>
      <x:c r="N585" s="41" t="n">
        <x:v>-56.473669</x:v>
      </x:c>
      <x:c r="O585" s="41" t="n">
        <x:v>506.057416</x:v>
      </x:c>
      <x:c r="P585" s="41" t="n">
        <x:f>IFERROR(M585/ABS(N585),"")</x:f>
        <x:v>0.12045392340278087</x:v>
      </x:c>
      <x:c r="Q585" s="41" t="str">
        <x:f>IF(L585&gt;=MAX(H585,P585),"Weekly",IF(H585&gt;=MAX(L585,P585),"No weekly","SPY"))</x:f>
        <x:v>Weekly</x:v>
      </x:c>
      <x:c r="R585" s="41" t="n">
        <x:f>IFERROR(L585-P585,"")</x:f>
        <x:v>0.26093195461710045</x:v>
      </x:c>
      <x:c r="S585" s="41" t="n">
        <x:f>IFERROR(H585-P585,"")</x:f>
        <x:v>0.25257686907722954</x:v>
      </x:c>
      <x:c r="T585" s="41" t="n">
        <x:f>IFERROR(I585-M585,"")</x:f>
        <x:v>4.787486</x:v>
      </x:c>
      <x:c r="U585" s="41" t="n">
        <x:f>IFERROR(E585-M585,"")</x:f>
        <x:v>5.552560000000001</x:v>
      </x:c>
      <x:c r="V585" s="41" t="str">
        <x:f>IF(AND(I585&gt;M585,J585&gt;N585),"Sí","No")</x:f>
        <x:v>Sí</x:v>
      </x:c>
      <x:c r="W585" s="41" t="str">
        <x:f>IF(AND(E585&gt;M585,F585&gt;N585),"Sí","No")</x:f>
        <x:v>Sí</x:v>
      </x:c>
      <x:c r="X585" s="41" t="str">
        <x:f>IF(L585&gt;=H585,"Weekly","No weekly")</x:f>
        <x:v>Weekly</x:v>
      </x:c>
      <x:c r="Y585" s="41" t="n">
        <x:f>IFERROR(I585-E585,"")</x:f>
        <x:v>-0.7650740000000003</x:v>
      </x:c>
      <x:c r="Z585" s="41" t="n">
        <x:f>IFERROR(J585-F585,"")</x:f>
        <x:v>2.7316169999999964</x:v>
      </x:c>
      <x:c r="AA585" s="41" t="n">
        <x:v>12239</x:v>
      </x:c>
      <x:c r="AB585" s="41" t="n">
        <x:v>5536</x:v>
      </x:c>
    </x:row>
    <x:row r="586">
      <x:c r="A586" s="41" t="str">
        <x:v>HYP_REFINE_AUTO002_TOPN_6_V1_DDGRID_LONG_R11_C23_E75_CR40_REDD_RECOVERED_DD8_SL20</x:v>
      </x:c>
      <x:c r="B586" s="41" t="str">
        <x:v>dd_guard_grid</x:v>
      </x:c>
      <x:c r="C586" s="41" t="str">
        <x:v>1999-01-04</x:v>
      </x:c>
      <x:c r="D586" s="41" t="str">
        <x:v>2026-05-22</x:v>
      </x:c>
      <x:c r="E586" s="41" t="n">
        <x:v>12.492819</x:v>
      </x:c>
      <x:c r="F586" s="41" t="n">
        <x:v>-33.768143</x:v>
      </x:c>
      <x:c r="G586" s="41" t="n">
        <x:v>2410.271799</x:v>
      </x:c>
      <x:c r="H586" s="41" t="n">
        <x:f>IFERROR(E586/ABS(F586),"")</x:f>
        <x:v>0.3699587211532479</x:v>
      </x:c>
      <x:c r="I586" s="41" t="n">
        <x:v>12.786843</x:v>
      </x:c>
      <x:c r="J586" s="41" t="n">
        <x:v>-29.753749</x:v>
      </x:c>
      <x:c r="K586" s="41" t="n">
        <x:v>2596.237223</x:v>
      </x:c>
      <x:c r="L586" s="41" t="n">
        <x:f>IFERROR(I586/ABS(J586),"")</x:f>
        <x:v>0.4297556922994813</x:v>
      </x:c>
      <x:c r="M586" s="41" t="n">
        <x:v>6.802475</x:v>
      </x:c>
      <x:c r="N586" s="41" t="n">
        <x:v>-56.473669</x:v>
      </x:c>
      <x:c r="O586" s="41" t="n">
        <x:v>506.057416</x:v>
      </x:c>
      <x:c r="P586" s="41" t="n">
        <x:f>IFERROR(M586/ABS(N586),"")</x:f>
        <x:v>0.12045392340278087</x:v>
      </x:c>
      <x:c r="Q586" s="41" t="str">
        <x:f>IF(L586&gt;=MAX(H586,P586),"Weekly",IF(H586&gt;=MAX(L586,P586),"No weekly","SPY"))</x:f>
        <x:v>Weekly</x:v>
      </x:c>
      <x:c r="R586" s="41" t="n">
        <x:f>IFERROR(L586-P586,"")</x:f>
        <x:v>0.3093017688967004</x:v>
      </x:c>
      <x:c r="S586" s="41" t="n">
        <x:f>IFERROR(H586-P586,"")</x:f>
        <x:v>0.24950479775046702</x:v>
      </x:c>
      <x:c r="T586" s="41" t="n">
        <x:f>IFERROR(I586-M586,"")</x:f>
        <x:v>5.984367999999999</x:v>
      </x:c>
      <x:c r="U586" s="41" t="n">
        <x:f>IFERROR(E586-M586,"")</x:f>
        <x:v>5.6903440000000005</x:v>
      </x:c>
      <x:c r="V586" s="41" t="str">
        <x:f>IF(AND(I586&gt;M586,J586&gt;N586),"Sí","No")</x:f>
        <x:v>Sí</x:v>
      </x:c>
      <x:c r="W586" s="41" t="str">
        <x:f>IF(AND(E586&gt;M586,F586&gt;N586),"Sí","No")</x:f>
        <x:v>Sí</x:v>
      </x:c>
      <x:c r="X586" s="41" t="str">
        <x:f>IF(L586&gt;=H586,"Weekly","No weekly")</x:f>
        <x:v>Weekly</x:v>
      </x:c>
      <x:c r="Y586" s="41" t="n">
        <x:f>IFERROR(I586-E586,"")</x:f>
        <x:v>0.2940239999999985</x:v>
      </x:c>
      <x:c r="Z586" s="41" t="n">
        <x:f>IFERROR(J586-F586,"")</x:f>
        <x:v>4.014394000000003</x:v>
      </x:c>
      <x:c r="AA586" s="41" t="n">
        <x:v>11741</x:v>
      </x:c>
      <x:c r="AB586" s="41" t="n">
        <x:v>5796</x:v>
      </x:c>
    </x:row>
    <x:row r="587">
      <x:c r="A587" s="41" t="str">
        <x:v>HYP_REFINE_AUTO002_TOPN_6_V1_DDGRID_LONG_R11_C23_E75_CR40_REDD_RECOVERED_DD8_SL22</x:v>
      </x:c>
      <x:c r="B587" s="41" t="str">
        <x:v>dd_guard_grid</x:v>
      </x:c>
      <x:c r="C587" s="41" t="str">
        <x:v>1999-01-04</x:v>
      </x:c>
      <x:c r="D587" s="41" t="str">
        <x:v>2026-05-22</x:v>
      </x:c>
      <x:c r="E587" s="41" t="n">
        <x:v>12.512003</x:v>
      </x:c>
      <x:c r="F587" s="41" t="n">
        <x:v>-34.327584</x:v>
      </x:c>
      <x:c r="G587" s="41" t="n">
        <x:v>2422.01882</x:v>
      </x:c>
      <x:c r="H587" s="41" t="n">
        <x:f>IFERROR(E587/ABS(F587),"")</x:f>
        <x:v>0.36448830771195545</x:v>
      </x:c>
      <x:c r="I587" s="41" t="n">
        <x:v>12.735067</x:v>
      </x:c>
      <x:c r="J587" s="41" t="n">
        <x:v>-29.887188</x:v>
      </x:c>
      <x:c r="K587" s="41" t="n">
        <x:v>2562.554346</x:v>
      </x:c>
      <x:c r="L587" s="41" t="n">
        <x:f>IFERROR(I587/ABS(J587),"")</x:f>
        <x:v>0.4261045569091345</x:v>
      </x:c>
      <x:c r="M587" s="41" t="n">
        <x:v>6.802475</x:v>
      </x:c>
      <x:c r="N587" s="41" t="n">
        <x:v>-56.473669</x:v>
      </x:c>
      <x:c r="O587" s="41" t="n">
        <x:v>506.057416</x:v>
      </x:c>
      <x:c r="P587" s="41" t="n">
        <x:f>IFERROR(M587/ABS(N587),"")</x:f>
        <x:v>0.12045392340278087</x:v>
      </x:c>
      <x:c r="Q587" s="41" t="str">
        <x:f>IF(L587&gt;=MAX(H587,P587),"Weekly",IF(H587&gt;=MAX(L587,P587),"No weekly","SPY"))</x:f>
        <x:v>Weekly</x:v>
      </x:c>
      <x:c r="R587" s="41" t="n">
        <x:f>IFERROR(L587-P587,"")</x:f>
        <x:v>0.30565063350635363</x:v>
      </x:c>
      <x:c r="S587" s="41" t="n">
        <x:f>IFERROR(H587-P587,"")</x:f>
        <x:v>0.24403438430917457</x:v>
      </x:c>
      <x:c r="T587" s="41" t="n">
        <x:f>IFERROR(I587-M587,"")</x:f>
        <x:v>5.9325920000000005</x:v>
      </x:c>
      <x:c r="U587" s="41" t="n">
        <x:f>IFERROR(E587-M587,"")</x:f>
        <x:v>5.709528</x:v>
      </x:c>
      <x:c r="V587" s="41" t="str">
        <x:f>IF(AND(I587&gt;M587,J587&gt;N587),"Sí","No")</x:f>
        <x:v>Sí</x:v>
      </x:c>
      <x:c r="W587" s="41" t="str">
        <x:f>IF(AND(E587&gt;M587,F587&gt;N587),"Sí","No")</x:f>
        <x:v>Sí</x:v>
      </x:c>
      <x:c r="X587" s="41" t="str">
        <x:f>IF(L587&gt;=H587,"Weekly","No weekly")</x:f>
        <x:v>Weekly</x:v>
      </x:c>
      <x:c r="Y587" s="41" t="n">
        <x:f>IFERROR(I587-E587,"")</x:f>
        <x:v>0.22306400000000082</x:v>
      </x:c>
      <x:c r="Z587" s="41" t="n">
        <x:f>IFERROR(J587-F587,"")</x:f>
        <x:v>4.440396000000003</x:v>
      </x:c>
      <x:c r="AA587" s="41" t="n">
        <x:v>11821</x:v>
      </x:c>
      <x:c r="AB587" s="41" t="n">
        <x:v>5733</x:v>
      </x:c>
    </x:row>
    <x:row r="588">
      <x:c r="A588" s="41" t="str">
        <x:v>HYP_REFINE_AUTO002_TOPN_6_V1_DDGRID_LONG_R11_C23_E75_CR40_REDD_RECOVERED_DD8_SL24</x:v>
      </x:c>
      <x:c r="B588" s="41" t="str">
        <x:v>dd_guard_grid</x:v>
      </x:c>
      <x:c r="C588" s="41" t="str">
        <x:v>1999-01-04</x:v>
      </x:c>
      <x:c r="D588" s="41" t="str">
        <x:v>2026-05-22</x:v>
      </x:c>
      <x:c r="E588" s="41" t="n">
        <x:v>12.094268</x:v>
      </x:c>
      <x:c r="F588" s="41" t="n">
        <x:v>-34.139571</x:v>
      </x:c>
      <x:c r="G588" s="41" t="n">
        <x:v>2177.821042</x:v>
      </x:c>
      <x:c r="H588" s="41" t="n">
        <x:f>IFERROR(E588/ABS(F588),"")</x:f>
        <x:v>0.35425951896114927</x:v>
      </x:c>
      <x:c r="I588" s="41" t="n">
        <x:v>13.158346</x:v>
      </x:c>
      <x:c r="J588" s="41" t="n">
        <x:v>-30.385878</x:v>
      </x:c>
      <x:c r="K588" s="41" t="n">
        <x:v>2850.249663</x:v>
      </x:c>
      <x:c r="L588" s="41" t="n">
        <x:f>IFERROR(I588/ABS(J588),"")</x:f>
        <x:v>0.43304149381498863</x:v>
      </x:c>
      <x:c r="M588" s="41" t="n">
        <x:v>6.802475</x:v>
      </x:c>
      <x:c r="N588" s="41" t="n">
        <x:v>-56.473669</x:v>
      </x:c>
      <x:c r="O588" s="41" t="n">
        <x:v>506.057416</x:v>
      </x:c>
      <x:c r="P588" s="41" t="n">
        <x:f>IFERROR(M588/ABS(N588),"")</x:f>
        <x:v>0.12045392340278087</x:v>
      </x:c>
      <x:c r="Q588" s="41" t="str">
        <x:f>IF(L588&gt;=MAX(H588,P588),"Weekly",IF(H588&gt;=MAX(L588,P588),"No weekly","SPY"))</x:f>
        <x:v>Weekly</x:v>
      </x:c>
      <x:c r="R588" s="41" t="n">
        <x:f>IFERROR(L588-P588,"")</x:f>
        <x:v>0.31258757041220775</x:v>
      </x:c>
      <x:c r="S588" s="41" t="n">
        <x:f>IFERROR(H588-P588,"")</x:f>
        <x:v>0.23380559555836838</x:v>
      </x:c>
      <x:c r="T588" s="41" t="n">
        <x:f>IFERROR(I588-M588,"")</x:f>
        <x:v>6.355871</x:v>
      </x:c>
      <x:c r="U588" s="41" t="n">
        <x:f>IFERROR(E588-M588,"")</x:f>
        <x:v>5.291792999999999</x:v>
      </x:c>
      <x:c r="V588" s="41" t="str">
        <x:f>IF(AND(I588&gt;M588,J588&gt;N588),"Sí","No")</x:f>
        <x:v>Sí</x:v>
      </x:c>
      <x:c r="W588" s="41" t="str">
        <x:f>IF(AND(E588&gt;M588,F588&gt;N588),"Sí","No")</x:f>
        <x:v>Sí</x:v>
      </x:c>
      <x:c r="X588" s="41" t="str">
        <x:f>IF(L588&gt;=H588,"Weekly","No weekly")</x:f>
        <x:v>Weekly</x:v>
      </x:c>
      <x:c r="Y588" s="41" t="n">
        <x:f>IFERROR(I588-E588,"")</x:f>
        <x:v>1.0640780000000003</x:v>
      </x:c>
      <x:c r="Z588" s="41" t="n">
        <x:f>IFERROR(J588-F588,"")</x:f>
        <x:v>3.753692999999995</x:v>
      </x:c>
      <x:c r="AA588" s="41" t="n">
        <x:v>12170</x:v>
      </x:c>
      <x:c r="AB588" s="41" t="n">
        <x:v>5993</x:v>
      </x:c>
    </x:row>
    <x:row r="589">
      <x:c r="A589" s="41" t="str">
        <x:v>HYP_REFINE_AUTO002_TOPN_6_V1_DDGRID_LONG_R11_C23_E75_CR40_REDD_RECOVERED_DD8_SLNONE</x:v>
      </x:c>
      <x:c r="B589" s="41" t="str">
        <x:v>dd_guard_grid</x:v>
      </x:c>
      <x:c r="C589" s="41" t="str">
        <x:v>1999-01-04</x:v>
      </x:c>
      <x:c r="D589" s="41" t="str">
        <x:v>2026-05-22</x:v>
      </x:c>
      <x:c r="E589" s="41" t="n">
        <x:v>12.420201</x:v>
      </x:c>
      <x:c r="F589" s="41" t="n">
        <x:v>-34.428645</x:v>
      </x:c>
      <x:c r="G589" s="41" t="n">
        <x:v>2366.28118</x:v>
      </x:c>
      <x:c r="H589" s="41" t="n">
        <x:f>IFERROR(E589/ABS(F589),"")</x:f>
        <x:v>0.3607519552395977</x:v>
      </x:c>
      <x:c r="I589" s="41" t="n">
        <x:v>13.203572</x:v>
      </x:c>
      <x:c r="J589" s="41" t="n">
        <x:v>-30.6492</x:v>
      </x:c>
      <x:c r="K589" s="41" t="n">
        <x:v>2882.702668</x:v>
      </x:c>
      <x:c r="L589" s="41" t="n">
        <x:f>IFERROR(I589/ABS(J589),"")</x:f>
        <x:v>0.43079662764444093</x:v>
      </x:c>
      <x:c r="M589" s="41" t="n">
        <x:v>6.802475</x:v>
      </x:c>
      <x:c r="N589" s="41" t="n">
        <x:v>-56.473669</x:v>
      </x:c>
      <x:c r="O589" s="41" t="n">
        <x:v>506.057416</x:v>
      </x:c>
      <x:c r="P589" s="41" t="n">
        <x:f>IFERROR(M589/ABS(N589),"")</x:f>
        <x:v>0.12045392340278087</x:v>
      </x:c>
      <x:c r="Q589" s="41" t="str">
        <x:f>IF(L589&gt;=MAX(H589,P589),"Weekly",IF(H589&gt;=MAX(L589,P589),"No weekly","SPY"))</x:f>
        <x:v>Weekly</x:v>
      </x:c>
      <x:c r="R589" s="41" t="n">
        <x:f>IFERROR(L589-P589,"")</x:f>
        <x:v>0.31034270424166005</x:v>
      </x:c>
      <x:c r="S589" s="41" t="n">
        <x:f>IFERROR(H589-P589,"")</x:f>
        <x:v>0.2402980318368168</x:v>
      </x:c>
      <x:c r="T589" s="41" t="n">
        <x:f>IFERROR(I589-M589,"")</x:f>
        <x:v>6.401096999999999</x:v>
      </x:c>
      <x:c r="U589" s="41" t="n">
        <x:f>IFERROR(E589-M589,"")</x:f>
        <x:v>5.617726</x:v>
      </x:c>
      <x:c r="V589" s="41" t="str">
        <x:f>IF(AND(I589&gt;M589,J589&gt;N589),"Sí","No")</x:f>
        <x:v>Sí</x:v>
      </x:c>
      <x:c r="W589" s="41" t="str">
        <x:f>IF(AND(E589&gt;M589,F589&gt;N589),"Sí","No")</x:f>
        <x:v>Sí</x:v>
      </x:c>
      <x:c r="X589" s="41" t="str">
        <x:f>IF(L589&gt;=H589,"Weekly","No weekly")</x:f>
        <x:v>Weekly</x:v>
      </x:c>
      <x:c r="Y589" s="41" t="n">
        <x:f>IFERROR(I589-E589,"")</x:f>
        <x:v>0.7833709999999989</x:v>
      </x:c>
      <x:c r="Z589" s="41" t="n">
        <x:f>IFERROR(J589-F589,"")</x:f>
        <x:v>3.7794450000000026</x:v>
      </x:c>
      <x:c r="AA589" s="41" t="n">
        <x:v>12268</x:v>
      </x:c>
      <x:c r="AB589" s="41" t="n">
        <x:v>6364</x:v>
      </x:c>
    </x:row>
    <x:row r="590">
      <x:c r="A590" s="41" t="str">
        <x:v>HYP_REFINE_AUTO002_TOPN_6_V1_DDGRID_LONG_R11_C23_E75_CR40_REDD_RECOVERED_DD9_SL22</x:v>
      </x:c>
      <x:c r="B590" s="41" t="str">
        <x:v>dd_guard_grid</x:v>
      </x:c>
      <x:c r="C590" s="41" t="str">
        <x:v>1999-01-04</x:v>
      </x:c>
      <x:c r="D590" s="41" t="str">
        <x:v>2026-05-22</x:v>
      </x:c>
      <x:c r="E590" s="41" t="n">
        <x:v>12.488244</x:v>
      </x:c>
      <x:c r="F590" s="41" t="n">
        <x:v>-34.327584</x:v>
      </x:c>
      <x:c r="G590" s="41" t="n">
        <x:v>2407.478407</x:v>
      </x:c>
      <x:c r="H590" s="41" t="n">
        <x:f>IFERROR(E590/ABS(F590),"")</x:f>
        <x:v>0.3637961821024165</x:v>
      </x:c>
      <x:c r="I590" s="41" t="n">
        <x:v>12.871834</x:v>
      </x:c>
      <x:c r="J590" s="41" t="n">
        <x:v>-28.108438</x:v>
      </x:c>
      <x:c r="K590" s="41" t="n">
        <x:v>2652.420521</x:v>
      </x:c>
      <x:c r="L590" s="41" t="n">
        <x:f>IFERROR(I590/ABS(J590),"")</x:f>
        <x:v>0.4579348735066673</x:v>
      </x:c>
      <x:c r="M590" s="41" t="n">
        <x:v>6.802475</x:v>
      </x:c>
      <x:c r="N590" s="41" t="n">
        <x:v>-56.473669</x:v>
      </x:c>
      <x:c r="O590" s="41" t="n">
        <x:v>506.057416</x:v>
      </x:c>
      <x:c r="P590" s="41" t="n">
        <x:f>IFERROR(M590/ABS(N590),"")</x:f>
        <x:v>0.12045392340278087</x:v>
      </x:c>
      <x:c r="Q590" s="41" t="str">
        <x:f>IF(L590&gt;=MAX(H590,P590),"Weekly",IF(H590&gt;=MAX(L590,P590),"No weekly","SPY"))</x:f>
        <x:v>Weekly</x:v>
      </x:c>
      <x:c r="R590" s="41" t="n">
        <x:f>IFERROR(L590-P590,"")</x:f>
        <x:v>0.3374809501038864</x:v>
      </x:c>
      <x:c r="S590" s="41" t="n">
        <x:f>IFERROR(H590-P590,"")</x:f>
        <x:v>0.2433422586996356</x:v>
      </x:c>
      <x:c r="T590" s="41" t="n">
        <x:f>IFERROR(I590-M590,"")</x:f>
        <x:v>6.0693589999999995</x:v>
      </x:c>
      <x:c r="U590" s="41" t="n">
        <x:f>IFERROR(E590-M590,"")</x:f>
        <x:v>5.685769</x:v>
      </x:c>
      <x:c r="V590" s="41" t="str">
        <x:f>IF(AND(I590&gt;M590,J590&gt;N590),"Sí","No")</x:f>
        <x:v>Sí</x:v>
      </x:c>
      <x:c r="W590" s="41" t="str">
        <x:f>IF(AND(E590&gt;M590,F590&gt;N590),"Sí","No")</x:f>
        <x:v>Sí</x:v>
      </x:c>
      <x:c r="X590" s="41" t="str">
        <x:f>IF(L590&gt;=H590,"Weekly","No weekly")</x:f>
        <x:v>Weekly</x:v>
      </x:c>
      <x:c r="Y590" s="41" t="n">
        <x:f>IFERROR(I590-E590,"")</x:f>
        <x:v>0.3835899999999999</x:v>
      </x:c>
      <x:c r="Z590" s="41" t="n">
        <x:f>IFERROR(J590-F590,"")</x:f>
        <x:v>6.219146000000002</x:v>
      </x:c>
      <x:c r="AA590" s="41" t="n">
        <x:v>11491</x:v>
      </x:c>
      <x:c r="AB590" s="41" t="n">
        <x:v>5538</x:v>
      </x:c>
    </x:row>
    <x:row r="591">
      <x:c r="A591" s="41" t="str">
        <x:v>HYP_REFINE_AUTO002_TOPN_6_V1_DDGRID_LONG_R11_C23_E75_CR42_REDD_RECOVERED_DD8_SL22</x:v>
      </x:c>
      <x:c r="B591" s="41" t="str">
        <x:v>dd_guard_grid</x:v>
      </x:c>
      <x:c r="C591" s="41" t="str">
        <x:v>1999-01-04</x:v>
      </x:c>
      <x:c r="D591" s="41" t="str">
        <x:v>2026-05-22</x:v>
      </x:c>
      <x:c r="E591" s="41" t="n">
        <x:v>12.612237</x:v>
      </x:c>
      <x:c r="F591" s="41" t="n">
        <x:v>-34.588702</x:v>
      </x:c>
      <x:c r="G591" s="41" t="n">
        <x:v>2484.260797</x:v>
      </x:c>
      <x:c r="H591" s="41" t="n">
        <x:f>IFERROR(E591/ABS(F591),"")</x:f>
        <x:v>0.3646345850156505</x:v>
      </x:c>
      <x:c r="I591" s="41" t="n">
        <x:v>12.475673</x:v>
      </x:c>
      <x:c r="J591" s="41" t="n">
        <x:v>-30.641357</x:v>
      </x:c>
      <x:c r="K591" s="41" t="n">
        <x:v>2399.817631</x:v>
      </x:c>
      <x:c r="L591" s="41" t="n">
        <x:f>IFERROR(I591/ABS(J591),"")</x:f>
        <x:v>0.40715145220232907</x:v>
      </x:c>
      <x:c r="M591" s="41" t="n">
        <x:v>6.802475</x:v>
      </x:c>
      <x:c r="N591" s="41" t="n">
        <x:v>-56.473669</x:v>
      </x:c>
      <x:c r="O591" s="41" t="n">
        <x:v>506.057416</x:v>
      </x:c>
      <x:c r="P591" s="41" t="n">
        <x:f>IFERROR(M591/ABS(N591),"")</x:f>
        <x:v>0.12045392340278087</x:v>
      </x:c>
      <x:c r="Q591" s="41" t="str">
        <x:f>IF(L591&gt;=MAX(H591,P591),"Weekly",IF(H591&gt;=MAX(L591,P591),"No weekly","SPY"))</x:f>
        <x:v>Weekly</x:v>
      </x:c>
      <x:c r="R591" s="41" t="n">
        <x:f>IFERROR(L591-P591,"")</x:f>
        <x:v>0.2866975287995482</x:v>
      </x:c>
      <x:c r="S591" s="41" t="n">
        <x:f>IFERROR(H591-P591,"")</x:f>
        <x:v>0.2441806616128696</x:v>
      </x:c>
      <x:c r="T591" s="41" t="n">
        <x:f>IFERROR(I591-M591,"")</x:f>
        <x:v>5.673198</x:v>
      </x:c>
      <x:c r="U591" s="41" t="n">
        <x:f>IFERROR(E591-M591,"")</x:f>
        <x:v>5.809762</x:v>
      </x:c>
      <x:c r="V591" s="41" t="str">
        <x:f>IF(AND(I591&gt;M591,J591&gt;N591),"Sí","No")</x:f>
        <x:v>Sí</x:v>
      </x:c>
      <x:c r="W591" s="41" t="str">
        <x:f>IF(AND(E591&gt;M591,F591&gt;N591),"Sí","No")</x:f>
        <x:v>Sí</x:v>
      </x:c>
      <x:c r="X591" s="41" t="str">
        <x:f>IF(L591&gt;=H591,"Weekly","No weekly")</x:f>
        <x:v>Weekly</x:v>
      </x:c>
      <x:c r="Y591" s="41" t="n">
        <x:f>IFERROR(I591-E591,"")</x:f>
        <x:v>-0.1365639999999999</x:v>
      </x:c>
      <x:c r="Z591" s="41" t="n">
        <x:f>IFERROR(J591-F591,"")</x:f>
        <x:v>3.9473449999999985</x:v>
      </x:c>
      <x:c r="AA591" s="41" t="n">
        <x:v>12131</x:v>
      </x:c>
      <x:c r="AB591" s="41" t="n">
        <x:v>5702</x:v>
      </x:c>
    </x:row>
    <x:row r="592">
      <x:c r="A592" s="41" t="str">
        <x:v>HYP_REFINE_AUTO002_TOPN_6_V1_DDGRID_LONG_R11_C23_E75_CR45_REDD_RECOVERED_DD8_SL20</x:v>
      </x:c>
      <x:c r="B592" s="41" t="str">
        <x:v>dd_guard_grid</x:v>
      </x:c>
      <x:c r="C592" s="41" t="str">
        <x:v>1999-01-04</x:v>
      </x:c>
      <x:c r="D592" s="41" t="str">
        <x:v>2026-05-22</x:v>
      </x:c>
      <x:c r="E592" s="41" t="n">
        <x:v>13.867476</x:v>
      </x:c>
      <x:c r="F592" s="41" t="n">
        <x:v>-34.417137</x:v>
      </x:c>
      <x:c r="G592" s="41" t="n">
        <x:v>3400.575293</x:v>
      </x:c>
      <x:c r="H592" s="41" t="n">
        <x:f>IFERROR(E592/ABS(F592),"")</x:f>
        <x:v>0.40292357844872456</x:v>
      </x:c>
      <x:c r="I592" s="41" t="n">
        <x:v>13.810249</x:v>
      </x:c>
      <x:c r="J592" s="41" t="n">
        <x:v>-30.488944</x:v>
      </x:c>
      <x:c r="K592" s="41" t="n">
        <x:v>3352.726824</x:v>
      </x:c>
      <x:c r="L592" s="41" t="n">
        <x:f>IFERROR(I592/ABS(J592),"")</x:f>
        <x:v>0.45295924319320474</x:v>
      </x:c>
      <x:c r="M592" s="41" t="n">
        <x:v>6.802475</x:v>
      </x:c>
      <x:c r="N592" s="41" t="n">
        <x:v>-56.473669</x:v>
      </x:c>
      <x:c r="O592" s="41" t="n">
        <x:v>506.057416</x:v>
      </x:c>
      <x:c r="P592" s="41" t="n">
        <x:f>IFERROR(M592/ABS(N592),"")</x:f>
        <x:v>0.12045392340278087</x:v>
      </x:c>
      <x:c r="Q592" s="41" t="str">
        <x:f>IF(L592&gt;=MAX(H592,P592),"Weekly",IF(H592&gt;=MAX(L592,P592),"No weekly","SPY"))</x:f>
        <x:v>Weekly</x:v>
      </x:c>
      <x:c r="R592" s="41" t="n">
        <x:f>IFERROR(L592-P592,"")</x:f>
        <x:v>0.33250531979042386</x:v>
      </x:c>
      <x:c r="S592" s="41" t="n">
        <x:f>IFERROR(H592-P592,"")</x:f>
        <x:v>0.2824696550459437</x:v>
      </x:c>
      <x:c r="T592" s="41" t="n">
        <x:f>IFERROR(I592-M592,"")</x:f>
        <x:v>7.007774</x:v>
      </x:c>
      <x:c r="U592" s="41" t="n">
        <x:f>IFERROR(E592-M592,"")</x:f>
        <x:v>7.065001</x:v>
      </x:c>
      <x:c r="V592" s="41" t="str">
        <x:f>IF(AND(I592&gt;M592,J592&gt;N592),"Sí","No")</x:f>
        <x:v>Sí</x:v>
      </x:c>
      <x:c r="W592" s="41" t="str">
        <x:f>IF(AND(E592&gt;M592,F592&gt;N592),"Sí","No")</x:f>
        <x:v>Sí</x:v>
      </x:c>
      <x:c r="X592" s="41" t="str">
        <x:f>IF(L592&gt;=H592,"Weekly","No weekly")</x:f>
        <x:v>Weekly</x:v>
      </x:c>
      <x:c r="Y592" s="41" t="n">
        <x:f>IFERROR(I592-E592,"")</x:f>
        <x:v>-0.05722699999999925</x:v>
      </x:c>
      <x:c r="Z592" s="41" t="n">
        <x:f>IFERROR(J592-F592,"")</x:f>
        <x:v>3.9281929999999967</x:v>
      </x:c>
      <x:c r="AA592" s="41" t="n">
        <x:v>11699</x:v>
      </x:c>
      <x:c r="AB592" s="41" t="n">
        <x:v>5518</x:v>
      </x:c>
    </x:row>
    <x:row r="593">
      <x:c r="A593" s="41" t="str">
        <x:v>HYP_REFINE_AUTO002_TOPN_6_V1_DDGRID_LONG_R11_C23_E78_CR40_REDD_RECOVERED_DD8_SL22</x:v>
      </x:c>
      <x:c r="B593" s="41" t="str">
        <x:v>dd_guard_grid</x:v>
      </x:c>
      <x:c r="C593" s="41" t="str">
        <x:v>1999-01-04</x:v>
      </x:c>
      <x:c r="D593" s="41" t="str">
        <x:v>2026-05-22</x:v>
      </x:c>
      <x:c r="E593" s="41" t="n">
        <x:v>12.743477</x:v>
      </x:c>
      <x:c r="F593" s="41" t="n">
        <x:v>-33.045499</x:v>
      </x:c>
      <x:c r="G593" s="41" t="n">
        <x:v>2567.997717</x:v>
      </x:c>
      <x:c r="H593" s="41" t="n">
        <x:f>IFERROR(E593/ABS(F593),"")</x:f>
        <x:v>0.38563427352088103</x:v>
      </x:c>
      <x:c r="I593" s="41" t="n">
        <x:v>12.281034</x:v>
      </x:c>
      <x:c r="J593" s="41" t="n">
        <x:v>-30.702063</x:v>
      </x:c>
      <x:c r="K593" s="41" t="n">
        <x:v>2284.043803</x:v>
      </x:c>
      <x:c r="L593" s="41" t="n">
        <x:f>IFERROR(I593/ABS(J593),"")</x:f>
        <x:v>0.4000068008459236</x:v>
      </x:c>
      <x:c r="M593" s="41" t="n">
        <x:v>6.802475</x:v>
      </x:c>
      <x:c r="N593" s="41" t="n">
        <x:v>-56.473669</x:v>
      </x:c>
      <x:c r="O593" s="41" t="n">
        <x:v>506.057416</x:v>
      </x:c>
      <x:c r="P593" s="41" t="n">
        <x:f>IFERROR(M593/ABS(N593),"")</x:f>
        <x:v>0.12045392340278087</x:v>
      </x:c>
      <x:c r="Q593" s="41" t="str">
        <x:f>IF(L593&gt;=MAX(H593,P593),"Weekly",IF(H593&gt;=MAX(L593,P593),"No weekly","SPY"))</x:f>
        <x:v>Weekly</x:v>
      </x:c>
      <x:c r="R593" s="41" t="n">
        <x:f>IFERROR(L593-P593,"")</x:f>
        <x:v>0.2795528774431427</x:v>
      </x:c>
      <x:c r="S593" s="41" t="n">
        <x:f>IFERROR(H593-P593,"")</x:f>
        <x:v>0.26518035011810015</x:v>
      </x:c>
      <x:c r="T593" s="41" t="n">
        <x:f>IFERROR(I593-M593,"")</x:f>
        <x:v>5.478559</x:v>
      </x:c>
      <x:c r="U593" s="41" t="n">
        <x:f>IFERROR(E593-M593,"")</x:f>
        <x:v>5.941002</x:v>
      </x:c>
      <x:c r="V593" s="41" t="str">
        <x:f>IF(AND(I593&gt;M593,J593&gt;N593),"Sí","No")</x:f>
        <x:v>Sí</x:v>
      </x:c>
      <x:c r="W593" s="41" t="str">
        <x:f>IF(AND(E593&gt;M593,F593&gt;N593),"Sí","No")</x:f>
        <x:v>Sí</x:v>
      </x:c>
      <x:c r="X593" s="41" t="str">
        <x:f>IF(L593&gt;=H593,"Weekly","No weekly")</x:f>
        <x:v>Weekly</x:v>
      </x:c>
      <x:c r="Y593" s="41" t="n">
        <x:f>IFERROR(I593-E593,"")</x:f>
        <x:v>-0.4624430000000004</x:v>
      </x:c>
      <x:c r="Z593" s="41" t="n">
        <x:f>IFERROR(J593-F593,"")</x:f>
        <x:v>2.3434360000000005</x:v>
      </x:c>
      <x:c r="AA593" s="41" t="n">
        <x:v>12321</x:v>
      </x:c>
      <x:c r="AB593" s="41" t="n">
        <x:v>5812</x:v>
      </x:c>
    </x:row>
    <x:row r="594">
      <x:c r="A594" s="41" t="str">
        <x:v>HYP_REFINE_AUTO002_TOPN_6_V1_DDGRID_LONG_R11_C24_E75_CR40_REDD_RECOVERED_DD8_SL20</x:v>
      </x:c>
      <x:c r="B594" s="41" t="str">
        <x:v>dd_guard_grid</x:v>
      </x:c>
      <x:c r="C594" s="41" t="str">
        <x:v>1999-01-04</x:v>
      </x:c>
      <x:c r="D594" s="41" t="str">
        <x:v>2026-05-22</x:v>
      </x:c>
      <x:c r="E594" s="41" t="n">
        <x:v>13.612573</x:v>
      </x:c>
      <x:c r="F594" s="41" t="n">
        <x:v>-33.937267</x:v>
      </x:c>
      <x:c r="G594" s="41" t="n">
        <x:v>3192.244222</x:v>
      </x:c>
      <x:c r="H594" s="41" t="n">
        <x:f>IFERROR(E594/ABS(F594),"")</x:f>
        <x:v>0.4011098772331903</x:v>
      </x:c>
      <x:c r="I594" s="41" t="n">
        <x:v>12.618623</x:v>
      </x:c>
      <x:c r="J594" s="41" t="n">
        <x:v>-30.976034</x:v>
      </x:c>
      <x:c r="K594" s="41" t="n">
        <x:v>2488.276477</x:v>
      </x:c>
      <x:c r="L594" s="41" t="n">
        <x:f>IFERROR(I594/ABS(J594),"")</x:f>
        <x:v>0.40736728917588355</x:v>
      </x:c>
      <x:c r="M594" s="41" t="n">
        <x:v>6.802475</x:v>
      </x:c>
      <x:c r="N594" s="41" t="n">
        <x:v>-56.473669</x:v>
      </x:c>
      <x:c r="O594" s="41" t="n">
        <x:v>506.057416</x:v>
      </x:c>
      <x:c r="P594" s="41" t="n">
        <x:f>IFERROR(M594/ABS(N594),"")</x:f>
        <x:v>0.12045392340278087</x:v>
      </x:c>
      <x:c r="Q594" s="41" t="str">
        <x:f>IF(L594&gt;=MAX(H594,P594),"Weekly",IF(H594&gt;=MAX(L594,P594),"No weekly","SPY"))</x:f>
        <x:v>Weekly</x:v>
      </x:c>
      <x:c r="R594" s="41" t="n">
        <x:f>IFERROR(L594-P594,"")</x:f>
        <x:v>0.28691336577310267</x:v>
      </x:c>
      <x:c r="S594" s="41" t="n">
        <x:f>IFERROR(H594-P594,"")</x:f>
        <x:v>0.2806559538304094</x:v>
      </x:c>
      <x:c r="T594" s="41" t="n">
        <x:f>IFERROR(I594-M594,"")</x:f>
        <x:v>5.816147999999999</x:v>
      </x:c>
      <x:c r="U594" s="41" t="n">
        <x:f>IFERROR(E594-M594,"")</x:f>
        <x:v>6.810097999999999</x:v>
      </x:c>
      <x:c r="V594" s="41" t="str">
        <x:f>IF(AND(I594&gt;M594,J594&gt;N594),"Sí","No")</x:f>
        <x:v>Sí</x:v>
      </x:c>
      <x:c r="W594" s="41" t="str">
        <x:f>IF(AND(E594&gt;M594,F594&gt;N594),"Sí","No")</x:f>
        <x:v>Sí</x:v>
      </x:c>
      <x:c r="X594" s="41" t="str">
        <x:f>IF(L594&gt;=H594,"Weekly","No weekly")</x:f>
        <x:v>Weekly</x:v>
      </x:c>
      <x:c r="Y594" s="41" t="n">
        <x:f>IFERROR(I594-E594,"")</x:f>
        <x:v>-0.9939499999999999</x:v>
      </x:c>
      <x:c r="Z594" s="41" t="n">
        <x:f>IFERROR(J594-F594,"")</x:f>
        <x:v>2.961233</x:v>
      </x:c>
      <x:c r="AA594" s="41" t="n">
        <x:v>11847</x:v>
      </x:c>
      <x:c r="AB594" s="41" t="n">
        <x:v>5440</x:v>
      </x:c>
    </x:row>
    <x:row r="595">
      <x:c r="A595" s="41" t="str">
        <x:v>HYP_REFINE_AUTO002_TOPN_6_V1_DDGRID_LONG_R11_C24_E75_CR40_REDD_RECOVERED_DD8_SL22</x:v>
      </x:c>
      <x:c r="B595" s="41" t="str">
        <x:v>dd_guard_grid</x:v>
      </x:c>
      <x:c r="C595" s="41" t="str">
        <x:v>1999-01-04</x:v>
      </x:c>
      <x:c r="D595" s="41" t="str">
        <x:v>2026-05-22</x:v>
      </x:c>
      <x:c r="E595" s="41" t="n">
        <x:v>12.604015</x:v>
      </x:c>
      <x:c r="F595" s="41" t="n">
        <x:v>-34.388897</x:v>
      </x:c>
      <x:c r="G595" s="41" t="n">
        <x:v>2479.099979</x:v>
      </x:c>
      <x:c r="H595" s="41" t="n">
        <x:f>IFERROR(E595/ABS(F595),"")</x:f>
        <x:v>0.3665140815653378</x:v>
      </x:c>
      <x:c r="I595" s="41" t="n">
        <x:v>12.442338</x:v>
      </x:c>
      <x:c r="J595" s="41" t="n">
        <x:v>-29.00038</x:v>
      </x:c>
      <x:c r="K595" s="41" t="n">
        <x:v>2379.61212</x:v>
      </x:c>
      <x:c r="L595" s="41" t="n">
        <x:f>IFERROR(I595/ABS(J595),"")</x:f>
        <x:v>0.42904051602082455</x:v>
      </x:c>
      <x:c r="M595" s="41" t="n">
        <x:v>6.802475</x:v>
      </x:c>
      <x:c r="N595" s="41" t="n">
        <x:v>-56.473669</x:v>
      </x:c>
      <x:c r="O595" s="41" t="n">
        <x:v>506.057416</x:v>
      </x:c>
      <x:c r="P595" s="41" t="n">
        <x:f>IFERROR(M595/ABS(N595),"")</x:f>
        <x:v>0.12045392340278087</x:v>
      </x:c>
      <x:c r="Q595" s="41" t="str">
        <x:f>IF(L595&gt;=MAX(H595,P595),"Weekly",IF(H595&gt;=MAX(L595,P595),"No weekly","SPY"))</x:f>
        <x:v>Weekly</x:v>
      </x:c>
      <x:c r="R595" s="41" t="n">
        <x:f>IFERROR(L595-P595,"")</x:f>
        <x:v>0.30858659261804366</x:v>
      </x:c>
      <x:c r="S595" s="41" t="n">
        <x:f>IFERROR(H595-P595,"")</x:f>
        <x:v>0.24606015816255694</x:v>
      </x:c>
      <x:c r="T595" s="41" t="n">
        <x:f>IFERROR(I595-M595,"")</x:f>
        <x:v>5.639862999999999</x:v>
      </x:c>
      <x:c r="U595" s="41" t="n">
        <x:f>IFERROR(E595-M595,"")</x:f>
        <x:v>5.80154</x:v>
      </x:c>
      <x:c r="V595" s="41" t="str">
        <x:f>IF(AND(I595&gt;M595,J595&gt;N595),"Sí","No")</x:f>
        <x:v>Sí</x:v>
      </x:c>
      <x:c r="W595" s="41" t="str">
        <x:f>IF(AND(E595&gt;M595,F595&gt;N595),"Sí","No")</x:f>
        <x:v>Sí</x:v>
      </x:c>
      <x:c r="X595" s="41" t="str">
        <x:f>IF(L595&gt;=H595,"Weekly","No weekly")</x:f>
        <x:v>Weekly</x:v>
      </x:c>
      <x:c r="Y595" s="41" t="n">
        <x:f>IFERROR(I595-E595,"")</x:f>
        <x:v>-0.16167700000000096</x:v>
      </x:c>
      <x:c r="Z595" s="41" t="n">
        <x:f>IFERROR(J595-F595,"")</x:f>
        <x:v>5.388517</x:v>
      </x:c>
      <x:c r="AA595" s="41" t="n">
        <x:v>11774</x:v>
      </x:c>
      <x:c r="AB595" s="41" t="n">
        <x:v>5660</x:v>
      </x:c>
    </x:row>
    <x:row r="596">
      <x:c r="A596" s="41" t="str">
        <x:v>HYP_REFINE_AUTO002_TOPN_6_V1_DDGRID_LONG_R11_C25_E75_CR40_REDD_RECOVERED_DD8_SL20</x:v>
      </x:c>
      <x:c r="B596" s="41" t="str">
        <x:v>dd_guard_grid</x:v>
      </x:c>
      <x:c r="C596" s="41" t="str">
        <x:v>1999-01-04</x:v>
      </x:c>
      <x:c r="D596" s="41" t="str">
        <x:v>2026-05-22</x:v>
      </x:c>
      <x:c r="E596" s="41" t="n">
        <x:v>14.442316</x:v>
      </x:c>
      <x:c r="F596" s="41" t="n">
        <x:v>-34.568769</x:v>
      </x:c>
      <x:c r="G596" s="41" t="n">
        <x:v>3918.044875</x:v>
      </x:c>
      <x:c r="H596" s="41" t="n">
        <x:f>IFERROR(E596/ABS(F596),"")</x:f>
        <x:v>0.4177850822515548</x:v>
      </x:c>
      <x:c r="I596" s="41" t="n">
        <x:v>13.472949</x:v>
      </x:c>
      <x:c r="J596" s="41" t="n">
        <x:v>-32.201421</x:v>
      </x:c>
      <x:c r="K596" s="41" t="n">
        <x:v>3083.247293</x:v>
      </x:c>
      <x:c r="L596" s="41" t="n">
        <x:f>IFERROR(I596/ABS(J596),"")</x:f>
        <x:v>0.4183961012155333</x:v>
      </x:c>
      <x:c r="M596" s="41" t="n">
        <x:v>6.802475</x:v>
      </x:c>
      <x:c r="N596" s="41" t="n">
        <x:v>-56.473669</x:v>
      </x:c>
      <x:c r="O596" s="41" t="n">
        <x:v>506.057416</x:v>
      </x:c>
      <x:c r="P596" s="41" t="n">
        <x:f>IFERROR(M596/ABS(N596),"")</x:f>
        <x:v>0.12045392340278087</x:v>
      </x:c>
      <x:c r="Q596" s="41" t="str">
        <x:f>IF(L596&gt;=MAX(H596,P596),"Weekly",IF(H596&gt;=MAX(L596,P596),"No weekly","SPY"))</x:f>
        <x:v>Weekly</x:v>
      </x:c>
      <x:c r="R596" s="41" t="n">
        <x:f>IFERROR(L596-P596,"")</x:f>
        <x:v>0.2979421778127524</x:v>
      </x:c>
      <x:c r="S596" s="41" t="n">
        <x:f>IFERROR(H596-P596,"")</x:f>
        <x:v>0.2973311588487739</x:v>
      </x:c>
      <x:c r="T596" s="41" t="n">
        <x:f>IFERROR(I596-M596,"")</x:f>
        <x:v>6.670474</x:v>
      </x:c>
      <x:c r="U596" s="41" t="n">
        <x:f>IFERROR(E596-M596,"")</x:f>
        <x:v>7.639841</x:v>
      </x:c>
      <x:c r="V596" s="41" t="str">
        <x:f>IF(AND(I596&gt;M596,J596&gt;N596),"Sí","No")</x:f>
        <x:v>Sí</x:v>
      </x:c>
      <x:c r="W596" s="41" t="str">
        <x:f>IF(AND(E596&gt;M596,F596&gt;N596),"Sí","No")</x:f>
        <x:v>Sí</x:v>
      </x:c>
      <x:c r="X596" s="41" t="str">
        <x:f>IF(L596&gt;=H596,"Weekly","No weekly")</x:f>
        <x:v>Weekly</x:v>
      </x:c>
      <x:c r="Y596" s="41" t="n">
        <x:f>IFERROR(I596-E596,"")</x:f>
        <x:v>-0.9693670000000001</x:v>
      </x:c>
      <x:c r="Z596" s="41" t="n">
        <x:f>IFERROR(J596-F596,"")</x:f>
        <x:v>2.367348</x:v>
      </x:c>
      <x:c r="AA596" s="41" t="n">
        <x:v>12127</x:v>
      </x:c>
      <x:c r="AB596" s="41" t="n">
        <x:v>5208</x:v>
      </x:c>
    </x:row>
    <x:row r="597">
      <x:c r="A597" s="41" t="str">
        <x:v>HYP_REFINE_AUTO002_TOPN_6_V1_DDGRID_LONG_R12_C20_E70_CR40_REDD_RECOVERED_DD8_SL20</x:v>
      </x:c>
      <x:c r="B597" s="41" t="str">
        <x:v>dd_guard_grid</x:v>
      </x:c>
      <x:c r="C597" s="41" t="str">
        <x:v>1999-01-04</x:v>
      </x:c>
      <x:c r="D597" s="41" t="str">
        <x:v>2026-05-22</x:v>
      </x:c>
      <x:c r="E597" s="41" t="n">
        <x:v>12.812394</x:v>
      </x:c>
      <x:c r="F597" s="41" t="n">
        <x:v>-31.191984</x:v>
      </x:c>
      <x:c r="G597" s="41" t="n">
        <x:v>2613.010864</x:v>
      </x:c>
      <x:c r="H597" s="41" t="n">
        <x:f>IFERROR(E597/ABS(F597),"")</x:f>
        <x:v>0.41075918736044487</x:v>
      </x:c>
      <x:c r="I597" s="41" t="n">
        <x:v>12.923109</x:v>
      </x:c>
      <x:c r="J597" s="41" t="n">
        <x:v>-28.097935</x:v>
      </x:c>
      <x:c r="K597" s="41" t="n">
        <x:v>2686.859285</x:v>
      </x:c>
      <x:c r="L597" s="41" t="n">
        <x:f>IFERROR(I597/ABS(J597),"")</x:f>
        <x:v>0.45993091663141794</x:v>
      </x:c>
      <x:c r="M597" s="41" t="n">
        <x:v>6.802475</x:v>
      </x:c>
      <x:c r="N597" s="41" t="n">
        <x:v>-56.473669</x:v>
      </x:c>
      <x:c r="O597" s="41" t="n">
        <x:v>506.057416</x:v>
      </x:c>
      <x:c r="P597" s="41" t="n">
        <x:f>IFERROR(M597/ABS(N597),"")</x:f>
        <x:v>0.12045392340278087</x:v>
      </x:c>
      <x:c r="Q597" s="41" t="str">
        <x:f>IF(L597&gt;=MAX(H597,P597),"Weekly",IF(H597&gt;=MAX(L597,P597),"No weekly","SPY"))</x:f>
        <x:v>Weekly</x:v>
      </x:c>
      <x:c r="R597" s="41" t="n">
        <x:f>IFERROR(L597-P597,"")</x:f>
        <x:v>0.33947699322863706</x:v>
      </x:c>
      <x:c r="S597" s="41" t="n">
        <x:f>IFERROR(H597-P597,"")</x:f>
        <x:v>0.290305263957664</x:v>
      </x:c>
      <x:c r="T597" s="41" t="n">
        <x:f>IFERROR(I597-M597,"")</x:f>
        <x:v>6.120634</x:v>
      </x:c>
      <x:c r="U597" s="41" t="n">
        <x:f>IFERROR(E597-M597,"")</x:f>
        <x:v>6.009918999999999</x:v>
      </x:c>
      <x:c r="V597" s="41" t="str">
        <x:f>IF(AND(I597&gt;M597,J597&gt;N597),"Sí","No")</x:f>
        <x:v>Sí</x:v>
      </x:c>
      <x:c r="W597" s="41" t="str">
        <x:f>IF(AND(E597&gt;M597,F597&gt;N597),"Sí","No")</x:f>
        <x:v>Sí</x:v>
      </x:c>
      <x:c r="X597" s="41" t="str">
        <x:f>IF(L597&gt;=H597,"Weekly","No weekly")</x:f>
        <x:v>Weekly</x:v>
      </x:c>
      <x:c r="Y597" s="41" t="n">
        <x:f>IFERROR(I597-E597,"")</x:f>
        <x:v>0.11071500000000079</x:v>
      </x:c>
      <x:c r="Z597" s="41" t="n">
        <x:f>IFERROR(J597-F597,"")</x:f>
        <x:v>3.094049000000002</x:v>
      </x:c>
      <x:c r="AA597" s="41" t="n">
        <x:v>11618</x:v>
      </x:c>
      <x:c r="AB597" s="41" t="n">
        <x:v>5807</x:v>
      </x:c>
    </x:row>
    <x:row r="598">
      <x:c r="A598" s="41" t="str">
        <x:v>HYP_REFINE_AUTO002_TOPN_6_V1_DDGRID_LONG_R12_C20_E72_CR40_REDD_RECOVERED_DD8_SL20</x:v>
      </x:c>
      <x:c r="B598" s="41" t="str">
        <x:v>dd_guard_grid</x:v>
      </x:c>
      <x:c r="C598" s="41" t="str">
        <x:v>1999-01-04</x:v>
      </x:c>
      <x:c r="D598" s="41" t="str">
        <x:v>2026-05-22</x:v>
      </x:c>
      <x:c r="E598" s="41" t="n">
        <x:v>12.938433</x:v>
      </x:c>
      <x:c r="F598" s="41" t="n">
        <x:v>-31.370151</x:v>
      </x:c>
      <x:c r="G598" s="41" t="n">
        <x:v>2697.231631</x:v>
      </x:c>
      <x:c r="H598" s="41" t="n">
        <x:f>IFERROR(E598/ABS(F598),"")</x:f>
        <x:v>0.4124440778114202</x:v>
      </x:c>
      <x:c r="I598" s="41" t="n">
        <x:v>13.018786</x:v>
      </x:c>
      <x:c r="J598" s="41" t="n">
        <x:v>-28.368043</x:v>
      </x:c>
      <x:c r="K598" s="41" t="n">
        <x:v>2752.233768</x:v>
      </x:c>
      <x:c r="L598" s="41" t="n">
        <x:f>IFERROR(I598/ABS(J598),"")</x:f>
        <x:v>0.45892436076750165</x:v>
      </x:c>
      <x:c r="M598" s="41" t="n">
        <x:v>6.802475</x:v>
      </x:c>
      <x:c r="N598" s="41" t="n">
        <x:v>-56.473669</x:v>
      </x:c>
      <x:c r="O598" s="41" t="n">
        <x:v>506.057416</x:v>
      </x:c>
      <x:c r="P598" s="41" t="n">
        <x:f>IFERROR(M598/ABS(N598),"")</x:f>
        <x:v>0.12045392340278087</x:v>
      </x:c>
      <x:c r="Q598" s="41" t="str">
        <x:f>IF(L598&gt;=MAX(H598,P598),"Weekly",IF(H598&gt;=MAX(L598,P598),"No weekly","SPY"))</x:f>
        <x:v>Weekly</x:v>
      </x:c>
      <x:c r="R598" s="41" t="n">
        <x:f>IFERROR(L598-P598,"")</x:f>
        <x:v>0.33847043736472077</x:v>
      </x:c>
      <x:c r="S598" s="41" t="n">
        <x:f>IFERROR(H598-P598,"")</x:f>
        <x:v>0.2919901544086393</x:v>
      </x:c>
      <x:c r="T598" s="41" t="n">
        <x:f>IFERROR(I598-M598,"")</x:f>
        <x:v>6.216311</x:v>
      </x:c>
      <x:c r="U598" s="41" t="n">
        <x:f>IFERROR(E598-M598,"")</x:f>
        <x:v>6.135958</x:v>
      </x:c>
      <x:c r="V598" s="41" t="str">
        <x:f>IF(AND(I598&gt;M598,J598&gt;N598),"Sí","No")</x:f>
        <x:v>Sí</x:v>
      </x:c>
      <x:c r="W598" s="41" t="str">
        <x:f>IF(AND(E598&gt;M598,F598&gt;N598),"Sí","No")</x:f>
        <x:v>Sí</x:v>
      </x:c>
      <x:c r="X598" s="41" t="str">
        <x:f>IF(L598&gt;=H598,"Weekly","No weekly")</x:f>
        <x:v>Weekly</x:v>
      </x:c>
      <x:c r="Y598" s="41" t="n">
        <x:f>IFERROR(I598-E598,"")</x:f>
        <x:v>0.08035300000000056</x:v>
      </x:c>
      <x:c r="Z598" s="41" t="n">
        <x:f>IFERROR(J598-F598,"")</x:f>
        <x:v>3.0021079999999998</x:v>
      </x:c>
      <x:c r="AA598" s="41" t="n">
        <x:v>11565</x:v>
      </x:c>
      <x:c r="AB598" s="41" t="n">
        <x:v>5582</x:v>
      </x:c>
    </x:row>
    <x:row r="599">
      <x:c r="A599" s="41" t="str">
        <x:v>HYP_REFINE_AUTO002_TOPN_6_V1_DDGRID_LONG_R12_C20_E72_CR40_REDD_RECOVERED_DD8_SL22</x:v>
      </x:c>
      <x:c r="B599" s="41" t="str">
        <x:v>dd_guard_grid</x:v>
      </x:c>
      <x:c r="C599" s="41" t="str">
        <x:v>1999-01-04</x:v>
      </x:c>
      <x:c r="D599" s="41" t="str">
        <x:v>2026-05-22</x:v>
      </x:c>
      <x:c r="E599" s="41" t="n">
        <x:v>11.423145</x:v>
      </x:c>
      <x:c r="F599" s="41" t="n">
        <x:v>-32.027636</x:v>
      </x:c>
      <x:c r="G599" s="41" t="n">
        <x:v>1832.487485</x:v>
      </x:c>
      <x:c r="H599" s="41" t="n">
        <x:f>IFERROR(E599/ABS(F599),"")</x:f>
        <x:v>0.35666525621809864</x:v>
      </x:c>
      <x:c r="I599" s="41" t="n">
        <x:v>12.29469</x:v>
      </x:c>
      <x:c r="J599" s="41" t="n">
        <x:v>-28.252223</x:v>
      </x:c>
      <x:c r="K599" s="41" t="n">
        <x:v>2291.995147</x:v>
      </x:c>
      <x:c r="L599" s="41" t="n">
        <x:f>IFERROR(I599/ABS(J599),"")</x:f>
        <x:v>0.43517602137007055</x:v>
      </x:c>
      <x:c r="M599" s="41" t="n">
        <x:v>6.802475</x:v>
      </x:c>
      <x:c r="N599" s="41" t="n">
        <x:v>-56.473669</x:v>
      </x:c>
      <x:c r="O599" s="41" t="n">
        <x:v>506.057416</x:v>
      </x:c>
      <x:c r="P599" s="41" t="n">
        <x:f>IFERROR(M599/ABS(N599),"")</x:f>
        <x:v>0.12045392340278087</x:v>
      </x:c>
      <x:c r="Q599" s="41" t="str">
        <x:f>IF(L599&gt;=MAX(H599,P599),"Weekly",IF(H599&gt;=MAX(L599,P599),"No weekly","SPY"))</x:f>
        <x:v>Weekly</x:v>
      </x:c>
      <x:c r="R599" s="41" t="n">
        <x:f>IFERROR(L599-P599,"")</x:f>
        <x:v>0.31472209796728967</x:v>
      </x:c>
      <x:c r="S599" s="41" t="n">
        <x:f>IFERROR(H599-P599,"")</x:f>
        <x:v>0.23621133281531775</x:v>
      </x:c>
      <x:c r="T599" s="41" t="n">
        <x:f>IFERROR(I599-M599,"")</x:f>
        <x:v>5.492214999999999</x:v>
      </x:c>
      <x:c r="U599" s="41" t="n">
        <x:f>IFERROR(E599-M599,"")</x:f>
        <x:v>4.62067</x:v>
      </x:c>
      <x:c r="V599" s="41" t="str">
        <x:f>IF(AND(I599&gt;M599,J599&gt;N599),"Sí","No")</x:f>
        <x:v>Sí</x:v>
      </x:c>
      <x:c r="W599" s="41" t="str">
        <x:f>IF(AND(E599&gt;M599,F599&gt;N599),"Sí","No")</x:f>
        <x:v>Sí</x:v>
      </x:c>
      <x:c r="X599" s="41" t="str">
        <x:f>IF(L599&gt;=H599,"Weekly","No weekly")</x:f>
        <x:v>Weekly</x:v>
      </x:c>
      <x:c r="Y599" s="41" t="n">
        <x:f>IFERROR(I599-E599,"")</x:f>
        <x:v>0.8715449999999993</x:v>
      </x:c>
      <x:c r="Z599" s="41" t="n">
        <x:f>IFERROR(J599-F599,"")</x:f>
        <x:v>3.7754130000000004</x:v>
      </x:c>
      <x:c r="AA599" s="41" t="n">
        <x:v>12147</x:v>
      </x:c>
      <x:c r="AB599" s="41" t="n">
        <x:v>5894</x:v>
      </x:c>
    </x:row>
    <x:row r="600">
      <x:c r="A600" s="41" t="str">
        <x:v>HYP_REFINE_AUTO002_TOPN_6_V1_DDGRID_LONG_R12_C20_E75_CR33_REDD_RECOVERED_DD8_SL20</x:v>
      </x:c>
      <x:c r="B600" s="41" t="str">
        <x:v>dd_guard_grid</x:v>
      </x:c>
      <x:c r="C600" s="41" t="str">
        <x:v>1999-01-04</x:v>
      </x:c>
      <x:c r="D600" s="41" t="str">
        <x:v>2026-05-22</x:v>
      </x:c>
      <x:c r="E600" s="41" t="n">
        <x:v>10.389626</x:v>
      </x:c>
      <x:c r="F600" s="41" t="n">
        <x:v>-30.821826</x:v>
      </x:c>
      <x:c r="G600" s="41" t="n">
        <x:v>1397.310136</x:v>
      </x:c>
      <x:c r="H600" s="41" t="n">
        <x:f>IFERROR(E600/ABS(F600),"")</x:f>
        <x:v>0.3370866476243166</x:v>
      </x:c>
      <x:c r="I600" s="41" t="n">
        <x:v>11.780799</x:v>
      </x:c>
      <x:c r="J600" s="41" t="n">
        <x:v>-27.401163</x:v>
      </x:c>
      <x:c r="K600" s="41" t="n">
        <x:v>2009.706284</x:v>
      </x:c>
      <x:c r="L600" s="41" t="n">
        <x:f>IFERROR(I600/ABS(J600),"")</x:f>
        <x:v>0.42993791905839907</x:v>
      </x:c>
      <x:c r="M600" s="41" t="n">
        <x:v>6.802475</x:v>
      </x:c>
      <x:c r="N600" s="41" t="n">
        <x:v>-56.473669</x:v>
      </x:c>
      <x:c r="O600" s="41" t="n">
        <x:v>506.057416</x:v>
      </x:c>
      <x:c r="P600" s="41" t="n">
        <x:f>IFERROR(M600/ABS(N600),"")</x:f>
        <x:v>0.12045392340278087</x:v>
      </x:c>
      <x:c r="Q600" s="41" t="str">
        <x:f>IF(L600&gt;=MAX(H600,P600),"Weekly",IF(H600&gt;=MAX(L600,P600),"No weekly","SPY"))</x:f>
        <x:v>Weekly</x:v>
      </x:c>
      <x:c r="R600" s="41" t="n">
        <x:f>IFERROR(L600-P600,"")</x:f>
        <x:v>0.3094839956556182</x:v>
      </x:c>
      <x:c r="S600" s="41" t="n">
        <x:f>IFERROR(H600-P600,"")</x:f>
        <x:v>0.21663272422153573</x:v>
      </x:c>
      <x:c r="T600" s="41" t="n">
        <x:f>IFERROR(I600-M600,"")</x:f>
        <x:v>4.978324</x:v>
      </x:c>
      <x:c r="U600" s="41" t="n">
        <x:f>IFERROR(E600-M600,"")</x:f>
        <x:v>3.5871509999999995</x:v>
      </x:c>
      <x:c r="V600" s="41" t="str">
        <x:f>IF(AND(I600&gt;M600,J600&gt;N600),"Sí","No")</x:f>
        <x:v>Sí</x:v>
      </x:c>
      <x:c r="W600" s="41" t="str">
        <x:f>IF(AND(E600&gt;M600,F600&gt;N600),"Sí","No")</x:f>
        <x:v>Sí</x:v>
      </x:c>
      <x:c r="X600" s="41" t="str">
        <x:f>IF(L600&gt;=H600,"Weekly","No weekly")</x:f>
        <x:v>Weekly</x:v>
      </x:c>
      <x:c r="Y600" s="41" t="n">
        <x:f>IFERROR(I600-E600,"")</x:f>
        <x:v>1.3911730000000002</x:v>
      </x:c>
      <x:c r="Z600" s="41" t="n">
        <x:f>IFERROR(J600-F600,"")</x:f>
        <x:v>3.420663000000001</x:v>
      </x:c>
      <x:c r="AA600" s="41" t="n">
        <x:v>12494</x:v>
      </x:c>
      <x:c r="AB600" s="41" t="n">
        <x:v>6232</x:v>
      </x:c>
    </x:row>
    <x:row r="601">
      <x:c r="A601" s="41" t="str">
        <x:v>HYP_REFINE_AUTO002_TOPN_6_V1_DDGRID_LONG_R12_C20_E75_CR36_REDD_RECOVERED_DD8_SL20</x:v>
      </x:c>
      <x:c r="B601" s="41" t="str">
        <x:v>dd_guard_grid</x:v>
      </x:c>
      <x:c r="C601" s="41" t="str">
        <x:v>1999-01-04</x:v>
      </x:c>
      <x:c r="D601" s="41" t="str">
        <x:v>2026-05-22</x:v>
      </x:c>
      <x:c r="E601" s="41" t="n">
        <x:v>10.514601</x:v>
      </x:c>
      <x:c r="F601" s="41" t="n">
        <x:v>-31.441022</x:v>
      </x:c>
      <x:c r="G601" s="41" t="n">
        <x:v>1444.420131</x:v>
      </x:c>
      <x:c r="H601" s="41" t="n">
        <x:f>IFERROR(E601/ABS(F601),"")</x:f>
        <x:v>0.3344230031708257</x:v>
      </x:c>
      <x:c r="I601" s="41" t="n">
        <x:v>12.839844</x:v>
      </x:c>
      <x:c r="J601" s="41" t="n">
        <x:v>-28.507941</x:v>
      </x:c>
      <x:c r="K601" s="41" t="n">
        <x:v>2631.142547</x:v>
      </x:c>
      <x:c r="L601" s="41" t="n">
        <x:f>IFERROR(I601/ABS(J601),"")</x:f>
        <x:v>0.45039534773837225</x:v>
      </x:c>
      <x:c r="M601" s="41" t="n">
        <x:v>6.802475</x:v>
      </x:c>
      <x:c r="N601" s="41" t="n">
        <x:v>-56.473669</x:v>
      </x:c>
      <x:c r="O601" s="41" t="n">
        <x:v>506.057416</x:v>
      </x:c>
      <x:c r="P601" s="41" t="n">
        <x:f>IFERROR(M601/ABS(N601),"")</x:f>
        <x:v>0.12045392340278087</x:v>
      </x:c>
      <x:c r="Q601" s="41" t="str">
        <x:f>IF(L601&gt;=MAX(H601,P601),"Weekly",IF(H601&gt;=MAX(L601,P601),"No weekly","SPY"))</x:f>
        <x:v>Weekly</x:v>
      </x:c>
      <x:c r="R601" s="41" t="n">
        <x:f>IFERROR(L601-P601,"")</x:f>
        <x:v>0.32994142433559137</x:v>
      </x:c>
      <x:c r="S601" s="41" t="n">
        <x:f>IFERROR(H601-P601,"")</x:f>
        <x:v>0.2139690797680448</x:v>
      </x:c>
      <x:c r="T601" s="41" t="n">
        <x:f>IFERROR(I601-M601,"")</x:f>
        <x:v>6.037368999999999</x:v>
      </x:c>
      <x:c r="U601" s="41" t="n">
        <x:f>IFERROR(E601-M601,"")</x:f>
        <x:v>3.7121260000000005</x:v>
      </x:c>
      <x:c r="V601" s="41" t="str">
        <x:f>IF(AND(I601&gt;M601,J601&gt;N601),"Sí","No")</x:f>
        <x:v>Sí</x:v>
      </x:c>
      <x:c r="W601" s="41" t="str">
        <x:f>IF(AND(E601&gt;M601,F601&gt;N601),"Sí","No")</x:f>
        <x:v>Sí</x:v>
      </x:c>
      <x:c r="X601" s="41" t="str">
        <x:f>IF(L601&gt;=H601,"Weekly","No weekly")</x:f>
        <x:v>Weekly</x:v>
      </x:c>
      <x:c r="Y601" s="41" t="n">
        <x:f>IFERROR(I601-E601,"")</x:f>
        <x:v>2.3252429999999986</x:v>
      </x:c>
      <x:c r="Z601" s="41" t="n">
        <x:f>IFERROR(J601-F601,"")</x:f>
        <x:v>2.9330810000000014</x:v>
      </x:c>
      <x:c r="AA601" s="41" t="n">
        <x:v>11694</x:v>
      </x:c>
      <x:c r="AB601" s="41" t="n">
        <x:v>6191</x:v>
      </x:c>
    </x:row>
    <x:row r="602">
      <x:c r="A602" s="41" t="str">
        <x:v>HYP_REFINE_AUTO002_TOPN_6_V1_DDGRID_LONG_R12_C20_E75_CR36_REDD_RECOVERED_DD8_SL22</x:v>
      </x:c>
      <x:c r="B602" s="41" t="str">
        <x:v>dd_guard_grid</x:v>
      </x:c>
      <x:c r="C602" s="41" t="str">
        <x:v>1999-01-04</x:v>
      </x:c>
      <x:c r="D602" s="41" t="str">
        <x:v>2026-05-22</x:v>
      </x:c>
      <x:c r="E602" s="41" t="n">
        <x:v>10.652731</x:v>
      </x:c>
      <x:c r="F602" s="41" t="n">
        <x:v>-32.516508</x:v>
      </x:c>
      <x:c r="G602" s="41" t="n">
        <x:v>1498.150775</x:v>
      </x:c>
      <x:c r="H602" s="41" t="n">
        <x:f>IFERROR(E602/ABS(F602),"")</x:f>
        <x:v>0.3276099327762993</x:v>
      </x:c>
      <x:c r="I602" s="41" t="n">
        <x:v>11.159766</x:v>
      </x:c>
      <x:c r="J602" s="41" t="n">
        <x:v>-28.794074</x:v>
      </x:c>
      <x:c r="K602" s="41" t="n">
        <x:v>1711.245802</x:v>
      </x:c>
      <x:c r="L602" s="41" t="n">
        <x:f>IFERROR(I602/ABS(J602),"")</x:f>
        <x:v>0.38757162324442174</x:v>
      </x:c>
      <x:c r="M602" s="41" t="n">
        <x:v>6.802475</x:v>
      </x:c>
      <x:c r="N602" s="41" t="n">
        <x:v>-56.473669</x:v>
      </x:c>
      <x:c r="O602" s="41" t="n">
        <x:v>506.057416</x:v>
      </x:c>
      <x:c r="P602" s="41" t="n">
        <x:f>IFERROR(M602/ABS(N602),"")</x:f>
        <x:v>0.12045392340278087</x:v>
      </x:c>
      <x:c r="Q602" s="41" t="str">
        <x:f>IF(L602&gt;=MAX(H602,P602),"Weekly",IF(H602&gt;=MAX(L602,P602),"No weekly","SPY"))</x:f>
        <x:v>Weekly</x:v>
      </x:c>
      <x:c r="R602" s="41" t="n">
        <x:f>IFERROR(L602-P602,"")</x:f>
        <x:v>0.26711769984164085</x:v>
      </x:c>
      <x:c r="S602" s="41" t="n">
        <x:f>IFERROR(H602-P602,"")</x:f>
        <x:v>0.2071560093735184</x:v>
      </x:c>
      <x:c r="T602" s="41" t="n">
        <x:f>IFERROR(I602-M602,"")</x:f>
        <x:v>4.357290999999999</x:v>
      </x:c>
      <x:c r="U602" s="41" t="n">
        <x:f>IFERROR(E602-M602,"")</x:f>
        <x:v>3.850255999999999</x:v>
      </x:c>
      <x:c r="V602" s="41" t="str">
        <x:f>IF(AND(I602&gt;M602,J602&gt;N602),"Sí","No")</x:f>
        <x:v>Sí</x:v>
      </x:c>
      <x:c r="W602" s="41" t="str">
        <x:f>IF(AND(E602&gt;M602,F602&gt;N602),"Sí","No")</x:f>
        <x:v>Sí</x:v>
      </x:c>
      <x:c r="X602" s="41" t="str">
        <x:f>IF(L602&gt;=H602,"Weekly","No weekly")</x:f>
        <x:v>Weekly</x:v>
      </x:c>
      <x:c r="Y602" s="41" t="n">
        <x:f>IFERROR(I602-E602,"")</x:f>
        <x:v>0.5070350000000001</x:v>
      </x:c>
      <x:c r="Z602" s="41" t="n">
        <x:f>IFERROR(J602-F602,"")</x:f>
        <x:v>3.7224340000000034</x:v>
      </x:c>
      <x:c r="AA602" s="41" t="n">
        <x:v>12356</x:v>
      </x:c>
      <x:c r="AB602" s="41" t="n">
        <x:v>6181</x:v>
      </x:c>
    </x:row>
    <x:row r="603">
      <x:c r="A603" s="41" t="str">
        <x:v>HYP_REFINE_AUTO002_TOPN_6_V1_DDGRID_LONG_R12_C20_E75_CR40_REDD_RECOVERED_DD10_SL20</x:v>
      </x:c>
      <x:c r="B603" s="41" t="str">
        <x:v>dd_guard_grid</x:v>
      </x:c>
      <x:c r="C603" s="41" t="str">
        <x:v>1999-01-04</x:v>
      </x:c>
      <x:c r="D603" s="41" t="str">
        <x:v>2026-05-22</x:v>
      </x:c>
      <x:c r="E603" s="41" t="n">
        <x:v>11.302099</x:v>
      </x:c>
      <x:c r="F603" s="41" t="n">
        <x:v>-31.728289</x:v>
      </x:c>
      <x:c r="G603" s="41" t="n">
        <x:v>1775.825506</x:v>
      </x:c>
      <x:c r="H603" s="41" t="n">
        <x:f>IFERROR(E603/ABS(F603),"")</x:f>
        <x:v>0.3562152059318421</x:v>
      </x:c>
      <x:c r="I603" s="41" t="n">
        <x:v>13.121717</x:v>
      </x:c>
      <x:c r="J603" s="41" t="n">
        <x:v>-28.480174</x:v>
      </x:c>
      <x:c r="K603" s="41" t="n">
        <x:v>2824.214611</x:v>
      </x:c>
      <x:c r="L603" s="41" t="n">
        <x:f>IFERROR(I603/ABS(J603),"")</x:f>
        <x:v>0.460731630361528</x:v>
      </x:c>
      <x:c r="M603" s="41" t="n">
        <x:v>6.802475</x:v>
      </x:c>
      <x:c r="N603" s="41" t="n">
        <x:v>-56.473669</x:v>
      </x:c>
      <x:c r="O603" s="41" t="n">
        <x:v>506.057416</x:v>
      </x:c>
      <x:c r="P603" s="41" t="n">
        <x:f>IFERROR(M603/ABS(N603),"")</x:f>
        <x:v>0.12045392340278087</x:v>
      </x:c>
      <x:c r="Q603" s="41" t="str">
        <x:f>IF(L603&gt;=MAX(H603,P603),"Weekly",IF(H603&gt;=MAX(L603,P603),"No weekly","SPY"))</x:f>
        <x:v>Weekly</x:v>
      </x:c>
      <x:c r="R603" s="41" t="n">
        <x:f>IFERROR(L603-P603,"")</x:f>
        <x:v>0.3402777069587471</x:v>
      </x:c>
      <x:c r="S603" s="41" t="n">
        <x:f>IFERROR(H603-P603,"")</x:f>
        <x:v>0.2357612825290612</x:v>
      </x:c>
      <x:c r="T603" s="41" t="n">
        <x:f>IFERROR(I603-M603,"")</x:f>
        <x:v>6.319242</x:v>
      </x:c>
      <x:c r="U603" s="41" t="n">
        <x:f>IFERROR(E603-M603,"")</x:f>
        <x:v>4.499624</x:v>
      </x:c>
      <x:c r="V603" s="41" t="str">
        <x:f>IF(AND(I603&gt;M603,J603&gt;N603),"Sí","No")</x:f>
        <x:v>Sí</x:v>
      </x:c>
      <x:c r="W603" s="41" t="str">
        <x:f>IF(AND(E603&gt;M603,F603&gt;N603),"Sí","No")</x:f>
        <x:v>Sí</x:v>
      </x:c>
      <x:c r="X603" s="41" t="str">
        <x:f>IF(L603&gt;=H603,"Weekly","No weekly")</x:f>
        <x:v>Weekly</x:v>
      </x:c>
      <x:c r="Y603" s="41" t="n">
        <x:f>IFERROR(I603-E603,"")</x:f>
        <x:v>1.8196180000000002</x:v>
      </x:c>
      <x:c r="Z603" s="41" t="n">
        <x:f>IFERROR(J603-F603,"")</x:f>
        <x:v>3.2481149999999985</x:v>
      </x:c>
      <x:c r="AA603" s="41" t="n">
        <x:v>11284</x:v>
      </x:c>
      <x:c r="AB603" s="41" t="n">
        <x:v>5803</x:v>
      </x:c>
    </x:row>
    <x:row r="604">
      <x:c r="A604" s="41" t="str">
        <x:v>HYP_REFINE_AUTO002_TOPN_6_V1_DDGRID_LONG_R12_C20_E75_CR40_REDD_RECOVERED_DD6_SL20</x:v>
      </x:c>
      <x:c r="B604" s="41" t="str">
        <x:v>dd_guard_grid</x:v>
      </x:c>
      <x:c r="C604" s="41" t="str">
        <x:v>1999-01-04</x:v>
      </x:c>
      <x:c r="D604" s="41" t="str">
        <x:v>2026-05-22</x:v>
      </x:c>
      <x:c r="E604" s="41" t="n">
        <x:v>11.895453</x:v>
      </x:c>
      <x:c r="F604" s="41" t="n">
        <x:v>-31.728289</x:v>
      </x:c>
      <x:c r="G604" s="41" t="n">
        <x:v>2069.759989</x:v>
      </x:c>
      <x:c r="H604" s="41" t="n">
        <x:f>IFERROR(E604/ABS(F604),"")</x:f>
        <x:v>0.3749163089128443</x:v>
      </x:c>
      <x:c r="I604" s="41" t="n">
        <x:v>12.201981</x:v>
      </x:c>
      <x:c r="J604" s="41" t="n">
        <x:v>-28.480174</x:v>
      </x:c>
      <x:c r="K604" s="41" t="n">
        <x:v>2238.512815</x:v>
      </x:c>
      <x:c r="L604" s="41" t="n">
        <x:f>IFERROR(I604/ABS(J604),"")</x:f>
        <x:v>0.42843772653917067</x:v>
      </x:c>
      <x:c r="M604" s="41" t="n">
        <x:v>6.802475</x:v>
      </x:c>
      <x:c r="N604" s="41" t="n">
        <x:v>-56.473669</x:v>
      </x:c>
      <x:c r="O604" s="41" t="n">
        <x:v>506.057416</x:v>
      </x:c>
      <x:c r="P604" s="41" t="n">
        <x:f>IFERROR(M604/ABS(N604),"")</x:f>
        <x:v>0.12045392340278087</x:v>
      </x:c>
      <x:c r="Q604" s="41" t="str">
        <x:f>IF(L604&gt;=MAX(H604,P604),"Weekly",IF(H604&gt;=MAX(L604,P604),"No weekly","SPY"))</x:f>
        <x:v>Weekly</x:v>
      </x:c>
      <x:c r="R604" s="41" t="n">
        <x:f>IFERROR(L604-P604,"")</x:f>
        <x:v>0.3079838031363898</x:v>
      </x:c>
      <x:c r="S604" s="41" t="n">
        <x:f>IFERROR(H604-P604,"")</x:f>
        <x:v>0.2544623855100634</x:v>
      </x:c>
      <x:c r="T604" s="41" t="n">
        <x:f>IFERROR(I604-M604,"")</x:f>
        <x:v>5.399506</x:v>
      </x:c>
      <x:c r="U604" s="41" t="n">
        <x:f>IFERROR(E604-M604,"")</x:f>
        <x:v>5.092978</x:v>
      </x:c>
      <x:c r="V604" s="41" t="str">
        <x:f>IF(AND(I604&gt;M604,J604&gt;N604),"Sí","No")</x:f>
        <x:v>Sí</x:v>
      </x:c>
      <x:c r="W604" s="41" t="str">
        <x:f>IF(AND(E604&gt;M604,F604&gt;N604),"Sí","No")</x:f>
        <x:v>Sí</x:v>
      </x:c>
      <x:c r="X604" s="41" t="str">
        <x:f>IF(L604&gt;=H604,"Weekly","No weekly")</x:f>
        <x:v>Weekly</x:v>
      </x:c>
      <x:c r="Y604" s="41" t="n">
        <x:f>IFERROR(I604-E604,"")</x:f>
        <x:v>0.30652800000000013</x:v>
      </x:c>
      <x:c r="Z604" s="41" t="n">
        <x:f>IFERROR(J604-F604,"")</x:f>
        <x:v>3.2481149999999985</x:v>
      </x:c>
      <x:c r="AA604" s="41" t="n">
        <x:v>12293</x:v>
      </x:c>
      <x:c r="AB604" s="41" t="n">
        <x:v>6291</x:v>
      </x:c>
    </x:row>
    <x:row r="605">
      <x:c r="A605" s="41" t="str">
        <x:v>HYP_REFINE_AUTO002_TOPN_6_V1_DDGRID_LONG_R12_C20_E75_CR40_REDD_RECOVERED_DD7_SL18</x:v>
      </x:c>
      <x:c r="B605" s="41" t="str">
        <x:v>dd_guard_grid</x:v>
      </x:c>
      <x:c r="C605" s="41" t="str">
        <x:v>1999-01-04</x:v>
      </x:c>
      <x:c r="D605" s="41" t="str">
        <x:v>2026-05-22</x:v>
      </x:c>
      <x:c r="E605" s="41" t="n">
        <x:v>10.849282</x:v>
      </x:c>
      <x:c r="F605" s="41" t="n">
        <x:v>-31.827552</x:v>
      </x:c>
      <x:c r="G605" s="41" t="n">
        <x:v>1577.720491</x:v>
      </x:c>
      <x:c r="H605" s="41" t="n">
        <x:f>IFERROR(E605/ABS(F605),"")</x:f>
        <x:v>0.34087704891661164</x:v>
      </x:c>
      <x:c r="I605" s="41" t="n">
        <x:v>11.916291</x:v>
      </x:c>
      <x:c r="J605" s="41" t="n">
        <x:v>-28.89498</x:v>
      </x:c>
      <x:c r="K605" s="41" t="n">
        <x:v>2080.849977</x:v>
      </x:c>
      <x:c r="L605" s="41" t="n">
        <x:f>IFERROR(I605/ABS(J605),"")</x:f>
        <x:v>0.41240004319089335</x:v>
      </x:c>
      <x:c r="M605" s="41" t="n">
        <x:v>6.802475</x:v>
      </x:c>
      <x:c r="N605" s="41" t="n">
        <x:v>-56.473669</x:v>
      </x:c>
      <x:c r="O605" s="41" t="n">
        <x:v>506.057416</x:v>
      </x:c>
      <x:c r="P605" s="41" t="n">
        <x:f>IFERROR(M605/ABS(N605),"")</x:f>
        <x:v>0.12045392340278087</x:v>
      </x:c>
      <x:c r="Q605" s="41" t="str">
        <x:f>IF(L605&gt;=MAX(H605,P605),"Weekly",IF(H605&gt;=MAX(L605,P605),"No weekly","SPY"))</x:f>
        <x:v>Weekly</x:v>
      </x:c>
      <x:c r="R605" s="41" t="n">
        <x:f>IFERROR(L605-P605,"")</x:f>
        <x:v>0.29194611978811247</x:v>
      </x:c>
      <x:c r="S605" s="41" t="n">
        <x:f>IFERROR(H605-P605,"")</x:f>
        <x:v>0.22042312551383075</x:v>
      </x:c>
      <x:c r="T605" s="41" t="n">
        <x:f>IFERROR(I605-M605,"")</x:f>
        <x:v>5.113815999999999</x:v>
      </x:c>
      <x:c r="U605" s="41" t="n">
        <x:f>IFERROR(E605-M605,"")</x:f>
        <x:v>4.046807</x:v>
      </x:c>
      <x:c r="V605" s="41" t="str">
        <x:f>IF(AND(I605&gt;M605,J605&gt;N605),"Sí","No")</x:f>
        <x:v>Sí</x:v>
      </x:c>
      <x:c r="W605" s="41" t="str">
        <x:f>IF(AND(E605&gt;M605,F605&gt;N605),"Sí","No")</x:f>
        <x:v>Sí</x:v>
      </x:c>
      <x:c r="X605" s="41" t="str">
        <x:f>IF(L605&gt;=H605,"Weekly","No weekly")</x:f>
        <x:v>Weekly</x:v>
      </x:c>
      <x:c r="Y605" s="41" t="n">
        <x:f>IFERROR(I605-E605,"")</x:f>
        <x:v>1.0670089999999988</x:v>
      </x:c>
      <x:c r="Z605" s="41" t="n">
        <x:f>IFERROR(J605-F605,"")</x:f>
        <x:v>2.9325720000000004</x:v>
      </x:c>
      <x:c r="AA605" s="41" t="n">
        <x:v>11767</x:v>
      </x:c>
      <x:c r="AB605" s="41" t="n">
        <x:v>6108</x:v>
      </x:c>
    </x:row>
    <x:row r="606">
      <x:c r="A606" s="41" t="str">
        <x:v>HYP_REFINE_AUTO002_TOPN_6_V1_DDGRID_LONG_R12_C20_E75_CR40_REDD_RECOVERED_DD7_SL20</x:v>
      </x:c>
      <x:c r="B606" s="41" t="str">
        <x:v>dd_guard_grid</x:v>
      </x:c>
      <x:c r="C606" s="41" t="str">
        <x:v>1999-01-04</x:v>
      </x:c>
      <x:c r="D606" s="41" t="str">
        <x:v>2026-05-22</x:v>
      </x:c>
      <x:c r="E606" s="41" t="n">
        <x:v>12.223627</x:v>
      </x:c>
      <x:c r="F606" s="41" t="n">
        <x:v>-31.728289</x:v>
      </x:c>
      <x:c r="G606" s="41" t="n">
        <x:v>2250.896175</x:v>
      </x:c>
      <x:c r="H606" s="41" t="n">
        <x:f>IFERROR(E606/ABS(F606),"")</x:f>
        <x:v>0.3852595707256701</x:v>
      </x:c>
      <x:c r="I606" s="41" t="n">
        <x:v>12.455007</x:v>
      </x:c>
      <x:c r="J606" s="41" t="n">
        <x:v>-28.480174</x:v>
      </x:c>
      <x:c r="K606" s="41" t="n">
        <x:v>2387.272885</x:v>
      </x:c>
      <x:c r="L606" s="41" t="n">
        <x:f>IFERROR(I606/ABS(J606),"")</x:f>
        <x:v>0.437322012147819</x:v>
      </x:c>
      <x:c r="M606" s="41" t="n">
        <x:v>6.802475</x:v>
      </x:c>
      <x:c r="N606" s="41" t="n">
        <x:v>-56.473669</x:v>
      </x:c>
      <x:c r="O606" s="41" t="n">
        <x:v>506.057416</x:v>
      </x:c>
      <x:c r="P606" s="41" t="n">
        <x:f>IFERROR(M606/ABS(N606),"")</x:f>
        <x:v>0.12045392340278087</x:v>
      </x:c>
      <x:c r="Q606" s="41" t="str">
        <x:f>IF(L606&gt;=MAX(H606,P606),"Weekly",IF(H606&gt;=MAX(L606,P606),"No weekly","SPY"))</x:f>
        <x:v>Weekly</x:v>
      </x:c>
      <x:c r="R606" s="41" t="n">
        <x:f>IFERROR(L606-P606,"")</x:f>
        <x:v>0.31686808874503813</x:v>
      </x:c>
      <x:c r="S606" s="41" t="n">
        <x:f>IFERROR(H606-P606,"")</x:f>
        <x:v>0.2648056473228892</x:v>
      </x:c>
      <x:c r="T606" s="41" t="n">
        <x:f>IFERROR(I606-M606,"")</x:f>
        <x:v>5.652532</x:v>
      </x:c>
      <x:c r="U606" s="41" t="n">
        <x:f>IFERROR(E606-M606,"")</x:f>
        <x:v>5.421152</x:v>
      </x:c>
      <x:c r="V606" s="41" t="str">
        <x:f>IF(AND(I606&gt;M606,J606&gt;N606),"Sí","No")</x:f>
        <x:v>Sí</x:v>
      </x:c>
      <x:c r="W606" s="41" t="str">
        <x:f>IF(AND(E606&gt;M606,F606&gt;N606),"Sí","No")</x:f>
        <x:v>Sí</x:v>
      </x:c>
      <x:c r="X606" s="41" t="str">
        <x:f>IF(L606&gt;=H606,"Weekly","No weekly")</x:f>
        <x:v>Weekly</x:v>
      </x:c>
      <x:c r="Y606" s="41" t="n">
        <x:f>IFERROR(I606-E606,"")</x:f>
        <x:v>0.2313799999999997</x:v>
      </x:c>
      <x:c r="Z606" s="41" t="n">
        <x:f>IFERROR(J606-F606,"")</x:f>
        <x:v>3.2481149999999985</x:v>
      </x:c>
      <x:c r="AA606" s="41" t="n">
        <x:v>11974</x:v>
      </x:c>
      <x:c r="AB606" s="41" t="n">
        <x:v>6068</x:v>
      </x:c>
    </x:row>
    <x:row r="607">
      <x:c r="A607" s="41" t="str">
        <x:v>HYP_REFINE_AUTO002_TOPN_6_V1_DDGRID_LONG_R12_C20_E75_CR40_REDD_RECOVERED_DD7_SL22</x:v>
      </x:c>
      <x:c r="B607" s="41" t="str">
        <x:v>dd_guard_grid</x:v>
      </x:c>
      <x:c r="C607" s="41" t="str">
        <x:v>1999-01-04</x:v>
      </x:c>
      <x:c r="D607" s="41" t="str">
        <x:v>2026-05-22</x:v>
      </x:c>
      <x:c r="E607" s="41" t="n">
        <x:v>11.050729</x:v>
      </x:c>
      <x:c r="F607" s="41" t="n">
        <x:v>-33.014094</x:v>
      </x:c>
      <x:c r="G607" s="41" t="n">
        <x:v>1663.227475</x:v>
      </x:c>
      <x:c r="H607" s="41" t="n">
        <x:f>IFERROR(E607/ABS(F607),"")</x:f>
        <x:v>0.3347276166354891</x:v>
      </x:c>
      <x:c r="I607" s="41" t="n">
        <x:v>12.483848</x:v>
      </x:c>
      <x:c r="J607" s="41" t="n">
        <x:v>-28.364536</x:v>
      </x:c>
      <x:c r="K607" s="41" t="n">
        <x:v>2404.796701</x:v>
      </x:c>
      <x:c r="L607" s="41" t="n">
        <x:f>IFERROR(I607/ABS(J607),"")</x:f>
        <x:v>0.44012170690893726</x:v>
      </x:c>
      <x:c r="M607" s="41" t="n">
        <x:v>6.802475</x:v>
      </x:c>
      <x:c r="N607" s="41" t="n">
        <x:v>-56.473669</x:v>
      </x:c>
      <x:c r="O607" s="41" t="n">
        <x:v>506.057416</x:v>
      </x:c>
      <x:c r="P607" s="41" t="n">
        <x:f>IFERROR(M607/ABS(N607),"")</x:f>
        <x:v>0.12045392340278087</x:v>
      </x:c>
      <x:c r="Q607" s="41" t="str">
        <x:f>IF(L607&gt;=MAX(H607,P607),"Weekly",IF(H607&gt;=MAX(L607,P607),"No weekly","SPY"))</x:f>
        <x:v>Weekly</x:v>
      </x:c>
      <x:c r="R607" s="41" t="n">
        <x:f>IFERROR(L607-P607,"")</x:f>
        <x:v>0.3196677835061564</x:v>
      </x:c>
      <x:c r="S607" s="41" t="n">
        <x:f>IFERROR(H607-P607,"")</x:f>
        <x:v>0.21427369323270823</x:v>
      </x:c>
      <x:c r="T607" s="41" t="n">
        <x:f>IFERROR(I607-M607,"")</x:f>
        <x:v>5.681373</x:v>
      </x:c>
      <x:c r="U607" s="41" t="n">
        <x:f>IFERROR(E607-M607,"")</x:f>
        <x:v>4.248254</x:v>
      </x:c>
      <x:c r="V607" s="41" t="str">
        <x:f>IF(AND(I607&gt;M607,J607&gt;N607),"Sí","No")</x:f>
        <x:v>Sí</x:v>
      </x:c>
      <x:c r="W607" s="41" t="str">
        <x:f>IF(AND(E607&gt;M607,F607&gt;N607),"Sí","No")</x:f>
        <x:v>Sí</x:v>
      </x:c>
      <x:c r="X607" s="41" t="str">
        <x:f>IF(L607&gt;=H607,"Weekly","No weekly")</x:f>
        <x:v>Weekly</x:v>
      </x:c>
      <x:c r="Y607" s="41" t="n">
        <x:f>IFERROR(I607-E607,"")</x:f>
        <x:v>1.4331189999999996</x:v>
      </x:c>
      <x:c r="Z607" s="41" t="n">
        <x:f>IFERROR(J607-F607,"")</x:f>
        <x:v>4.649557999999999</x:v>
      </x:c>
      <x:c r="AA607" s="41" t="n">
        <x:v>11901</x:v>
      </x:c>
      <x:c r="AB607" s="41" t="n">
        <x:v>5999</x:v>
      </x:c>
    </x:row>
    <x:row r="608">
      <x:c r="A608" s="41" t="str">
        <x:v>HYP_REFINE_AUTO002_TOPN_6_V1_DDGRID_LONG_R12_C20_E75_CR40_REDD_RECOVERED_DD7_SLNONE</x:v>
      </x:c>
      <x:c r="B608" s="41" t="str">
        <x:v>dd_guard_grid</x:v>
      </x:c>
      <x:c r="C608" s="41" t="str">
        <x:v>1999-01-04</x:v>
      </x:c>
      <x:c r="D608" s="41" t="str">
        <x:v>2026-05-22</x:v>
      </x:c>
      <x:c r="E608" s="41" t="n">
        <x:v>11.874375</x:v>
      </x:c>
      <x:c r="F608" s="41" t="n">
        <x:v>-32.489861</x:v>
      </x:c>
      <x:c r="G608" s="41" t="n">
        <x:v>2058.598013</x:v>
      </x:c>
      <x:c r="H608" s="41" t="n">
        <x:f>IFERROR(E608/ABS(F608),"")</x:f>
        <x:v>0.36547940294358294</x:v>
      </x:c>
      <x:c r="I608" s="41" t="n">
        <x:v>12.668805</x:v>
      </x:c>
      <x:c r="J608" s="41" t="n">
        <x:v>-28.526209</x:v>
      </x:c>
      <x:c r="K608" s="41" t="n">
        <x:v>2520.038581</x:v>
      </x:c>
      <x:c r="L608" s="41" t="n">
        <x:f>IFERROR(I608/ABS(J608),"")</x:f>
        <x:v>0.44411106291761376</x:v>
      </x:c>
      <x:c r="M608" s="41" t="n">
        <x:v>6.802475</x:v>
      </x:c>
      <x:c r="N608" s="41" t="n">
        <x:v>-56.473669</x:v>
      </x:c>
      <x:c r="O608" s="41" t="n">
        <x:v>506.057416</x:v>
      </x:c>
      <x:c r="P608" s="41" t="n">
        <x:f>IFERROR(M608/ABS(N608),"")</x:f>
        <x:v>0.12045392340278087</x:v>
      </x:c>
      <x:c r="Q608" s="41" t="str">
        <x:f>IF(L608&gt;=MAX(H608,P608),"Weekly",IF(H608&gt;=MAX(L608,P608),"No weekly","SPY"))</x:f>
        <x:v>Weekly</x:v>
      </x:c>
      <x:c r="R608" s="41" t="n">
        <x:f>IFERROR(L608-P608,"")</x:f>
        <x:v>0.3236571395148329</x:v>
      </x:c>
      <x:c r="S608" s="41" t="n">
        <x:f>IFERROR(H608-P608,"")</x:f>
        <x:v>0.24502547954080206</x:v>
      </x:c>
      <x:c r="T608" s="41" t="n">
        <x:f>IFERROR(I608-M608,"")</x:f>
        <x:v>5.8663300000000005</x:v>
      </x:c>
      <x:c r="U608" s="41" t="n">
        <x:f>IFERROR(E608-M608,"")</x:f>
        <x:v>5.0719</x:v>
      </x:c>
      <x:c r="V608" s="41" t="str">
        <x:f>IF(AND(I608&gt;M608,J608&gt;N608),"Sí","No")</x:f>
        <x:v>Sí</x:v>
      </x:c>
      <x:c r="W608" s="41" t="str">
        <x:f>IF(AND(E608&gt;M608,F608&gt;N608),"Sí","No")</x:f>
        <x:v>Sí</x:v>
      </x:c>
      <x:c r="X608" s="41" t="str">
        <x:f>IF(L608&gt;=H608,"Weekly","No weekly")</x:f>
        <x:v>Weekly</x:v>
      </x:c>
      <x:c r="Y608" s="41" t="n">
        <x:f>IFERROR(I608-E608,"")</x:f>
        <x:v>0.7944300000000002</x:v>
      </x:c>
      <x:c r="Z608" s="41" t="n">
        <x:f>IFERROR(J608-F608,"")</x:f>
        <x:v>3.963651999999996</x:v>
      </x:c>
      <x:c r="AA608" s="41" t="n">
        <x:v>12207</x:v>
      </x:c>
      <x:c r="AB608" s="41" t="n">
        <x:v>6501</x:v>
      </x:c>
    </x:row>
    <x:row r="609">
      <x:c r="A609" s="41" t="str">
        <x:v>HYP_REFINE_AUTO002_TOPN_6_V1_DDGRID_LONG_R12_C20_E75_CR40_REDD_RECOVERED_DD8_SL18</x:v>
      </x:c>
      <x:c r="B609" s="41" t="str">
        <x:v>dd_guard_grid</x:v>
      </x:c>
      <x:c r="C609" s="41" t="str">
        <x:v>1999-01-04</x:v>
      </x:c>
      <x:c r="D609" s="41" t="str">
        <x:v>2026-05-22</x:v>
      </x:c>
      <x:c r="E609" s="41" t="n">
        <x:v>10.404468</x:v>
      </x:c>
      <x:c r="F609" s="41" t="n">
        <x:v>-31.828085</x:v>
      </x:c>
      <x:c r="G609" s="41" t="n">
        <x:v>1402.831559</x:v>
      </x:c>
      <x:c r="H609" s="41" t="n">
        <x:f>IFERROR(E609/ABS(F609),"")</x:f>
        <x:v>0.326895821724744</x:v>
      </x:c>
      <x:c r="I609" s="41" t="n">
        <x:v>12.137317</x:v>
      </x:c>
      <x:c r="J609" s="41" t="n">
        <x:v>-28.89498</x:v>
      </x:c>
      <x:c r="K609" s="41" t="n">
        <x:v>2201.893467</x:v>
      </x:c>
      <x:c r="L609" s="41" t="n">
        <x:f>IFERROR(I609/ABS(J609),"")</x:f>
        <x:v>0.4200493303681124</x:v>
      </x:c>
      <x:c r="M609" s="41" t="n">
        <x:v>6.802475</x:v>
      </x:c>
      <x:c r="N609" s="41" t="n">
        <x:v>-56.473669</x:v>
      </x:c>
      <x:c r="O609" s="41" t="n">
        <x:v>506.057416</x:v>
      </x:c>
      <x:c r="P609" s="41" t="n">
        <x:f>IFERROR(M609/ABS(N609),"")</x:f>
        <x:v>0.12045392340278087</x:v>
      </x:c>
      <x:c r="Q609" s="41" t="str">
        <x:f>IF(L609&gt;=MAX(H609,P609),"Weekly",IF(H609&gt;=MAX(L609,P609),"No weekly","SPY"))</x:f>
        <x:v>Weekly</x:v>
      </x:c>
      <x:c r="R609" s="41" t="n">
        <x:f>IFERROR(L609-P609,"")</x:f>
        <x:v>0.2995954069653315</x:v>
      </x:c>
      <x:c r="S609" s="41" t="n">
        <x:f>IFERROR(H609-P609,"")</x:f>
        <x:v>0.20644189832196314</x:v>
      </x:c>
      <x:c r="T609" s="41" t="n">
        <x:f>IFERROR(I609-M609,"")</x:f>
        <x:v>5.334841999999999</x:v>
      </x:c>
      <x:c r="U609" s="41" t="n">
        <x:f>IFERROR(E609-M609,"")</x:f>
        <x:v>3.6019929999999993</x:v>
      </x:c>
      <x:c r="V609" s="41" t="str">
        <x:f>IF(AND(I609&gt;M609,J609&gt;N609),"Sí","No")</x:f>
        <x:v>Sí</x:v>
      </x:c>
      <x:c r="W609" s="41" t="str">
        <x:f>IF(AND(E609&gt;M609,F609&gt;N609),"Sí","No")</x:f>
        <x:v>Sí</x:v>
      </x:c>
      <x:c r="X609" s="41" t="str">
        <x:f>IF(L609&gt;=H609,"Weekly","No weekly")</x:f>
        <x:v>Weekly</x:v>
      </x:c>
      <x:c r="Y609" s="41" t="n">
        <x:f>IFERROR(I609-E609,"")</x:f>
        <x:v>1.7328489999999999</x:v>
      </x:c>
      <x:c r="Z609" s="41" t="n">
        <x:f>IFERROR(J609-F609,"")</x:f>
        <x:v>2.933105000000001</x:v>
      </x:c>
      <x:c r="AA609" s="41" t="n">
        <x:v>11806</x:v>
      </x:c>
      <x:c r="AB609" s="41" t="n">
        <x:v>5882</x:v>
      </x:c>
    </x:row>
    <x:row r="610">
      <x:c r="A610" s="41" t="str">
        <x:v>HYP_REFINE_AUTO002_TOPN_6_V1_DDGRID_LONG_R12_C20_E75_CR40_REDD_RECOVERED_DD8_SL20</x:v>
      </x:c>
      <x:c r="B610" s="41" t="str">
        <x:v>dd_guard_grid</x:v>
      </x:c>
      <x:c r="C610" s="41" t="str">
        <x:v>1999-01-04</x:v>
      </x:c>
      <x:c r="D610" s="41" t="str">
        <x:v>2026-05-22</x:v>
      </x:c>
      <x:c r="E610" s="41" t="n">
        <x:v>11.691604</x:v>
      </x:c>
      <x:c r="F610" s="41" t="n">
        <x:v>-31.728289</x:v>
      </x:c>
      <x:c r="G610" s="41" t="n">
        <x:v>1964.098356</x:v>
      </x:c>
      <x:c r="H610" s="41" t="n">
        <x:f>IFERROR(E610/ABS(F610),"")</x:f>
        <x:v>0.36849147459543125</x:v>
      </x:c>
      <x:c r="I610" s="41" t="n">
        <x:v>13.059816</x:v>
      </x:c>
      <x:c r="J610" s="41" t="n">
        <x:v>-28.480174</x:v>
      </x:c>
      <x:c r="K610" s="41" t="n">
        <x:v>2780.719435</x:v>
      </x:c>
      <x:c r="L610" s="41" t="n">
        <x:f>IFERROR(I610/ABS(J610),"")</x:f>
        <x:v>0.45855815347195555</x:v>
      </x:c>
      <x:c r="M610" s="41" t="n">
        <x:v>6.802475</x:v>
      </x:c>
      <x:c r="N610" s="41" t="n">
        <x:v>-56.473669</x:v>
      </x:c>
      <x:c r="O610" s="41" t="n">
        <x:v>506.057416</x:v>
      </x:c>
      <x:c r="P610" s="41" t="n">
        <x:f>IFERROR(M610/ABS(N610),"")</x:f>
        <x:v>0.12045392340278087</x:v>
      </x:c>
      <x:c r="Q610" s="41" t="str">
        <x:f>IF(L610&gt;=MAX(H610,P610),"Weekly",IF(H610&gt;=MAX(L610,P610),"No weekly","SPY"))</x:f>
        <x:v>Weekly</x:v>
      </x:c>
      <x:c r="R610" s="41" t="n">
        <x:f>IFERROR(L610-P610,"")</x:f>
        <x:v>0.33810423006917467</x:v>
      </x:c>
      <x:c r="S610" s="41" t="n">
        <x:f>IFERROR(H610-P610,"")</x:f>
        <x:v>0.24803755119265036</x:v>
      </x:c>
      <x:c r="T610" s="41" t="n">
        <x:f>IFERROR(I610-M610,"")</x:f>
        <x:v>6.257340999999999</x:v>
      </x:c>
      <x:c r="U610" s="41" t="n">
        <x:f>IFERROR(E610-M610,"")</x:f>
        <x:v>4.889129</x:v>
      </x:c>
      <x:c r="V610" s="41" t="str">
        <x:f>IF(AND(I610&gt;M610,J610&gt;N610),"Sí","No")</x:f>
        <x:v>Sí</x:v>
      </x:c>
      <x:c r="W610" s="41" t="str">
        <x:f>IF(AND(E610&gt;M610,F610&gt;N610),"Sí","No")</x:f>
        <x:v>Sí</x:v>
      </x:c>
      <x:c r="X610" s="41" t="str">
        <x:f>IF(L610&gt;=H610,"Weekly","No weekly")</x:f>
        <x:v>Weekly</x:v>
      </x:c>
      <x:c r="Y610" s="41" t="n">
        <x:f>IFERROR(I610-E610,"")</x:f>
        <x:v>1.3682119999999998</x:v>
      </x:c>
      <x:c r="Z610" s="41" t="n">
        <x:f>IFERROR(J610-F610,"")</x:f>
        <x:v>3.2481149999999985</x:v>
      </x:c>
      <x:c r="AA610" s="41" t="n">
        <x:v>11712</x:v>
      </x:c>
      <x:c r="AB610" s="41" t="n">
        <x:v>6021</x:v>
      </x:c>
    </x:row>
    <x:row r="611">
      <x:c r="A611" s="41" t="str">
        <x:v>HYP_REFINE_AUTO002_TOPN_6_V1_DDGRID_LONG_R12_C20_E75_CR40_REDD_RECOVERED_DD8_SL22</x:v>
      </x:c>
      <x:c r="B611" s="41" t="str">
        <x:v>dd_guard_grid</x:v>
      </x:c>
      <x:c r="C611" s="41" t="str">
        <x:v>1999-01-04</x:v>
      </x:c>
      <x:c r="D611" s="41" t="str">
        <x:v>2026-05-22</x:v>
      </x:c>
      <x:c r="E611" s="41" t="n">
        <x:v>10.835483</x:v>
      </x:c>
      <x:c r="F611" s="41" t="n">
        <x:v>-33.405828</x:v>
      </x:c>
      <x:c r="G611" s="41" t="n">
        <x:v>1572.011758</x:v>
      </x:c>
      <x:c r="H611" s="41" t="n">
        <x:f>IFERROR(E611/ABS(F611),"")</x:f>
        <x:v>0.32435906093990546</x:v>
      </x:c>
      <x:c r="I611" s="41" t="n">
        <x:v>12.831666</x:v>
      </x:c>
      <x:c r="J611" s="41" t="n">
        <x:v>-28.364536</x:v>
      </x:c>
      <x:c r="K611" s="41" t="n">
        <x:v>2625.728032</x:v>
      </x:c>
      <x:c r="L611" s="41" t="n">
        <x:f>IFERROR(I611/ABS(J611),"")</x:f>
        <x:v>0.45238413207252887</x:v>
      </x:c>
      <x:c r="M611" s="41" t="n">
        <x:v>6.802475</x:v>
      </x:c>
      <x:c r="N611" s="41" t="n">
        <x:v>-56.473669</x:v>
      </x:c>
      <x:c r="O611" s="41" t="n">
        <x:v>506.057416</x:v>
      </x:c>
      <x:c r="P611" s="41" t="n">
        <x:f>IFERROR(M611/ABS(N611),"")</x:f>
        <x:v>0.12045392340278087</x:v>
      </x:c>
      <x:c r="Q611" s="41" t="str">
        <x:f>IF(L611&gt;=MAX(H611,P611),"Weekly",IF(H611&gt;=MAX(L611,P611),"No weekly","SPY"))</x:f>
        <x:v>Weekly</x:v>
      </x:c>
      <x:c r="R611" s="41" t="n">
        <x:f>IFERROR(L611-P611,"")</x:f>
        <x:v>0.331930208669748</x:v>
      </x:c>
      <x:c r="S611" s="41" t="n">
        <x:f>IFERROR(H611-P611,"")</x:f>
        <x:v>0.20390513753712458</x:v>
      </x:c>
      <x:c r="T611" s="41" t="n">
        <x:f>IFERROR(I611-M611,"")</x:f>
        <x:v>6.029191</x:v>
      </x:c>
      <x:c r="U611" s="41" t="n">
        <x:f>IFERROR(E611-M611,"")</x:f>
        <x:v>4.033008</x:v>
      </x:c>
      <x:c r="V611" s="41" t="str">
        <x:f>IF(AND(I611&gt;M611,J611&gt;N611),"Sí","No")</x:f>
        <x:v>Sí</x:v>
      </x:c>
      <x:c r="W611" s="41" t="str">
        <x:f>IF(AND(E611&gt;M611,F611&gt;N611),"Sí","No")</x:f>
        <x:v>Sí</x:v>
      </x:c>
      <x:c r="X611" s="41" t="str">
        <x:f>IF(L611&gt;=H611,"Weekly","No weekly")</x:f>
        <x:v>Weekly</x:v>
      </x:c>
      <x:c r="Y611" s="41" t="n">
        <x:f>IFERROR(I611-E611,"")</x:f>
        <x:v>1.9961830000000003</x:v>
      </x:c>
      <x:c r="Z611" s="41" t="n">
        <x:f>IFERROR(J611-F611,"")</x:f>
        <x:v>5.0412919999999986</x:v>
      </x:c>
      <x:c r="AA611" s="41" t="n">
        <x:v>11681</x:v>
      </x:c>
      <x:c r="AB611" s="41" t="n">
        <x:v>5952</x:v>
      </x:c>
    </x:row>
    <x:row r="612">
      <x:c r="A612" s="41" t="str">
        <x:v>HYP_REFINE_AUTO002_TOPN_6_V1_DDGRID_LONG_R12_C20_E75_CR40_REDD_RECOVERED_DD8_SL24</x:v>
      </x:c>
      <x:c r="B612" s="41" t="str">
        <x:v>dd_guard_grid</x:v>
      </x:c>
      <x:c r="C612" s="41" t="str">
        <x:v>1999-01-04</x:v>
      </x:c>
      <x:c r="D612" s="41" t="str">
        <x:v>2026-05-22</x:v>
      </x:c>
      <x:c r="E612" s="41" t="n">
        <x:v>10.938478</x:v>
      </x:c>
      <x:c r="F612" s="41" t="n">
        <x:v>-32.072356</x:v>
      </x:c>
      <x:c r="G612" s="41" t="n">
        <x:v>1615.076445</x:v>
      </x:c>
      <x:c r="H612" s="41" t="n">
        <x:f>IFERROR(E612/ABS(F612),"")</x:f>
        <x:v>0.3410562666490731</x:v>
      </x:c>
      <x:c r="I612" s="41" t="n">
        <x:v>13.234624</x:v>
      </x:c>
      <x:c r="J612" s="41" t="n">
        <x:v>-28.502676</x:v>
      </x:c>
      <x:c r="K612" s="41" t="n">
        <x:v>2905.184463</x:v>
      </x:c>
      <x:c r="L612" s="41" t="n">
        <x:f>IFERROR(I612/ABS(J612),"")</x:f>
        <x:v>0.46432917386423644</x:v>
      </x:c>
      <x:c r="M612" s="41" t="n">
        <x:v>6.802475</x:v>
      </x:c>
      <x:c r="N612" s="41" t="n">
        <x:v>-56.473669</x:v>
      </x:c>
      <x:c r="O612" s="41" t="n">
        <x:v>506.057416</x:v>
      </x:c>
      <x:c r="P612" s="41" t="n">
        <x:f>IFERROR(M612/ABS(N612),"")</x:f>
        <x:v>0.12045392340278087</x:v>
      </x:c>
      <x:c r="Q612" s="41" t="str">
        <x:f>IF(L612&gt;=MAX(H612,P612),"Weekly",IF(H612&gt;=MAX(L612,P612),"No weekly","SPY"))</x:f>
        <x:v>Weekly</x:v>
      </x:c>
      <x:c r="R612" s="41" t="n">
        <x:f>IFERROR(L612-P612,"")</x:f>
        <x:v>0.34387525046145556</x:v>
      </x:c>
      <x:c r="S612" s="41" t="n">
        <x:f>IFERROR(H612-P612,"")</x:f>
        <x:v>0.22060234324629224</x:v>
      </x:c>
      <x:c r="T612" s="41" t="n">
        <x:f>IFERROR(I612-M612,"")</x:f>
        <x:v>6.432149</x:v>
      </x:c>
      <x:c r="U612" s="41" t="n">
        <x:f>IFERROR(E612-M612,"")</x:f>
        <x:v>4.136003</x:v>
      </x:c>
      <x:c r="V612" s="41" t="str">
        <x:f>IF(AND(I612&gt;M612,J612&gt;N612),"Sí","No")</x:f>
        <x:v>Sí</x:v>
      </x:c>
      <x:c r="W612" s="41" t="str">
        <x:f>IF(AND(E612&gt;M612,F612&gt;N612),"Sí","No")</x:f>
        <x:v>Sí</x:v>
      </x:c>
      <x:c r="X612" s="41" t="str">
        <x:f>IF(L612&gt;=H612,"Weekly","No weekly")</x:f>
        <x:v>Weekly</x:v>
      </x:c>
      <x:c r="Y612" s="41" t="n">
        <x:f>IFERROR(I612-E612,"")</x:f>
        <x:v>2.2961460000000002</x:v>
      </x:c>
      <x:c r="Z612" s="41" t="n">
        <x:f>IFERROR(J612-F612,"")</x:f>
        <x:v>3.569679999999998</x:v>
      </x:c>
      <x:c r="AA612" s="41" t="n">
        <x:v>11997</x:v>
      </x:c>
      <x:c r="AB612" s="41" t="n">
        <x:v>5989</x:v>
      </x:c>
    </x:row>
    <x:row r="613">
      <x:c r="A613" s="41" t="str">
        <x:v>HYP_REFINE_AUTO002_TOPN_6_V1_DDGRID_LONG_R12_C20_E75_CR40_REDD_RECOVERED_DD8_SLNONE</x:v>
      </x:c>
      <x:c r="B613" s="41" t="str">
        <x:v>dd_guard_grid</x:v>
      </x:c>
      <x:c r="C613" s="41" t="str">
        <x:v>1999-01-04</x:v>
      </x:c>
      <x:c r="D613" s="41" t="str">
        <x:v>2026-05-22</x:v>
      </x:c>
      <x:c r="E613" s="41" t="n">
        <x:v>11.421155</x:v>
      </x:c>
      <x:c r="F613" s="41" t="n">
        <x:v>-32.489861</x:v>
      </x:c>
      <x:c r="G613" s="41" t="n">
        <x:v>1831.542817</x:v>
      </x:c>
      <x:c r="H613" s="41" t="n">
        <x:f>IFERROR(E613/ABS(F613),"")</x:f>
        <x:v>0.3515298203337959</x:v>
      </x:c>
      <x:c r="I613" s="41" t="n">
        <x:v>13.245524</x:v>
      </x:c>
      <x:c r="J613" s="41" t="n">
        <x:v>-28.526209</x:v>
      </x:c>
      <x:c r="K613" s="41" t="n">
        <x:v>2913.114399</x:v>
      </x:c>
      <x:c r="L613" s="41" t="n">
        <x:f>IFERROR(I613/ABS(J613),"")</x:f>
        <x:v>0.46432822531728624</x:v>
      </x:c>
      <x:c r="M613" s="41" t="n">
        <x:v>6.802475</x:v>
      </x:c>
      <x:c r="N613" s="41" t="n">
        <x:v>-56.473669</x:v>
      </x:c>
      <x:c r="O613" s="41" t="n">
        <x:v>506.057416</x:v>
      </x:c>
      <x:c r="P613" s="41" t="n">
        <x:f>IFERROR(M613/ABS(N613),"")</x:f>
        <x:v>0.12045392340278087</x:v>
      </x:c>
      <x:c r="Q613" s="41" t="str">
        <x:f>IF(L613&gt;=MAX(H613,P613),"Weekly",IF(H613&gt;=MAX(L613,P613),"No weekly","SPY"))</x:f>
        <x:v>Weekly</x:v>
      </x:c>
      <x:c r="R613" s="41" t="n">
        <x:f>IFERROR(L613-P613,"")</x:f>
        <x:v>0.34387430191450535</x:v>
      </x:c>
      <x:c r="S613" s="41" t="n">
        <x:f>IFERROR(H613-P613,"")</x:f>
        <x:v>0.231075896931015</x:v>
      </x:c>
      <x:c r="T613" s="41" t="n">
        <x:f>IFERROR(I613-M613,"")</x:f>
        <x:v>6.443048999999999</x:v>
      </x:c>
      <x:c r="U613" s="41" t="n">
        <x:f>IFERROR(E613-M613,"")</x:f>
        <x:v>4.61868</x:v>
      </x:c>
      <x:c r="V613" s="41" t="str">
        <x:f>IF(AND(I613&gt;M613,J613&gt;N613),"Sí","No")</x:f>
        <x:v>Sí</x:v>
      </x:c>
      <x:c r="W613" s="41" t="str">
        <x:f>IF(AND(E613&gt;M613,F613&gt;N613),"Sí","No")</x:f>
        <x:v>Sí</x:v>
      </x:c>
      <x:c r="X613" s="41" t="str">
        <x:f>IF(L613&gt;=H613,"Weekly","No weekly")</x:f>
        <x:v>Weekly</x:v>
      </x:c>
      <x:c r="Y613" s="41" t="n">
        <x:f>IFERROR(I613-E613,"")</x:f>
        <x:v>1.824368999999999</x:v>
      </x:c>
      <x:c r="Z613" s="41" t="n">
        <x:f>IFERROR(J613-F613,"")</x:f>
        <x:v>3.963651999999996</x:v>
      </x:c>
      <x:c r="AA613" s="41" t="n">
        <x:v>12055</x:v>
      </x:c>
      <x:c r="AB613" s="41" t="n">
        <x:v>6437</x:v>
      </x:c>
    </x:row>
    <x:row r="614">
      <x:c r="A614" s="41" t="str">
        <x:v>HYP_REFINE_AUTO002_TOPN_6_V1_DDGRID_LONG_R12_C20_E75_CR40_REDD_RECOVERED_DD9_SL18</x:v>
      </x:c>
      <x:c r="B614" s="41" t="str">
        <x:v>dd_guard_grid</x:v>
      </x:c>
      <x:c r="C614" s="41" t="str">
        <x:v>1999-01-04</x:v>
      </x:c>
      <x:c r="D614" s="41" t="str">
        <x:v>2026-05-22</x:v>
      </x:c>
      <x:c r="E614" s="41" t="n">
        <x:v>9.694485</x:v>
      </x:c>
      <x:c r="F614" s="41" t="n">
        <x:v>-31.826663</x:v>
      </x:c>
      <x:c r="G614" s="41" t="n">
        <x:v>1159.504391</x:v>
      </x:c>
      <x:c r="H614" s="41" t="n">
        <x:f>IFERROR(E614/ABS(F614),"")</x:f>
        <x:v>0.3046026220216678</x:v>
      </x:c>
      <x:c r="I614" s="41" t="n">
        <x:v>12.101601</x:v>
      </x:c>
      <x:c r="J614" s="41" t="n">
        <x:v>-28.89498</x:v>
      </x:c>
      <x:c r="K614" s="41" t="n">
        <x:v>2181.904672</x:v>
      </x:c>
      <x:c r="L614" s="41" t="n">
        <x:f>IFERROR(I614/ABS(J614),"")</x:f>
        <x:v>0.41881326791020446</x:v>
      </x:c>
      <x:c r="M614" s="41" t="n">
        <x:v>6.802475</x:v>
      </x:c>
      <x:c r="N614" s="41" t="n">
        <x:v>-56.473669</x:v>
      </x:c>
      <x:c r="O614" s="41" t="n">
        <x:v>506.057416</x:v>
      </x:c>
      <x:c r="P614" s="41" t="n">
        <x:f>IFERROR(M614/ABS(N614),"")</x:f>
        <x:v>0.12045392340278087</x:v>
      </x:c>
      <x:c r="Q614" s="41" t="str">
        <x:f>IF(L614&gt;=MAX(H614,P614),"Weekly",IF(H614&gt;=MAX(L614,P614),"No weekly","SPY"))</x:f>
        <x:v>Weekly</x:v>
      </x:c>
      <x:c r="R614" s="41" t="n">
        <x:f>IFERROR(L614-P614,"")</x:f>
        <x:v>0.2983593445074236</x:v>
      </x:c>
      <x:c r="S614" s="41" t="n">
        <x:f>IFERROR(H614-P614,"")</x:f>
        <x:v>0.18414869861888694</x:v>
      </x:c>
      <x:c r="T614" s="41" t="n">
        <x:f>IFERROR(I614-M614,"")</x:f>
        <x:v>5.299126</x:v>
      </x:c>
      <x:c r="U614" s="41" t="n">
        <x:f>IFERROR(E614-M614,"")</x:f>
        <x:v>2.89201</x:v>
      </x:c>
      <x:c r="V614" s="41" t="str">
        <x:f>IF(AND(I614&gt;M614,J614&gt;N614),"Sí","No")</x:f>
        <x:v>Sí</x:v>
      </x:c>
      <x:c r="W614" s="41" t="str">
        <x:f>IF(AND(E614&gt;M614,F614&gt;N614),"Sí","No")</x:f>
        <x:v>Sí</x:v>
      </x:c>
      <x:c r="X614" s="41" t="str">
        <x:f>IF(L614&gt;=H614,"Weekly","No weekly")</x:f>
        <x:v>Weekly</x:v>
      </x:c>
      <x:c r="Y614" s="41" t="n">
        <x:f>IFERROR(I614-E614,"")</x:f>
        <x:v>2.4071160000000003</x:v>
      </x:c>
      <x:c r="Z614" s="41" t="n">
        <x:f>IFERROR(J614-F614,"")</x:f>
        <x:v>2.9316829999999996</x:v>
      </x:c>
      <x:c r="AA614" s="41" t="n">
        <x:v>11760</x:v>
      </x:c>
      <x:c r="AB614" s="41" t="n">
        <x:v>6029</x:v>
      </x:c>
    </x:row>
    <x:row r="615">
      <x:c r="A615" s="41" t="str">
        <x:v>HYP_REFINE_AUTO002_TOPN_6_V1_DDGRID_LONG_R12_C20_E75_CR40_REDD_RECOVERED_DD9_SL20</x:v>
      </x:c>
      <x:c r="B615" s="41" t="str">
        <x:v>dd_guard_grid</x:v>
      </x:c>
      <x:c r="C615" s="41" t="str">
        <x:v>1999-01-04</x:v>
      </x:c>
      <x:c r="D615" s="41" t="str">
        <x:v>2026-05-22</x:v>
      </x:c>
      <x:c r="E615" s="41" t="n">
        <x:v>11.112884</x:v>
      </x:c>
      <x:c r="F615" s="41" t="n">
        <x:v>-31.728289</x:v>
      </x:c>
      <x:c r="G615" s="41" t="n">
        <x:v>1690.447297</x:v>
      </x:c>
      <x:c r="H615" s="41" t="n">
        <x:f>IFERROR(E615/ABS(F615),"")</x:f>
        <x:v>0.35025160039357933</x:v>
      </x:c>
      <x:c r="I615" s="41" t="n">
        <x:v>13.127926</x:v>
      </x:c>
      <x:c r="J615" s="41" t="n">
        <x:v>-28.480174</x:v>
      </x:c>
      <x:c r="K615" s="41" t="n">
        <x:v>2828.612131</x:v>
      </x:c>
      <x:c r="L615" s="41" t="n">
        <x:f>IFERROR(I615/ABS(J615),"")</x:f>
        <x:v>0.4609496416700263</x:v>
      </x:c>
      <x:c r="M615" s="41" t="n">
        <x:v>6.802475</x:v>
      </x:c>
      <x:c r="N615" s="41" t="n">
        <x:v>-56.473669</x:v>
      </x:c>
      <x:c r="O615" s="41" t="n">
        <x:v>506.057416</x:v>
      </x:c>
      <x:c r="P615" s="41" t="n">
        <x:f>IFERROR(M615/ABS(N615),"")</x:f>
        <x:v>0.12045392340278087</x:v>
      </x:c>
      <x:c r="Q615" s="41" t="str">
        <x:f>IF(L615&gt;=MAX(H615,P615),"Weekly",IF(H615&gt;=MAX(L615,P615),"No weekly","SPY"))</x:f>
        <x:v>Weekly</x:v>
      </x:c>
      <x:c r="R615" s="41" t="n">
        <x:f>IFERROR(L615-P615,"")</x:f>
        <x:v>0.3404957182672454</x:v>
      </x:c>
      <x:c r="S615" s="41" t="n">
        <x:f>IFERROR(H615-P615,"")</x:f>
        <x:v>0.22979767699079845</x:v>
      </x:c>
      <x:c r="T615" s="41" t="n">
        <x:f>IFERROR(I615-M615,"")</x:f>
        <x:v>6.325451</x:v>
      </x:c>
      <x:c r="U615" s="41" t="n">
        <x:f>IFERROR(E615-M615,"")</x:f>
        <x:v>4.310408999999999</x:v>
      </x:c>
      <x:c r="V615" s="41" t="str">
        <x:f>IF(AND(I615&gt;M615,J615&gt;N615),"Sí","No")</x:f>
        <x:v>Sí</x:v>
      </x:c>
      <x:c r="W615" s="41" t="str">
        <x:f>IF(AND(E615&gt;M615,F615&gt;N615),"Sí","No")</x:f>
        <x:v>Sí</x:v>
      </x:c>
      <x:c r="X615" s="41" t="str">
        <x:f>IF(L615&gt;=H615,"Weekly","No weekly")</x:f>
        <x:v>Weekly</x:v>
      </x:c>
      <x:c r="Y615" s="41" t="n">
        <x:f>IFERROR(I615-E615,"")</x:f>
        <x:v>2.015042000000001</x:v>
      </x:c>
      <x:c r="Z615" s="41" t="n">
        <x:f>IFERROR(J615-F615,"")</x:f>
        <x:v>3.2481149999999985</x:v>
      </x:c>
      <x:c r="AA615" s="41" t="n">
        <x:v>11475</x:v>
      </x:c>
      <x:c r="AB615" s="41" t="n">
        <x:v>6072</x:v>
      </x:c>
    </x:row>
    <x:row r="616">
      <x:c r="A616" s="41" t="str">
        <x:v>HYP_REFINE_AUTO002_TOPN_6_V1_DDGRID_LONG_R12_C20_E75_CR40_REDD_RECOVERED_DD9_SL22</x:v>
      </x:c>
      <x:c r="B616" s="41" t="str">
        <x:v>dd_guard_grid</x:v>
      </x:c>
      <x:c r="C616" s="41" t="str">
        <x:v>1999-01-04</x:v>
      </x:c>
      <x:c r="D616" s="41" t="str">
        <x:v>2026-05-22</x:v>
      </x:c>
      <x:c r="E616" s="41" t="n">
        <x:v>10.270963</x:v>
      </x:c>
      <x:c r="F616" s="41" t="n">
        <x:v>-33.402649</x:v>
      </x:c>
      <x:c r="G616" s="41" t="n">
        <x:v>1353.862717</x:v>
      </x:c>
      <x:c r="H616" s="41" t="n">
        <x:f>IFERROR(E616/ABS(F616),"")</x:f>
        <x:v>0.30748947486170936</x:v>
      </x:c>
      <x:c r="I616" s="41" t="n">
        <x:v>12.814692</x:v>
      </x:c>
      <x:c r="J616" s="41" t="n">
        <x:v>-28.364536</x:v>
      </x:c>
      <x:c r="K616" s="41" t="n">
        <x:v>2614.524174</x:v>
      </x:c>
      <x:c r="L616" s="41" t="n">
        <x:f>IFERROR(I616/ABS(J616),"")</x:f>
        <x:v>0.451785708745597</x:v>
      </x:c>
      <x:c r="M616" s="41" t="n">
        <x:v>6.802475</x:v>
      </x:c>
      <x:c r="N616" s="41" t="n">
        <x:v>-56.473669</x:v>
      </x:c>
      <x:c r="O616" s="41" t="n">
        <x:v>506.057416</x:v>
      </x:c>
      <x:c r="P616" s="41" t="n">
        <x:f>IFERROR(M616/ABS(N616),"")</x:f>
        <x:v>0.12045392340278087</x:v>
      </x:c>
      <x:c r="Q616" s="41" t="str">
        <x:f>IF(L616&gt;=MAX(H616,P616),"Weekly",IF(H616&gt;=MAX(L616,P616),"No weekly","SPY"))</x:f>
        <x:v>Weekly</x:v>
      </x:c>
      <x:c r="R616" s="41" t="n">
        <x:f>IFERROR(L616-P616,"")</x:f>
        <x:v>0.3313317853428161</x:v>
      </x:c>
      <x:c r="S616" s="41" t="n">
        <x:f>IFERROR(H616-P616,"")</x:f>
        <x:v>0.18703555145892847</x:v>
      </x:c>
      <x:c r="T616" s="41" t="n">
        <x:f>IFERROR(I616-M616,"")</x:f>
        <x:v>6.012217000000001</x:v>
      </x:c>
      <x:c r="U616" s="41" t="n">
        <x:f>IFERROR(E616-M616,"")</x:f>
        <x:v>3.468488</x:v>
      </x:c>
      <x:c r="V616" s="41" t="str">
        <x:f>IF(AND(I616&gt;M616,J616&gt;N616),"Sí","No")</x:f>
        <x:v>Sí</x:v>
      </x:c>
      <x:c r="W616" s="41" t="str">
        <x:f>IF(AND(E616&gt;M616,F616&gt;N616),"Sí","No")</x:f>
        <x:v>Sí</x:v>
      </x:c>
      <x:c r="X616" s="41" t="str">
        <x:f>IF(L616&gt;=H616,"Weekly","No weekly")</x:f>
        <x:v>Weekly</x:v>
      </x:c>
      <x:c r="Y616" s="41" t="n">
        <x:f>IFERROR(I616-E616,"")</x:f>
        <x:v>2.543729000000001</x:v>
      </x:c>
      <x:c r="Z616" s="41" t="n">
        <x:f>IFERROR(J616-F616,"")</x:f>
        <x:v>5.038112999999996</x:v>
      </x:c>
      <x:c r="AA616" s="41" t="n">
        <x:v>11658</x:v>
      </x:c>
      <x:c r="AB616" s="41" t="n">
        <x:v>6120</x:v>
      </x:c>
    </x:row>
    <x:row r="617">
      <x:c r="A617" s="41" t="str">
        <x:v>HYP_REFINE_AUTO002_TOPN_6_V1_DDGRID_LONG_R12_C20_E75_CR42_REDD_RECOVERED_DD7_SL18</x:v>
      </x:c>
      <x:c r="B617" s="41" t="str">
        <x:v>dd_guard_grid</x:v>
      </x:c>
      <x:c r="C617" s="41" t="str">
        <x:v>1999-01-04</x:v>
      </x:c>
      <x:c r="D617" s="41" t="str">
        <x:v>2026-05-22</x:v>
      </x:c>
      <x:c r="E617" s="41" t="n">
        <x:v>12.105716</x:v>
      </x:c>
      <x:c r="F617" s="41" t="n">
        <x:v>-32.203071</x:v>
      </x:c>
      <x:c r="G617" s="41" t="n">
        <x:v>2184.19912</x:v>
      </x:c>
      <x:c r="H617" s="41" t="n">
        <x:f>IFERROR(E617/ABS(F617),"")</x:f>
        <x:v>0.3759180607340213</x:v>
      </x:c>
      <x:c r="I617" s="41" t="n">
        <x:v>12.083696</x:v>
      </x:c>
      <x:c r="J617" s="41" t="n">
        <x:v>-29.134951</x:v>
      </x:c>
      <x:c r="K617" s="41" t="n">
        <x:v>2171.946956</x:v>
      </x:c>
      <x:c r="L617" s="41" t="n">
        <x:f>IFERROR(I617/ABS(J617),"")</x:f>
        <x:v>0.4147491444210769</x:v>
      </x:c>
      <x:c r="M617" s="41" t="n">
        <x:v>6.802475</x:v>
      </x:c>
      <x:c r="N617" s="41" t="n">
        <x:v>-56.473669</x:v>
      </x:c>
      <x:c r="O617" s="41" t="n">
        <x:v>506.057416</x:v>
      </x:c>
      <x:c r="P617" s="41" t="n">
        <x:f>IFERROR(M617/ABS(N617),"")</x:f>
        <x:v>0.12045392340278087</x:v>
      </x:c>
      <x:c r="Q617" s="41" t="str">
        <x:f>IF(L617&gt;=MAX(H617,P617),"Weekly",IF(H617&gt;=MAX(L617,P617),"No weekly","SPY"))</x:f>
        <x:v>Weekly</x:v>
      </x:c>
      <x:c r="R617" s="41" t="n">
        <x:f>IFERROR(L617-P617,"")</x:f>
        <x:v>0.294295221018296</x:v>
      </x:c>
      <x:c r="S617" s="41" t="n">
        <x:f>IFERROR(H617-P617,"")</x:f>
        <x:v>0.2554641373312404</x:v>
      </x:c>
      <x:c r="T617" s="41" t="n">
        <x:f>IFERROR(I617-M617,"")</x:f>
        <x:v>5.2812209999999995</x:v>
      </x:c>
      <x:c r="U617" s="41" t="n">
        <x:f>IFERROR(E617-M617,"")</x:f>
        <x:v>5.303240999999999</x:v>
      </x:c>
      <x:c r="V617" s="41" t="str">
        <x:f>IF(AND(I617&gt;M617,J617&gt;N617),"Sí","No")</x:f>
        <x:v>Sí</x:v>
      </x:c>
      <x:c r="W617" s="41" t="str">
        <x:f>IF(AND(E617&gt;M617,F617&gt;N617),"Sí","No")</x:f>
        <x:v>Sí</x:v>
      </x:c>
      <x:c r="X617" s="41" t="str">
        <x:f>IF(L617&gt;=H617,"Weekly","No weekly")</x:f>
        <x:v>Weekly</x:v>
      </x:c>
      <x:c r="Y617" s="41" t="n">
        <x:f>IFERROR(I617-E617,"")</x:f>
        <x:v>-0.022019999999999484</x:v>
      </x:c>
      <x:c r="Z617" s="41" t="n">
        <x:f>IFERROR(J617-F617,"")</x:f>
        <x:v>3.0681200000000004</x:v>
      </x:c>
      <x:c r="AA617" s="41" t="n">
        <x:v>11692</x:v>
      </x:c>
      <x:c r="AB617" s="41" t="n">
        <x:v>5766</x:v>
      </x:c>
    </x:row>
    <x:row r="618">
      <x:c r="A618" s="41" t="str">
        <x:v>HYP_REFINE_AUTO002_TOPN_6_V1_DDGRID_LONG_R12_C20_E75_CR42_REDD_RECOVERED_DD8_SL20</x:v>
      </x:c>
      <x:c r="B618" s="41" t="str">
        <x:v>dd_guard_grid</x:v>
      </x:c>
      <x:c r="C618" s="41" t="str">
        <x:v>1999-01-04</x:v>
      </x:c>
      <x:c r="D618" s="41" t="str">
        <x:v>2026-05-22</x:v>
      </x:c>
      <x:c r="E618" s="41" t="n">
        <x:v>13.12272</x:v>
      </x:c>
      <x:c r="F618" s="41" t="n">
        <x:v>-32.09887</x:v>
      </x:c>
      <x:c r="G618" s="41" t="n">
        <x:v>2824.92458</x:v>
      </x:c>
      <x:c r="H618" s="41" t="n">
        <x:f>IFERROR(E618/ABS(F618),"")</x:f>
        <x:v>0.4088218681841448</x:v>
      </x:c>
      <x:c r="I618" s="41" t="n">
        <x:v>13.389086</x:v>
      </x:c>
      <x:c r="J618" s="41" t="n">
        <x:v>-28.703432</x:v>
      </x:c>
      <x:c r="K618" s="41" t="n">
        <x:v>3019.460672</x:v>
      </x:c>
      <x:c r="L618" s="41" t="n">
        <x:f>IFERROR(I618/ABS(J618),"")</x:f>
        <x:v>0.4664628954474852</x:v>
      </x:c>
      <x:c r="M618" s="41" t="n">
        <x:v>6.802475</x:v>
      </x:c>
      <x:c r="N618" s="41" t="n">
        <x:v>-56.473669</x:v>
      </x:c>
      <x:c r="O618" s="41" t="n">
        <x:v>506.057416</x:v>
      </x:c>
      <x:c r="P618" s="41" t="n">
        <x:f>IFERROR(M618/ABS(N618),"")</x:f>
        <x:v>0.12045392340278087</x:v>
      </x:c>
      <x:c r="Q618" s="41" t="str">
        <x:f>IF(L618&gt;=MAX(H618,P618),"Weekly",IF(H618&gt;=MAX(L618,P618),"No weekly","SPY"))</x:f>
        <x:v>Weekly</x:v>
      </x:c>
      <x:c r="R618" s="41" t="n">
        <x:f>IFERROR(L618-P618,"")</x:f>
        <x:v>0.3460089720447043</x:v>
      </x:c>
      <x:c r="S618" s="41" t="n">
        <x:f>IFERROR(H618-P618,"")</x:f>
        <x:v>0.2883679447813639</x:v>
      </x:c>
      <x:c r="T618" s="41" t="n">
        <x:f>IFERROR(I618-M618,"")</x:f>
        <x:v>6.586611</x:v>
      </x:c>
      <x:c r="U618" s="41" t="n">
        <x:f>IFERROR(E618-M618,"")</x:f>
        <x:v>6.320244999999999</x:v>
      </x:c>
      <x:c r="V618" s="41" t="str">
        <x:f>IF(AND(I618&gt;M618,J618&gt;N618),"Sí","No")</x:f>
        <x:v>Sí</x:v>
      </x:c>
      <x:c r="W618" s="41" t="str">
        <x:f>IF(AND(E618&gt;M618,F618&gt;N618),"Sí","No")</x:f>
        <x:v>Sí</x:v>
      </x:c>
      <x:c r="X618" s="41" t="str">
        <x:f>IF(L618&gt;=H618,"Weekly","No weekly")</x:f>
        <x:v>Weekly</x:v>
      </x:c>
      <x:c r="Y618" s="41" t="n">
        <x:f>IFERROR(I618-E618,"")</x:f>
        <x:v>0.26636600000000143</x:v>
      </x:c>
      <x:c r="Z618" s="41" t="n">
        <x:f>IFERROR(J618-F618,"")</x:f>
        <x:v>3.3954379999999986</x:v>
      </x:c>
      <x:c r="AA618" s="41" t="n">
        <x:v>11490</x:v>
      </x:c>
      <x:c r="AB618" s="41" t="n">
        <x:v>5768</x:v>
      </x:c>
    </x:row>
    <x:row r="619">
      <x:c r="A619" s="41" t="str">
        <x:v>HYP_REFINE_AUTO002_TOPN_6_V1_DDGRID_LONG_R12_C20_E75_CR42_REDD_RECOVERED_DD8_SL22</x:v>
      </x:c>
      <x:c r="B619" s="41" t="str">
        <x:v>dd_guard_grid</x:v>
      </x:c>
      <x:c r="C619" s="41" t="str">
        <x:v>1999-01-04</x:v>
      </x:c>
      <x:c r="D619" s="41" t="str">
        <x:v>2026-05-22</x:v>
      </x:c>
      <x:c r="E619" s="41" t="n">
        <x:v>10.909672</x:v>
      </x:c>
      <x:c r="F619" s="41" t="n">
        <x:v>-33.918666</x:v>
      </x:c>
      <x:c r="G619" s="41" t="n">
        <x:v>1602.92531</x:v>
      </x:c>
      <x:c r="H619" s="41" t="n">
        <x:f>IFERROR(E619/ABS(F619),"")</x:f>
        <x:v>0.32164213061916996</x:v>
      </x:c>
      <x:c r="I619" s="41" t="n">
        <x:v>13.046052</x:v>
      </x:c>
      <x:c r="J619" s="41" t="n">
        <x:v>-28.582433</x:v>
      </x:c>
      <x:c r="K619" s="41" t="n">
        <x:v>2771.133548</x:v>
      </x:c>
      <x:c r="L619" s="41" t="n">
        <x:f>IFERROR(I619/ABS(J619),"")</x:f>
        <x:v>0.4564360213841837</x:v>
      </x:c>
      <x:c r="M619" s="41" t="n">
        <x:v>6.802475</x:v>
      </x:c>
      <x:c r="N619" s="41" t="n">
        <x:v>-56.473669</x:v>
      </x:c>
      <x:c r="O619" s="41" t="n">
        <x:v>506.057416</x:v>
      </x:c>
      <x:c r="P619" s="41" t="n">
        <x:f>IFERROR(M619/ABS(N619),"")</x:f>
        <x:v>0.12045392340278087</x:v>
      </x:c>
      <x:c r="Q619" s="41" t="str">
        <x:f>IF(L619&gt;=MAX(H619,P619),"Weekly",IF(H619&gt;=MAX(L619,P619),"No weekly","SPY"))</x:f>
        <x:v>Weekly</x:v>
      </x:c>
      <x:c r="R619" s="41" t="n">
        <x:f>IFERROR(L619-P619,"")</x:f>
        <x:v>0.3359820979814028</x:v>
      </x:c>
      <x:c r="S619" s="41" t="n">
        <x:f>IFERROR(H619-P619,"")</x:f>
        <x:v>0.20118820721638908</x:v>
      </x:c>
      <x:c r="T619" s="41" t="n">
        <x:f>IFERROR(I619-M619,"")</x:f>
        <x:v>6.243576999999999</x:v>
      </x:c>
      <x:c r="U619" s="41" t="n">
        <x:f>IFERROR(E619-M619,"")</x:f>
        <x:v>4.107197</x:v>
      </x:c>
      <x:c r="V619" s="41" t="str">
        <x:f>IF(AND(I619&gt;M619,J619&gt;N619),"Sí","No")</x:f>
        <x:v>Sí</x:v>
      </x:c>
      <x:c r="W619" s="41" t="str">
        <x:f>IF(AND(E619&gt;M619,F619&gt;N619),"Sí","No")</x:f>
        <x:v>Sí</x:v>
      </x:c>
      <x:c r="X619" s="41" t="str">
        <x:f>IF(L619&gt;=H619,"Weekly","No weekly")</x:f>
        <x:v>Weekly</x:v>
      </x:c>
      <x:c r="Y619" s="41" t="n">
        <x:f>IFERROR(I619-E619,"")</x:f>
        <x:v>2.136379999999999</x:v>
      </x:c>
      <x:c r="Z619" s="41" t="n">
        <x:f>IFERROR(J619-F619,"")</x:f>
        <x:v>5.336233</x:v>
      </x:c>
      <x:c r="AA619" s="41" t="n">
        <x:v>11747</x:v>
      </x:c>
      <x:c r="AB619" s="41" t="n">
        <x:v>5909</x:v>
      </x:c>
    </x:row>
    <x:row r="620">
      <x:c r="A620" s="41" t="str">
        <x:v>HYP_REFINE_AUTO002_TOPN_6_V1_DDGRID_LONG_R12_C20_E75_CR45_REDD_RECOVERED_DD8_SL20</x:v>
      </x:c>
      <x:c r="B620" s="41" t="str">
        <x:v>dd_guard_grid</x:v>
      </x:c>
      <x:c r="C620" s="41" t="str">
        <x:v>1999-01-04</x:v>
      </x:c>
      <x:c r="D620" s="41" t="str">
        <x:v>2026-05-22</x:v>
      </x:c>
      <x:c r="E620" s="41" t="n">
        <x:v>13.277576</x:v>
      </x:c>
      <x:c r="F620" s="41" t="n">
        <x:v>-32.6389</x:v>
      </x:c>
      <x:c r="G620" s="41" t="n">
        <x:v>2936.550247</x:v>
      </x:c>
      <x:c r="H620" s="41" t="n">
        <x:f>IFERROR(E620/ABS(F620),"")</x:f>
        <x:v>0.40680219002478635</x:v>
      </x:c>
      <x:c r="I620" s="41" t="n">
        <x:v>13.976136</x:v>
      </x:c>
      <x:c r="J620" s="41" t="n">
        <x:v>-29.27391</x:v>
      </x:c>
      <x:c r="K620" s="41" t="n">
        <x:v>3493.193726</x:v>
      </x:c>
      <x:c r="L620" s="41" t="n">
        <x:f>IFERROR(I620/ABS(J620),"")</x:f>
        <x:v>0.47742634994778627</x:v>
      </x:c>
      <x:c r="M620" s="41" t="n">
        <x:v>6.802475</x:v>
      </x:c>
      <x:c r="N620" s="41" t="n">
        <x:v>-56.473669</x:v>
      </x:c>
      <x:c r="O620" s="41" t="n">
        <x:v>506.057416</x:v>
      </x:c>
      <x:c r="P620" s="41" t="n">
        <x:f>IFERROR(M620/ABS(N620),"")</x:f>
        <x:v>0.12045392340278087</x:v>
      </x:c>
      <x:c r="Q620" s="41" t="str">
        <x:f>IF(L620&gt;=MAX(H620,P620),"Weekly",IF(H620&gt;=MAX(L620,P620),"No weekly","SPY"))</x:f>
        <x:v>Weekly</x:v>
      </x:c>
      <x:c r="R620" s="41" t="n">
        <x:f>IFERROR(L620-P620,"")</x:f>
        <x:v>0.3569724265450054</x:v>
      </x:c>
      <x:c r="S620" s="41" t="n">
        <x:f>IFERROR(H620-P620,"")</x:f>
        <x:v>0.28634826662200547</x:v>
      </x:c>
      <x:c r="T620" s="41" t="n">
        <x:f>IFERROR(I620-M620,"")</x:f>
        <x:v>7.173661</x:v>
      </x:c>
      <x:c r="U620" s="41" t="n">
        <x:f>IFERROR(E620-M620,"")</x:f>
        <x:v>6.4751009999999996</x:v>
      </x:c>
      <x:c r="V620" s="41" t="str">
        <x:f>IF(AND(I620&gt;M620,J620&gt;N620),"Sí","No")</x:f>
        <x:v>Sí</x:v>
      </x:c>
      <x:c r="W620" s="41" t="str">
        <x:f>IF(AND(E620&gt;M620,F620&gt;N620),"Sí","No")</x:f>
        <x:v>Sí</x:v>
      </x:c>
      <x:c r="X620" s="41" t="str">
        <x:f>IF(L620&gt;=H620,"Weekly","No weekly")</x:f>
        <x:v>Weekly</x:v>
      </x:c>
      <x:c r="Y620" s="41" t="n">
        <x:f>IFERROR(I620-E620,"")</x:f>
        <x:v>0.6985600000000005</x:v>
      </x:c>
      <x:c r="Z620" s="41" t="n">
        <x:f>IFERROR(J620-F620,"")</x:f>
        <x:v>3.364989999999999</x:v>
      </x:c>
      <x:c r="AA620" s="41" t="n">
        <x:v>11399</x:v>
      </x:c>
      <x:c r="AB620" s="41" t="n">
        <x:v>5661</x:v>
      </x:c>
    </x:row>
    <x:row r="621">
      <x:c r="A621" s="41" t="str">
        <x:v>HYP_REFINE_AUTO002_TOPN_6_V1_DDGRID_LONG_R12_C20_E78_CR40_REDD_RECOVERED_DD8_SL20</x:v>
      </x:c>
      <x:c r="B621" s="41" t="str">
        <x:v>dd_guard_grid</x:v>
      </x:c>
      <x:c r="C621" s="41" t="str">
        <x:v>1999-01-04</x:v>
      </x:c>
      <x:c r="D621" s="41" t="str">
        <x:v>2026-05-22</x:v>
      </x:c>
      <x:c r="E621" s="41" t="n">
        <x:v>11.267842</x:v>
      </x:c>
      <x:c r="F621" s="41" t="n">
        <x:v>-32.626119</x:v>
      </x:c>
      <x:c r="G621" s="41" t="n">
        <x:v>1760.082596</x:v>
      </x:c>
      <x:c r="H621" s="41" t="n">
        <x:f>IFERROR(E621/ABS(F621),"")</x:f>
        <x:v>0.3453626218919878</x:v>
      </x:c>
      <x:c r="I621" s="41" t="n">
        <x:v>12.935418</x:v>
      </x:c>
      <x:c r="J621" s="41" t="n">
        <x:v>-29.309086</x:v>
      </x:c>
      <x:c r="K621" s="41" t="n">
        <x:v>2695.188098</x:v>
      </x:c>
      <x:c r="L621" s="41" t="n">
        <x:f>IFERROR(I621/ABS(J621),"")</x:f>
        <x:v>0.4413449808704372</x:v>
      </x:c>
      <x:c r="M621" s="41" t="n">
        <x:v>6.802475</x:v>
      </x:c>
      <x:c r="N621" s="41" t="n">
        <x:v>-56.473669</x:v>
      </x:c>
      <x:c r="O621" s="41" t="n">
        <x:v>506.057416</x:v>
      </x:c>
      <x:c r="P621" s="41" t="n">
        <x:f>IFERROR(M621/ABS(N621),"")</x:f>
        <x:v>0.12045392340278087</x:v>
      </x:c>
      <x:c r="Q621" s="41" t="str">
        <x:f>IF(L621&gt;=MAX(H621,P621),"Weekly",IF(H621&gt;=MAX(L621,P621),"No weekly","SPY"))</x:f>
        <x:v>Weekly</x:v>
      </x:c>
      <x:c r="R621" s="41" t="n">
        <x:f>IFERROR(L621-P621,"")</x:f>
        <x:v>0.32089105746765634</x:v>
      </x:c>
      <x:c r="S621" s="41" t="n">
        <x:f>IFERROR(H621-P621,"")</x:f>
        <x:v>0.22490869848920692</x:v>
      </x:c>
      <x:c r="T621" s="41" t="n">
        <x:f>IFERROR(I621-M621,"")</x:f>
        <x:v>6.132943</x:v>
      </x:c>
      <x:c r="U621" s="41" t="n">
        <x:f>IFERROR(E621-M621,"")</x:f>
        <x:v>4.465367</x:v>
      </x:c>
      <x:c r="V621" s="41" t="str">
        <x:f>IF(AND(I621&gt;M621,J621&gt;N621),"Sí","No")</x:f>
        <x:v>Sí</x:v>
      </x:c>
      <x:c r="W621" s="41" t="str">
        <x:f>IF(AND(E621&gt;M621,F621&gt;N621),"Sí","No")</x:f>
        <x:v>Sí</x:v>
      </x:c>
      <x:c r="X621" s="41" t="str">
        <x:f>IF(L621&gt;=H621,"Weekly","No weekly")</x:f>
        <x:v>Weekly</x:v>
      </x:c>
      <x:c r="Y621" s="41" t="n">
        <x:f>IFERROR(I621-E621,"")</x:f>
        <x:v>1.6675760000000004</x:v>
      </x:c>
      <x:c r="Z621" s="41" t="n">
        <x:f>IFERROR(J621-F621,"")</x:f>
        <x:v>3.317033000000002</x:v>
      </x:c>
      <x:c r="AA621" s="41" t="n">
        <x:v>11782</x:v>
      </x:c>
      <x:c r="AB621" s="41" t="n">
        <x:v>6019</x:v>
      </x:c>
    </x:row>
    <x:row r="622">
      <x:c r="A622" s="41" t="str">
        <x:v>HYP_REFINE_AUTO002_TOPN_6_V1_DDGRID_LONG_R12_C20_E78_CR40_REDD_RECOVERED_DD8_SL22</x:v>
      </x:c>
      <x:c r="B622" s="41" t="str">
        <x:v>dd_guard_grid</x:v>
      </x:c>
      <x:c r="C622" s="41" t="str">
        <x:v>1999-01-04</x:v>
      </x:c>
      <x:c r="D622" s="41" t="str">
        <x:v>2026-05-22</x:v>
      </x:c>
      <x:c r="E622" s="41" t="n">
        <x:v>10.889341</x:v>
      </x:c>
      <x:c r="F622" s="41" t="n">
        <x:v>-33.571423</x:v>
      </x:c>
      <x:c r="G622" s="41" t="n">
        <x:v>1594.399416</x:v>
      </x:c>
      <x:c r="H622" s="41" t="n">
        <x:f>IFERROR(E622/ABS(F622),"")</x:f>
        <x:v>0.32436340276669234</x:v>
      </x:c>
      <x:c r="I622" s="41" t="n">
        <x:v>12.021379</x:v>
      </x:c>
      <x:c r="J622" s="41" t="n">
        <x:v>-29.194788</x:v>
      </x:c>
      <x:c r="K622" s="41" t="n">
        <x:v>2137.615381</x:v>
      </x:c>
      <x:c r="L622" s="41" t="n">
        <x:f>IFERROR(I622/ABS(J622),"")</x:f>
        <x:v>0.41176455879727575</x:v>
      </x:c>
      <x:c r="M622" s="41" t="n">
        <x:v>6.802475</x:v>
      </x:c>
      <x:c r="N622" s="41" t="n">
        <x:v>-56.473669</x:v>
      </x:c>
      <x:c r="O622" s="41" t="n">
        <x:v>506.057416</x:v>
      </x:c>
      <x:c r="P622" s="41" t="n">
        <x:f>IFERROR(M622/ABS(N622),"")</x:f>
        <x:v>0.12045392340278087</x:v>
      </x:c>
      <x:c r="Q622" s="41" t="str">
        <x:f>IF(L622&gt;=MAX(H622,P622),"Weekly",IF(H622&gt;=MAX(L622,P622),"No weekly","SPY"))</x:f>
        <x:v>Weekly</x:v>
      </x:c>
      <x:c r="R622" s="41" t="n">
        <x:f>IFERROR(L622-P622,"")</x:f>
        <x:v>0.29131063539449487</x:v>
      </x:c>
      <x:c r="S622" s="41" t="n">
        <x:f>IFERROR(H622-P622,"")</x:f>
        <x:v>0.20390947936391146</x:v>
      </x:c>
      <x:c r="T622" s="41" t="n">
        <x:f>IFERROR(I622-M622,"")</x:f>
        <x:v>5.218903999999999</x:v>
      </x:c>
      <x:c r="U622" s="41" t="n">
        <x:f>IFERROR(E622-M622,"")</x:f>
        <x:v>4.086866</x:v>
      </x:c>
      <x:c r="V622" s="41" t="str">
        <x:f>IF(AND(I622&gt;M622,J622&gt;N622),"Sí","No")</x:f>
        <x:v>Sí</x:v>
      </x:c>
      <x:c r="W622" s="41" t="str">
        <x:f>IF(AND(E622&gt;M622,F622&gt;N622),"Sí","No")</x:f>
        <x:v>Sí</x:v>
      </x:c>
      <x:c r="X622" s="41" t="str">
        <x:f>IF(L622&gt;=H622,"Weekly","No weekly")</x:f>
        <x:v>Weekly</x:v>
      </x:c>
      <x:c r="Y622" s="41" t="n">
        <x:f>IFERROR(I622-E622,"")</x:f>
        <x:v>1.1320379999999997</x:v>
      </x:c>
      <x:c r="Z622" s="41" t="n">
        <x:f>IFERROR(J622-F622,"")</x:f>
        <x:v>4.376635000000004</x:v>
      </x:c>
      <x:c r="AA622" s="41" t="n">
        <x:v>12108</x:v>
      </x:c>
      <x:c r="AB622" s="41" t="n">
        <x:v>6240</x:v>
      </x:c>
    </x:row>
    <x:row r="623">
      <x:c r="A623" s="41" t="str">
        <x:v>HYP_REFINE_AUTO002_TOPN_6_V1_DDGRID_LONG_R12_C20_E80_CR40_REDD_RECOVERED_DD8_SL20</x:v>
      </x:c>
      <x:c r="B623" s="41" t="str">
        <x:v>dd_guard_grid</x:v>
      </x:c>
      <x:c r="C623" s="41" t="str">
        <x:v>1999-01-04</x:v>
      </x:c>
      <x:c r="D623" s="41" t="str">
        <x:v>2026-05-22</x:v>
      </x:c>
      <x:c r="E623" s="41" t="n">
        <x:v>11.584866</x:v>
      </x:c>
      <x:c r="F623" s="41" t="n">
        <x:v>-32.757889</x:v>
      </x:c>
      <x:c r="G623" s="41" t="n">
        <x:v>1910.768092</x:v>
      </x:c>
      <x:c r="H623" s="41" t="n">
        <x:f>IFERROR(E623/ABS(F623),"")</x:f>
        <x:v>0.3536511769729728</x:v>
      </x:c>
      <x:c r="I623" s="41" t="n">
        <x:v>13.39821</x:v>
      </x:c>
      <x:c r="J623" s="41" t="n">
        <x:v>-28.820795</x:v>
      </x:c>
      <x:c r="K623" s="41" t="n">
        <x:v>3026.340177</x:v>
      </x:c>
      <x:c r="L623" s="41" t="n">
        <x:f>IFERROR(I623/ABS(J623),"")</x:f>
        <x:v>0.46487995907121926</x:v>
      </x:c>
      <x:c r="M623" s="41" t="n">
        <x:v>6.802475</x:v>
      </x:c>
      <x:c r="N623" s="41" t="n">
        <x:v>-56.473669</x:v>
      </x:c>
      <x:c r="O623" s="41" t="n">
        <x:v>506.057416</x:v>
      </x:c>
      <x:c r="P623" s="41" t="n">
        <x:f>IFERROR(M623/ABS(N623),"")</x:f>
        <x:v>0.12045392340278087</x:v>
      </x:c>
      <x:c r="Q623" s="41" t="str">
        <x:f>IF(L623&gt;=MAX(H623,P623),"Weekly",IF(H623&gt;=MAX(L623,P623),"No weekly","SPY"))</x:f>
        <x:v>Weekly</x:v>
      </x:c>
      <x:c r="R623" s="41" t="n">
        <x:f>IFERROR(L623-P623,"")</x:f>
        <x:v>0.3444260356684384</x:v>
      </x:c>
      <x:c r="S623" s="41" t="n">
        <x:f>IFERROR(H623-P623,"")</x:f>
        <x:v>0.23319725357019194</x:v>
      </x:c>
      <x:c r="T623" s="41" t="n">
        <x:f>IFERROR(I623-M623,"")</x:f>
        <x:v>6.595735</x:v>
      </x:c>
      <x:c r="U623" s="41" t="n">
        <x:f>IFERROR(E623-M623,"")</x:f>
        <x:v>4.782391</x:v>
      </x:c>
      <x:c r="V623" s="41" t="str">
        <x:f>IF(AND(I623&gt;M623,J623&gt;N623),"Sí","No")</x:f>
        <x:v>Sí</x:v>
      </x:c>
      <x:c r="W623" s="41" t="str">
        <x:f>IF(AND(E623&gt;M623,F623&gt;N623),"Sí","No")</x:f>
        <x:v>Sí</x:v>
      </x:c>
      <x:c r="X623" s="41" t="str">
        <x:f>IF(L623&gt;=H623,"Weekly","No weekly")</x:f>
        <x:v>Weekly</x:v>
      </x:c>
      <x:c r="Y623" s="41" t="n">
        <x:f>IFERROR(I623-E623,"")</x:f>
        <x:v>1.8133440000000007</x:v>
      </x:c>
      <x:c r="Z623" s="41" t="n">
        <x:f>IFERROR(J623-F623,"")</x:f>
        <x:v>3.9370939999999983</x:v>
      </x:c>
      <x:c r="AA623" s="41" t="n">
        <x:v>11700</x:v>
      </x:c>
      <x:c r="AB623" s="41" t="n">
        <x:v>5849</x:v>
      </x:c>
    </x:row>
    <x:row r="624">
      <x:c r="A624" s="41" t="str">
        <x:v>HYP_REFINE_AUTO002_TOPN_6_V1_DDGRID_LONG_R12_C21_E70_CR40_REDD_RECOVERED_DD8_SL20</x:v>
      </x:c>
      <x:c r="B624" s="41" t="str">
        <x:v>dd_guard_grid</x:v>
      </x:c>
      <x:c r="C624" s="41" t="str">
        <x:v>1999-01-04</x:v>
      </x:c>
      <x:c r="D624" s="41" t="str">
        <x:v>2026-05-22</x:v>
      </x:c>
      <x:c r="E624" s="41" t="n">
        <x:v>13.287429</x:v>
      </x:c>
      <x:c r="F624" s="41" t="n">
        <x:v>-32.198062</x:v>
      </x:c>
      <x:c r="G624" s="41" t="n">
        <x:v>2943.789843</x:v>
      </x:c>
      <x:c r="H624" s="41" t="n">
        <x:f>IFERROR(E624/ABS(F624),"")</x:f>
        <x:v>0.4126779121053932</x:v>
      </x:c>
      <x:c r="I624" s="41" t="n">
        <x:v>13.386814</x:v>
      </x:c>
      <x:c r="J624" s="41" t="n">
        <x:v>-28.682723</x:v>
      </x:c>
      <x:c r="K624" s="41" t="n">
        <x:v>3017.750214</x:v>
      </x:c>
      <x:c r="L624" s="41" t="n">
        <x:f>IFERROR(I624/ABS(J624),"")</x:f>
        <x:v>0.4667204714140983</x:v>
      </x:c>
      <x:c r="M624" s="41" t="n">
        <x:v>6.802475</x:v>
      </x:c>
      <x:c r="N624" s="41" t="n">
        <x:v>-56.473669</x:v>
      </x:c>
      <x:c r="O624" s="41" t="n">
        <x:v>506.057416</x:v>
      </x:c>
      <x:c r="P624" s="41" t="n">
        <x:f>IFERROR(M624/ABS(N624),"")</x:f>
        <x:v>0.12045392340278087</x:v>
      </x:c>
      <x:c r="Q624" s="41" t="str">
        <x:f>IF(L624&gt;=MAX(H624,P624),"Weekly",IF(H624&gt;=MAX(L624,P624),"No weekly","SPY"))</x:f>
        <x:v>Weekly</x:v>
      </x:c>
      <x:c r="R624" s="41" t="n">
        <x:f>IFERROR(L624-P624,"")</x:f>
        <x:v>0.3462665480113174</x:v>
      </x:c>
      <x:c r="S624" s="41" t="n">
        <x:f>IFERROR(H624-P624,"")</x:f>
        <x:v>0.2922239887026123</x:v>
      </x:c>
      <x:c r="T624" s="41" t="n">
        <x:f>IFERROR(I624-M624,"")</x:f>
        <x:v>6.584338999999999</x:v>
      </x:c>
      <x:c r="U624" s="41" t="n">
        <x:f>IFERROR(E624-M624,"")</x:f>
        <x:v>6.484953999999999</x:v>
      </x:c>
      <x:c r="V624" s="41" t="str">
        <x:f>IF(AND(I624&gt;M624,J624&gt;N624),"Sí","No")</x:f>
        <x:v>Sí</x:v>
      </x:c>
      <x:c r="W624" s="41" t="str">
        <x:f>IF(AND(E624&gt;M624,F624&gt;N624),"Sí","No")</x:f>
        <x:v>Sí</x:v>
      </x:c>
      <x:c r="X624" s="41" t="str">
        <x:f>IF(L624&gt;=H624,"Weekly","No weekly")</x:f>
        <x:v>Weekly</x:v>
      </x:c>
      <x:c r="Y624" s="41" t="n">
        <x:f>IFERROR(I624-E624,"")</x:f>
        <x:v>0.09938499999999983</x:v>
      </x:c>
      <x:c r="Z624" s="41" t="n">
        <x:f>IFERROR(J624-F624,"")</x:f>
        <x:v>3.515339000000001</x:v>
      </x:c>
      <x:c r="AA624" s="41" t="n">
        <x:v>11502</x:v>
      </x:c>
      <x:c r="AB624" s="41" t="n">
        <x:v>5674</x:v>
      </x:c>
    </x:row>
    <x:row r="625">
      <x:c r="A625" s="41" t="str">
        <x:v>HYP_REFINE_AUTO002_TOPN_6_V1_DDGRID_LONG_R12_C21_E70_CR40_REDD_RECOVERED_DD8_SL22</x:v>
      </x:c>
      <x:c r="B625" s="41" t="str">
        <x:v>dd_guard_grid</x:v>
      </x:c>
      <x:c r="C625" s="41" t="str">
        <x:v>1999-01-04</x:v>
      </x:c>
      <x:c r="D625" s="41" t="str">
        <x:v>2026-05-22</x:v>
      </x:c>
      <x:c r="E625" s="41" t="n">
        <x:v>13.104566</x:v>
      </x:c>
      <x:c r="F625" s="41" t="n">
        <x:v>-32.842722</x:v>
      </x:c>
      <x:c r="G625" s="41" t="n">
        <x:v>2812.100424</x:v>
      </x:c>
      <x:c r="H625" s="41" t="n">
        <x:f>IFERROR(E625/ABS(F625),"")</x:f>
        <x:v>0.39900974103181824</x:v>
      </x:c>
      <x:c r="I625" s="41" t="n">
        <x:v>13.341881</x:v>
      </x:c>
      <x:c r="J625" s="41" t="n">
        <x:v>-28.567412</x:v>
      </x:c>
      <x:c r="K625" s="41" t="n">
        <x:v>2984.099665</x:v>
      </x:c>
      <x:c r="L625" s="41" t="n">
        <x:f>IFERROR(I625/ABS(J625),"")</x:f>
        <x:v>0.46703149028690455</x:v>
      </x:c>
      <x:c r="M625" s="41" t="n">
        <x:v>6.802475</x:v>
      </x:c>
      <x:c r="N625" s="41" t="n">
        <x:v>-56.473669</x:v>
      </x:c>
      <x:c r="O625" s="41" t="n">
        <x:v>506.057416</x:v>
      </x:c>
      <x:c r="P625" s="41" t="n">
        <x:f>IFERROR(M625/ABS(N625),"")</x:f>
        <x:v>0.12045392340278087</x:v>
      </x:c>
      <x:c r="Q625" s="41" t="str">
        <x:f>IF(L625&gt;=MAX(H625,P625),"Weekly",IF(H625&gt;=MAX(L625,P625),"No weekly","SPY"))</x:f>
        <x:v>Weekly</x:v>
      </x:c>
      <x:c r="R625" s="41" t="n">
        <x:f>IFERROR(L625-P625,"")</x:f>
        <x:v>0.34657756688412367</x:v>
      </x:c>
      <x:c r="S625" s="41" t="n">
        <x:f>IFERROR(H625-P625,"")</x:f>
        <x:v>0.27855581762903736</x:v>
      </x:c>
      <x:c r="T625" s="41" t="n">
        <x:f>IFERROR(I625-M625,"")</x:f>
        <x:v>6.5394060000000005</x:v>
      </x:c>
      <x:c r="U625" s="41" t="n">
        <x:f>IFERROR(E625-M625,"")</x:f>
        <x:v>6.302091</x:v>
      </x:c>
      <x:c r="V625" s="41" t="str">
        <x:f>IF(AND(I625&gt;M625,J625&gt;N625),"Sí","No")</x:f>
        <x:v>Sí</x:v>
      </x:c>
      <x:c r="W625" s="41" t="str">
        <x:f>IF(AND(E625&gt;M625,F625&gt;N625),"Sí","No")</x:f>
        <x:v>Sí</x:v>
      </x:c>
      <x:c r="X625" s="41" t="str">
        <x:f>IF(L625&gt;=H625,"Weekly","No weekly")</x:f>
        <x:v>Weekly</x:v>
      </x:c>
      <x:c r="Y625" s="41" t="n">
        <x:f>IFERROR(I625-E625,"")</x:f>
        <x:v>0.2373150000000006</x:v>
      </x:c>
      <x:c r="Z625" s="41" t="n">
        <x:f>IFERROR(J625-F625,"")</x:f>
        <x:v>4.275310000000001</x:v>
      </x:c>
      <x:c r="AA625" s="41" t="n">
        <x:v>11805</x:v>
      </x:c>
      <x:c r="AB625" s="41" t="n">
        <x:v>5697</x:v>
      </x:c>
    </x:row>
    <x:row r="626">
      <x:c r="A626" s="41" t="str">
        <x:v>HYP_REFINE_AUTO002_TOPN_6_V1_DDGRID_LONG_R12_C21_E72_CR40_REDD_RECOVERED_DD7_SL18</x:v>
      </x:c>
      <x:c r="B626" s="41" t="str">
        <x:v>dd_guard_grid</x:v>
      </x:c>
      <x:c r="C626" s="41" t="str">
        <x:v>1999-01-04</x:v>
      </x:c>
      <x:c r="D626" s="41" t="str">
        <x:v>2026-05-22</x:v>
      </x:c>
      <x:c r="E626" s="41" t="n">
        <x:v>12.546315</x:v>
      </x:c>
      <x:c r="F626" s="41" t="n">
        <x:v>-30.949752</x:v>
      </x:c>
      <x:c r="G626" s="41" t="n">
        <x:v>2443.161264</x:v>
      </x:c>
      <x:c r="H626" s="41" t="n">
        <x:f>IFERROR(E626/ABS(F626),"")</x:f>
        <x:v>0.40537691545961335</x:v>
      </x:c>
      <x:c r="I626" s="41" t="n">
        <x:v>11.587031</x:v>
      </x:c>
      <x:c r="J626" s="41" t="n">
        <x:v>-29.14134</x:v>
      </x:c>
      <x:c r="K626" s="41" t="n">
        <x:v>1911.836343</x:v>
      </x:c>
      <x:c r="L626" s="41" t="n">
        <x:f>IFERROR(I626/ABS(J626),"")</x:f>
        <x:v>0.39761490034432184</x:v>
      </x:c>
      <x:c r="M626" s="41" t="n">
        <x:v>6.802475</x:v>
      </x:c>
      <x:c r="N626" s="41" t="n">
        <x:v>-56.473669</x:v>
      </x:c>
      <x:c r="O626" s="41" t="n">
        <x:v>506.057416</x:v>
      </x:c>
      <x:c r="P626" s="41" t="n">
        <x:f>IFERROR(M626/ABS(N626),"")</x:f>
        <x:v>0.12045392340278087</x:v>
      </x:c>
      <x:c r="Q626" s="41" t="str">
        <x:f>IF(L626&gt;=MAX(H626,P626),"Weekly",IF(H626&gt;=MAX(L626,P626),"No weekly","SPY"))</x:f>
        <x:v>No weekly</x:v>
      </x:c>
      <x:c r="R626" s="41" t="n">
        <x:f>IFERROR(L626-P626,"")</x:f>
        <x:v>0.27716097694154096</x:v>
      </x:c>
      <x:c r="S626" s="41" t="n">
        <x:f>IFERROR(H626-P626,"")</x:f>
        <x:v>0.28492299205683247</x:v>
      </x:c>
      <x:c r="T626" s="41" t="n">
        <x:f>IFERROR(I626-M626,"")</x:f>
        <x:v>4.784555999999999</x:v>
      </x:c>
      <x:c r="U626" s="41" t="n">
        <x:f>IFERROR(E626-M626,"")</x:f>
        <x:v>5.74384</x:v>
      </x:c>
      <x:c r="V626" s="41" t="str">
        <x:f>IF(AND(I626&gt;M626,J626&gt;N626),"Sí","No")</x:f>
        <x:v>Sí</x:v>
      </x:c>
      <x:c r="W626" s="41" t="str">
        <x:f>IF(AND(E626&gt;M626,F626&gt;N626),"Sí","No")</x:f>
        <x:v>Sí</x:v>
      </x:c>
      <x:c r="X626" s="41" t="str">
        <x:f>IF(L626&gt;=H626,"Weekly","No weekly")</x:f>
        <x:v>No weekly</x:v>
      </x:c>
      <x:c r="Y626" s="41" t="n">
        <x:f>IFERROR(I626-E626,"")</x:f>
        <x:v>-0.9592840000000002</x:v>
      </x:c>
      <x:c r="Z626" s="41" t="n">
        <x:f>IFERROR(J626-F626,"")</x:f>
        <x:v>1.8084120000000006</x:v>
      </x:c>
      <x:c r="AA626" s="41" t="n">
        <x:v>12000</x:v>
      </x:c>
      <x:c r="AB626" s="41" t="n">
        <x:v>6003</x:v>
      </x:c>
    </x:row>
    <x:row r="627">
      <x:c r="A627" s="41" t="str">
        <x:v>HYP_REFINE_AUTO002_TOPN_6_V1_DDGRID_LONG_R12_C21_E72_CR40_REDD_RECOVERED_DD8_SL20</x:v>
      </x:c>
      <x:c r="B627" s="41" t="str">
        <x:v>dd_guard_grid</x:v>
      </x:c>
      <x:c r="C627" s="41" t="str">
        <x:v>1999-01-04</x:v>
      </x:c>
      <x:c r="D627" s="41" t="str">
        <x:v>2026-05-22</x:v>
      </x:c>
      <x:c r="E627" s="41" t="n">
        <x:v>12.255316</x:v>
      </x:c>
      <x:c r="F627" s="41" t="n">
        <x:v>-32.123963</x:v>
      </x:c>
      <x:c r="G627" s="41" t="n">
        <x:v>2269.138699</x:v>
      </x:c>
      <x:c r="H627" s="41" t="n">
        <x:f>IFERROR(E627/ABS(F627),"")</x:f>
        <x:v>0.38150075070127554</x:v>
      </x:c>
      <x:c r="I627" s="41" t="n">
        <x:v>12.806429</x:v>
      </x:c>
      <x:c r="J627" s="41" t="n">
        <x:v>-28.361003</x:v>
      </x:c>
      <x:c r="K627" s="41" t="n">
        <x:v>2609.085551</x:v>
      </x:c>
      <x:c r="L627" s="41" t="n">
        <x:f>IFERROR(I627/ABS(J627),"")</x:f>
        <x:v>0.4515506380363205</x:v>
      </x:c>
      <x:c r="M627" s="41" t="n">
        <x:v>6.802475</x:v>
      </x:c>
      <x:c r="N627" s="41" t="n">
        <x:v>-56.473669</x:v>
      </x:c>
      <x:c r="O627" s="41" t="n">
        <x:v>506.057416</x:v>
      </x:c>
      <x:c r="P627" s="41" t="n">
        <x:f>IFERROR(M627/ABS(N627),"")</x:f>
        <x:v>0.12045392340278087</x:v>
      </x:c>
      <x:c r="Q627" s="41" t="str">
        <x:f>IF(L627&gt;=MAX(H627,P627),"Weekly",IF(H627&gt;=MAX(L627,P627),"No weekly","SPY"))</x:f>
        <x:v>Weekly</x:v>
      </x:c>
      <x:c r="R627" s="41" t="n">
        <x:f>IFERROR(L627-P627,"")</x:f>
        <x:v>0.3310967146335396</x:v>
      </x:c>
      <x:c r="S627" s="41" t="n">
        <x:f>IFERROR(H627-P627,"")</x:f>
        <x:v>0.26104682729849465</x:v>
      </x:c>
      <x:c r="T627" s="41" t="n">
        <x:f>IFERROR(I627-M627,"")</x:f>
        <x:v>6.003953999999999</x:v>
      </x:c>
      <x:c r="U627" s="41" t="n">
        <x:f>IFERROR(E627-M627,"")</x:f>
        <x:v>5.452841</x:v>
      </x:c>
      <x:c r="V627" s="41" t="str">
        <x:f>IF(AND(I627&gt;M627,J627&gt;N627),"Sí","No")</x:f>
        <x:v>Sí</x:v>
      </x:c>
      <x:c r="W627" s="41" t="str">
        <x:f>IF(AND(E627&gt;M627,F627&gt;N627),"Sí","No")</x:f>
        <x:v>Sí</x:v>
      </x:c>
      <x:c r="X627" s="41" t="str">
        <x:f>IF(L627&gt;=H627,"Weekly","No weekly")</x:f>
        <x:v>Weekly</x:v>
      </x:c>
      <x:c r="Y627" s="41" t="n">
        <x:f>IFERROR(I627-E627,"")</x:f>
        <x:v>0.5511129999999991</x:v>
      </x:c>
      <x:c r="Z627" s="41" t="n">
        <x:f>IFERROR(J627-F627,"")</x:f>
        <x:v>3.762960000000003</x:v>
      </x:c>
      <x:c r="AA627" s="41" t="n">
        <x:v>11531</x:v>
      </x:c>
      <x:c r="AB627" s="41" t="n">
        <x:v>6116</x:v>
      </x:c>
    </x:row>
    <x:row r="628">
      <x:c r="A628" s="41" t="str">
        <x:v>HYP_REFINE_AUTO002_TOPN_6_V1_DDGRID_LONG_R12_C21_E72_CR40_REDD_RECOVERED_DD8_SL22</x:v>
      </x:c>
      <x:c r="B628" s="41" t="str">
        <x:v>dd_guard_grid</x:v>
      </x:c>
      <x:c r="C628" s="41" t="str">
        <x:v>1999-01-04</x:v>
      </x:c>
      <x:c r="D628" s="41" t="str">
        <x:v>2026-05-22</x:v>
      </x:c>
      <x:c r="E628" s="41" t="n">
        <x:v>11.201411</x:v>
      </x:c>
      <x:c r="F628" s="41" t="n">
        <x:v>-33.045727</x:v>
      </x:c>
      <x:c r="G628" s="41" t="n">
        <x:v>1729.915878</x:v>
      </x:c>
      <x:c r="H628" s="41" t="n">
        <x:f>IFERROR(E628/ABS(F628),"")</x:f>
        <x:v>0.3389670016943492</x:v>
      </x:c>
      <x:c r="I628" s="41" t="n">
        <x:v>12.567079</x:v>
      </x:c>
      <x:c r="J628" s="41" t="n">
        <x:v>-28.612384</x:v>
      </x:c>
      <x:c r="K628" s="41" t="n">
        <x:v>2456.03805</x:v>
      </x:c>
      <x:c r="L628" s="41" t="n">
        <x:f>IFERROR(I628/ABS(J628),"")</x:f>
        <x:v>0.43921817210338016</x:v>
      </x:c>
      <x:c r="M628" s="41" t="n">
        <x:v>6.802475</x:v>
      </x:c>
      <x:c r="N628" s="41" t="n">
        <x:v>-56.473669</x:v>
      </x:c>
      <x:c r="O628" s="41" t="n">
        <x:v>506.057416</x:v>
      </x:c>
      <x:c r="P628" s="41" t="n">
        <x:f>IFERROR(M628/ABS(N628),"")</x:f>
        <x:v>0.12045392340278087</x:v>
      </x:c>
      <x:c r="Q628" s="41" t="str">
        <x:f>IF(L628&gt;=MAX(H628,P628),"Weekly",IF(H628&gt;=MAX(L628,P628),"No weekly","SPY"))</x:f>
        <x:v>Weekly</x:v>
      </x:c>
      <x:c r="R628" s="41" t="n">
        <x:f>IFERROR(L628-P628,"")</x:f>
        <x:v>0.3187642487005993</x:v>
      </x:c>
      <x:c r="S628" s="41" t="n">
        <x:f>IFERROR(H628-P628,"")</x:f>
        <x:v>0.2185130782915683</x:v>
      </x:c>
      <x:c r="T628" s="41" t="n">
        <x:f>IFERROR(I628-M628,"")</x:f>
        <x:v>5.764603999999999</x:v>
      </x:c>
      <x:c r="U628" s="41" t="n">
        <x:f>IFERROR(E628-M628,"")</x:f>
        <x:v>4.398936</x:v>
      </x:c>
      <x:c r="V628" s="41" t="str">
        <x:f>IF(AND(I628&gt;M628,J628&gt;N628),"Sí","No")</x:f>
        <x:v>Sí</x:v>
      </x:c>
      <x:c r="W628" s="41" t="str">
        <x:f>IF(AND(E628&gt;M628,F628&gt;N628),"Sí","No")</x:f>
        <x:v>Sí</x:v>
      </x:c>
      <x:c r="X628" s="41" t="str">
        <x:f>IF(L628&gt;=H628,"Weekly","No weekly")</x:f>
        <x:v>Weekly</x:v>
      </x:c>
      <x:c r="Y628" s="41" t="n">
        <x:f>IFERROR(I628-E628,"")</x:f>
        <x:v>1.3656679999999994</x:v>
      </x:c>
      <x:c r="Z628" s="41" t="n">
        <x:f>IFERROR(J628-F628,"")</x:f>
        <x:v>4.433343000000001</x:v>
      </x:c>
      <x:c r="AA628" s="41" t="n">
        <x:v>11795</x:v>
      </x:c>
      <x:c r="AB628" s="41" t="n">
        <x:v>5705</x:v>
      </x:c>
    </x:row>
    <x:row r="629">
      <x:c r="A629" s="41" t="str">
        <x:v>HYP_REFINE_AUTO002_TOPN_6_V1_DDGRID_LONG_R12_C21_E72_CR45_REDD_RECOVERED_DD8_SL20</x:v>
      </x:c>
      <x:c r="B629" s="41" t="str">
        <x:v>dd_guard_grid</x:v>
      </x:c>
      <x:c r="C629" s="41" t="str">
        <x:v>1999-01-04</x:v>
      </x:c>
      <x:c r="D629" s="41" t="str">
        <x:v>2026-05-22</x:v>
      </x:c>
      <x:c r="E629" s="41" t="n">
        <x:v>12.715726</x:v>
      </x:c>
      <x:c r="F629" s="41" t="n">
        <x:v>-33.257642</x:v>
      </x:c>
      <x:c r="G629" s="41" t="n">
        <x:v>2550.07616</x:v>
      </x:c>
      <x:c r="H629" s="41" t="n">
        <x:f>IFERROR(E629/ABS(F629),"")</x:f>
        <x:v>0.3823399746740915</x:v>
      </x:c>
      <x:c r="I629" s="41" t="n">
        <x:v>13.717624</x:v>
      </x:c>
      <x:c r="J629" s="41" t="n">
        <x:v>-28.947276</x:v>
      </x:c>
      <x:c r="K629" s="41" t="n">
        <x:v>3276.612305</x:v>
      </x:c>
      <x:c r="L629" s="41" t="n">
        <x:f>IFERROR(I629/ABS(J629),"")</x:f>
        <x:v>0.473883069343036</x:v>
      </x:c>
      <x:c r="M629" s="41" t="n">
        <x:v>6.802475</x:v>
      </x:c>
      <x:c r="N629" s="41" t="n">
        <x:v>-56.473669</x:v>
      </x:c>
      <x:c r="O629" s="41" t="n">
        <x:v>506.057416</x:v>
      </x:c>
      <x:c r="P629" s="41" t="n">
        <x:f>IFERROR(M629/ABS(N629),"")</x:f>
        <x:v>0.12045392340278087</x:v>
      </x:c>
      <x:c r="Q629" s="41" t="str">
        <x:f>IF(L629&gt;=MAX(H629,P629),"Weekly",IF(H629&gt;=MAX(L629,P629),"No weekly","SPY"))</x:f>
        <x:v>Weekly</x:v>
      </x:c>
      <x:c r="R629" s="41" t="n">
        <x:f>IFERROR(L629-P629,"")</x:f>
        <x:v>0.3534291459402551</x:v>
      </x:c>
      <x:c r="S629" s="41" t="n">
        <x:f>IFERROR(H629-P629,"")</x:f>
        <x:v>0.2618860512713106</x:v>
      </x:c>
      <x:c r="T629" s="41" t="n">
        <x:f>IFERROR(I629-M629,"")</x:f>
        <x:v>6.915149</x:v>
      </x:c>
      <x:c r="U629" s="41" t="n">
        <x:f>IFERROR(E629-M629,"")</x:f>
        <x:v>5.913251</x:v>
      </x:c>
      <x:c r="V629" s="41" t="str">
        <x:f>IF(AND(I629&gt;M629,J629&gt;N629),"Sí","No")</x:f>
        <x:v>Sí</x:v>
      </x:c>
      <x:c r="W629" s="41" t="str">
        <x:f>IF(AND(E629&gt;M629,F629&gt;N629),"Sí","No")</x:f>
        <x:v>Sí</x:v>
      </x:c>
      <x:c r="X629" s="41" t="str">
        <x:f>IF(L629&gt;=H629,"Weekly","No weekly")</x:f>
        <x:v>Weekly</x:v>
      </x:c>
      <x:c r="Y629" s="41" t="n">
        <x:f>IFERROR(I629-E629,"")</x:f>
        <x:v>1.0018980000000006</x:v>
      </x:c>
      <x:c r="Z629" s="41" t="n">
        <x:f>IFERROR(J629-F629,"")</x:f>
        <x:v>4.310365999999998</x:v>
      </x:c>
      <x:c r="AA629" s="41" t="n">
        <x:v>11280</x:v>
      </x:c>
      <x:c r="AB629" s="41" t="n">
        <x:v>5783</x:v>
      </x:c>
    </x:row>
    <x:row r="630">
      <x:c r="A630" s="41" t="str">
        <x:v>HYP_REFINE_AUTO002_TOPN_6_V1_DDGRID_LONG_R12_C21_E75_CR33_REDD_RECOVERED_DD8_SL20</x:v>
      </x:c>
      <x:c r="B630" s="41" t="str">
        <x:v>dd_guard_grid</x:v>
      </x:c>
      <x:c r="C630" s="41" t="str">
        <x:v>1999-01-04</x:v>
      </x:c>
      <x:c r="D630" s="41" t="str">
        <x:v>2026-05-22</x:v>
      </x:c>
      <x:c r="E630" s="41" t="n">
        <x:v>11.309596</x:v>
      </x:c>
      <x:c r="F630" s="41" t="n">
        <x:v>-29.853509</x:v>
      </x:c>
      <x:c r="G630" s="41" t="n">
        <x:v>1779.288013</x:v>
      </x:c>
      <x:c r="H630" s="41" t="n">
        <x:f>IFERROR(E630/ABS(F630),"")</x:f>
        <x:v>0.3788364041225439</x:v>
      </x:c>
      <x:c r="I630" s="41" t="n">
        <x:v>12.05039</x:v>
      </x:c>
      <x:c r="J630" s="41" t="n">
        <x:v>-28.926122</x:v>
      </x:c>
      <x:c r="K630" s="41" t="n">
        <x:v>2153.535303</x:v>
      </x:c>
      <x:c r="L630" s="41" t="n">
        <x:f>IFERROR(I630/ABS(J630),"")</x:f>
        <x:v>0.4165919648682945</x:v>
      </x:c>
      <x:c r="M630" s="41" t="n">
        <x:v>6.802475</x:v>
      </x:c>
      <x:c r="N630" s="41" t="n">
        <x:v>-56.473669</x:v>
      </x:c>
      <x:c r="O630" s="41" t="n">
        <x:v>506.057416</x:v>
      </x:c>
      <x:c r="P630" s="41" t="n">
        <x:f>IFERROR(M630/ABS(N630),"")</x:f>
        <x:v>0.12045392340278087</x:v>
      </x:c>
      <x:c r="Q630" s="41" t="str">
        <x:f>IF(L630&gt;=MAX(H630,P630),"Weekly",IF(H630&gt;=MAX(L630,P630),"No weekly","SPY"))</x:f>
        <x:v>Weekly</x:v>
      </x:c>
      <x:c r="R630" s="41" t="n">
        <x:f>IFERROR(L630-P630,"")</x:f>
        <x:v>0.2961380414655136</x:v>
      </x:c>
      <x:c r="S630" s="41" t="n">
        <x:f>IFERROR(H630-P630,"")</x:f>
        <x:v>0.258382480719763</x:v>
      </x:c>
      <x:c r="T630" s="41" t="n">
        <x:f>IFERROR(I630-M630,"")</x:f>
        <x:v>5.247915</x:v>
      </x:c>
      <x:c r="U630" s="41" t="n">
        <x:f>IFERROR(E630-M630,"")</x:f>
        <x:v>4.507121000000001</x:v>
      </x:c>
      <x:c r="V630" s="41" t="str">
        <x:f>IF(AND(I630&gt;M630,J630&gt;N630),"Sí","No")</x:f>
        <x:v>Sí</x:v>
      </x:c>
      <x:c r="W630" s="41" t="str">
        <x:f>IF(AND(E630&gt;M630,F630&gt;N630),"Sí","No")</x:f>
        <x:v>Sí</x:v>
      </x:c>
      <x:c r="X630" s="41" t="str">
        <x:f>IF(L630&gt;=H630,"Weekly","No weekly")</x:f>
        <x:v>Weekly</x:v>
      </x:c>
      <x:c r="Y630" s="41" t="n">
        <x:f>IFERROR(I630-E630,"")</x:f>
        <x:v>0.7407939999999993</x:v>
      </x:c>
      <x:c r="Z630" s="41" t="n">
        <x:f>IFERROR(J630-F630,"")</x:f>
        <x:v>0.9273869999999995</x:v>
      </x:c>
      <x:c r="AA630" s="41" t="n">
        <x:v>12506</x:v>
      </x:c>
      <x:c r="AB630" s="41" t="n">
        <x:v>6072</x:v>
      </x:c>
    </x:row>
    <x:row r="631">
      <x:c r="A631" s="41" t="str">
        <x:v>HYP_REFINE_AUTO002_TOPN_6_V1_DDGRID_LONG_R12_C21_E75_CR36_REDD_RECOVERED_DD7_SL18</x:v>
      </x:c>
      <x:c r="B631" s="41" t="str">
        <x:v>dd_guard_grid</x:v>
      </x:c>
      <x:c r="C631" s="41" t="str">
        <x:v>1999-01-04</x:v>
      </x:c>
      <x:c r="D631" s="41" t="str">
        <x:v>2026-05-22</x:v>
      </x:c>
      <x:c r="E631" s="41" t="n">
        <x:v>10.914384</x:v>
      </x:c>
      <x:c r="F631" s="41" t="n">
        <x:v>-30.684794</x:v>
      </x:c>
      <x:c r="G631" s="41" t="n">
        <x:v>1604.907252</x:v>
      </x:c>
      <x:c r="H631" s="41" t="n">
        <x:f>IFERROR(E631/ABS(F631),"")</x:f>
        <x:v>0.35569357252325046</x:v>
      </x:c>
      <x:c r="I631" s="41" t="n">
        <x:v>11.667935</x:v>
      </x:c>
      <x:c r="J631" s="41" t="n">
        <x:v>-28.79704</x:v>
      </x:c>
      <x:c r="K631" s="41" t="n">
        <x:v>1952.156118</x:v>
      </x:c>
      <x:c r="L631" s="41" t="n">
        <x:f>IFERROR(I631/ABS(J631),"")</x:f>
        <x:v>0.40517827526718025</x:v>
      </x:c>
      <x:c r="M631" s="41" t="n">
        <x:v>6.802475</x:v>
      </x:c>
      <x:c r="N631" s="41" t="n">
        <x:v>-56.473669</x:v>
      </x:c>
      <x:c r="O631" s="41" t="n">
        <x:v>506.057416</x:v>
      </x:c>
      <x:c r="P631" s="41" t="n">
        <x:f>IFERROR(M631/ABS(N631),"")</x:f>
        <x:v>0.12045392340278087</x:v>
      </x:c>
      <x:c r="Q631" s="41" t="str">
        <x:f>IF(L631&gt;=MAX(H631,P631),"Weekly",IF(H631&gt;=MAX(L631,P631),"No weekly","SPY"))</x:f>
        <x:v>Weekly</x:v>
      </x:c>
      <x:c r="R631" s="41" t="n">
        <x:f>IFERROR(L631-P631,"")</x:f>
        <x:v>0.28472435186439937</x:v>
      </x:c>
      <x:c r="S631" s="41" t="n">
        <x:f>IFERROR(H631-P631,"")</x:f>
        <x:v>0.23523964912046957</x:v>
      </x:c>
      <x:c r="T631" s="41" t="n">
        <x:f>IFERROR(I631-M631,"")</x:f>
        <x:v>4.86546</x:v>
      </x:c>
      <x:c r="U631" s="41" t="n">
        <x:f>IFERROR(E631-M631,"")</x:f>
        <x:v>4.111909</x:v>
      </x:c>
      <x:c r="V631" s="41" t="str">
        <x:f>IF(AND(I631&gt;M631,J631&gt;N631),"Sí","No")</x:f>
        <x:v>Sí</x:v>
      </x:c>
      <x:c r="W631" s="41" t="str">
        <x:f>IF(AND(E631&gt;M631,F631&gt;N631),"Sí","No")</x:f>
        <x:v>Sí</x:v>
      </x:c>
      <x:c r="X631" s="41" t="str">
        <x:f>IF(L631&gt;=H631,"Weekly","No weekly")</x:f>
        <x:v>Weekly</x:v>
      </x:c>
      <x:c r="Y631" s="41" t="n">
        <x:f>IFERROR(I631-E631,"")</x:f>
        <x:v>0.7535509999999999</x:v>
      </x:c>
      <x:c r="Z631" s="41" t="n">
        <x:f>IFERROR(J631-F631,"")</x:f>
        <x:v>1.887754000000001</x:v>
      </x:c>
      <x:c r="AA631" s="41" t="n">
        <x:v>12228</x:v>
      </x:c>
      <x:c r="AB631" s="41" t="n">
        <x:v>6108</x:v>
      </x:c>
    </x:row>
    <x:row r="632">
      <x:c r="A632" s="41" t="str">
        <x:v>HYP_REFINE_AUTO002_TOPN_6_V1_DDGRID_LONG_R12_C21_E75_CR36_REDD_RECOVERED_DD8_SL20</x:v>
      </x:c>
      <x:c r="B632" s="41" t="str">
        <x:v>dd_guard_grid</x:v>
      </x:c>
      <x:c r="C632" s="41" t="str">
        <x:v>1999-01-04</x:v>
      </x:c>
      <x:c r="D632" s="41" t="str">
        <x:v>2026-05-22</x:v>
      </x:c>
      <x:c r="E632" s="41" t="n">
        <x:v>10.887093</x:v>
      </x:c>
      <x:c r="F632" s="41" t="n">
        <x:v>-32.317194</x:v>
      </x:c>
      <x:c r="G632" s="41" t="n">
        <x:v>1593.459308</x:v>
      </x:c>
      <x:c r="H632" s="41" t="n">
        <x:f>IFERROR(E632/ABS(F632),"")</x:f>
        <x:v>0.3368823728941318</x:v>
      </x:c>
      <x:c r="I632" s="41" t="n">
        <x:v>12.389727</x:v>
      </x:c>
      <x:c r="J632" s="41" t="n">
        <x:v>-28.371348</x:v>
      </x:c>
      <x:c r="K632" s="41" t="n">
        <x:v>2348.042889</x:v>
      </x:c>
      <x:c r="L632" s="41" t="n">
        <x:f>IFERROR(I632/ABS(J632),"")</x:f>
        <x:v>0.43669856645514343</x:v>
      </x:c>
      <x:c r="M632" s="41" t="n">
        <x:v>6.802475</x:v>
      </x:c>
      <x:c r="N632" s="41" t="n">
        <x:v>-56.473669</x:v>
      </x:c>
      <x:c r="O632" s="41" t="n">
        <x:v>506.057416</x:v>
      </x:c>
      <x:c r="P632" s="41" t="n">
        <x:f>IFERROR(M632/ABS(N632),"")</x:f>
        <x:v>0.12045392340278087</x:v>
      </x:c>
      <x:c r="Q632" s="41" t="str">
        <x:f>IF(L632&gt;=MAX(H632,P632),"Weekly",IF(H632&gt;=MAX(L632,P632),"No weekly","SPY"))</x:f>
        <x:v>Weekly</x:v>
      </x:c>
      <x:c r="R632" s="41" t="n">
        <x:f>IFERROR(L632-P632,"")</x:f>
        <x:v>0.31624464305236255</x:v>
      </x:c>
      <x:c r="S632" s="41" t="n">
        <x:f>IFERROR(H632-P632,"")</x:f>
        <x:v>0.21642844949135093</x:v>
      </x:c>
      <x:c r="T632" s="41" t="n">
        <x:f>IFERROR(I632-M632,"")</x:f>
        <x:v>5.587252</x:v>
      </x:c>
      <x:c r="U632" s="41" t="n">
        <x:f>IFERROR(E632-M632,"")</x:f>
        <x:v>4.084618</x:v>
      </x:c>
      <x:c r="V632" s="41" t="str">
        <x:f>IF(AND(I632&gt;M632,J632&gt;N632),"Sí","No")</x:f>
        <x:v>Sí</x:v>
      </x:c>
      <x:c r="W632" s="41" t="str">
        <x:f>IF(AND(E632&gt;M632,F632&gt;N632),"Sí","No")</x:f>
        <x:v>Sí</x:v>
      </x:c>
      <x:c r="X632" s="41" t="str">
        <x:f>IF(L632&gt;=H632,"Weekly","No weekly")</x:f>
        <x:v>Weekly</x:v>
      </x:c>
      <x:c r="Y632" s="41" t="n">
        <x:f>IFERROR(I632-E632,"")</x:f>
        <x:v>1.5026340000000005</x:v>
      </x:c>
      <x:c r="Z632" s="41" t="n">
        <x:f>IFERROR(J632-F632,"")</x:f>
        <x:v>3.9458459999999995</x:v>
      </x:c>
      <x:c r="AA632" s="41" t="n">
        <x:v>11990</x:v>
      </x:c>
      <x:c r="AB632" s="41" t="n">
        <x:v>6078</x:v>
      </x:c>
    </x:row>
    <x:row r="633">
      <x:c r="A633" s="41" t="str">
        <x:v>HYP_REFINE_AUTO002_TOPN_6_V1_DDGRID_LONG_R12_C21_E75_CR36_REDD_RECOVERED_DD8_SL22</x:v>
      </x:c>
      <x:c r="B633" s="41" t="str">
        <x:v>dd_guard_grid</x:v>
      </x:c>
      <x:c r="C633" s="41" t="str">
        <x:v>1999-01-04</x:v>
      </x:c>
      <x:c r="D633" s="41" t="str">
        <x:v>2026-05-22</x:v>
      </x:c>
      <x:c r="E633" s="41" t="n">
        <x:v>11.395346</x:v>
      </x:c>
      <x:c r="F633" s="41" t="n">
        <x:v>-31.246843</x:v>
      </x:c>
      <x:c r="G633" s="41" t="n">
        <x:v>1819.330729</x:v>
      </x:c>
      <x:c r="H633" s="41" t="n">
        <x:f>IFERROR(E633/ABS(F633),"")</x:f>
        <x:v>0.3646879142318474</x:v>
      </x:c>
      <x:c r="I633" s="41" t="n">
        <x:v>12.087465</x:v>
      </x:c>
      <x:c r="J633" s="41" t="n">
        <x:v>-28.267044</x:v>
      </x:c>
      <x:c r="K633" s="41" t="n">
        <x:v>2174.039377</x:v>
      </x:c>
      <x:c r="L633" s="41" t="n">
        <x:f>IFERROR(I633/ABS(J633),"")</x:f>
        <x:v>0.42761687426531053</x:v>
      </x:c>
      <x:c r="M633" s="41" t="n">
        <x:v>6.802475</x:v>
      </x:c>
      <x:c r="N633" s="41" t="n">
        <x:v>-56.473669</x:v>
      </x:c>
      <x:c r="O633" s="41" t="n">
        <x:v>506.057416</x:v>
      </x:c>
      <x:c r="P633" s="41" t="n">
        <x:f>IFERROR(M633/ABS(N633),"")</x:f>
        <x:v>0.12045392340278087</x:v>
      </x:c>
      <x:c r="Q633" s="41" t="str">
        <x:f>IF(L633&gt;=MAX(H633,P633),"Weekly",IF(H633&gt;=MAX(L633,P633),"No weekly","SPY"))</x:f>
        <x:v>Weekly</x:v>
      </x:c>
      <x:c r="R633" s="41" t="n">
        <x:f>IFERROR(L633-P633,"")</x:f>
        <x:v>0.30716295086252965</x:v>
      </x:c>
      <x:c r="S633" s="41" t="n">
        <x:f>IFERROR(H633-P633,"")</x:f>
        <x:v>0.2442339908290665</x:v>
      </x:c>
      <x:c r="T633" s="41" t="n">
        <x:f>IFERROR(I633-M633,"")</x:f>
        <x:v>5.28499</x:v>
      </x:c>
      <x:c r="U633" s="41" t="n">
        <x:f>IFERROR(E633-M633,"")</x:f>
        <x:v>4.592871</x:v>
      </x:c>
      <x:c r="V633" s="41" t="str">
        <x:f>IF(AND(I633&gt;M633,J633&gt;N633),"Sí","No")</x:f>
        <x:v>Sí</x:v>
      </x:c>
      <x:c r="W633" s="41" t="str">
        <x:f>IF(AND(E633&gt;M633,F633&gt;N633),"Sí","No")</x:f>
        <x:v>Sí</x:v>
      </x:c>
      <x:c r="X633" s="41" t="str">
        <x:f>IF(L633&gt;=H633,"Weekly","No weekly")</x:f>
        <x:v>Weekly</x:v>
      </x:c>
      <x:c r="Y633" s="41" t="n">
        <x:f>IFERROR(I633-E633,"")</x:f>
        <x:v>0.6921189999999999</x:v>
      </x:c>
      <x:c r="Z633" s="41" t="n">
        <x:f>IFERROR(J633-F633,"")</x:f>
        <x:v>2.979799</x:v>
      </x:c>
      <x:c r="AA633" s="41" t="n">
        <x:v>12150</x:v>
      </x:c>
      <x:c r="AB633" s="41" t="n">
        <x:v>6014</x:v>
      </x:c>
    </x:row>
    <x:row r="634">
      <x:c r="A634" s="41" t="str">
        <x:v>HYP_REFINE_AUTO002_TOPN_6_V1_DDGRID_LONG_R12_C21_E75_CR40_REDD_RECOVERED_DD10_SL18</x:v>
      </x:c>
      <x:c r="B634" s="41" t="str">
        <x:v>dd_guard_grid</x:v>
      </x:c>
      <x:c r="C634" s="41" t="str">
        <x:v>1999-01-04</x:v>
      </x:c>
      <x:c r="D634" s="41" t="str">
        <x:v>2026-05-22</x:v>
      </x:c>
      <x:c r="E634" s="41" t="n">
        <x:v>11.491644</x:v>
      </x:c>
      <x:c r="F634" s="41" t="n">
        <x:v>-31.460688</x:v>
      </x:c>
      <x:c r="G634" s="41" t="n">
        <x:v>1865.279126</x:v>
      </x:c>
      <x:c r="H634" s="41" t="n">
        <x:f>IFERROR(E634/ABS(F634),"")</x:f>
        <x:v>0.36526995213836394</x:v>
      </x:c>
      <x:c r="I634" s="41" t="n">
        <x:v>12.04181</x:v>
      </x:c>
      <x:c r="J634" s="41" t="n">
        <x:v>-28.891144</x:v>
      </x:c>
      <x:c r="K634" s="41" t="n">
        <x:v>2148.816084</x:v>
      </x:c>
      <x:c r="L634" s="41" t="n">
        <x:f>IFERROR(I634/ABS(J634),"")</x:f>
        <x:v>0.4167993486170018</x:v>
      </x:c>
      <x:c r="M634" s="41" t="n">
        <x:v>6.802475</x:v>
      </x:c>
      <x:c r="N634" s="41" t="n">
        <x:v>-56.473669</x:v>
      </x:c>
      <x:c r="O634" s="41" t="n">
        <x:v>506.057416</x:v>
      </x:c>
      <x:c r="P634" s="41" t="n">
        <x:f>IFERROR(M634/ABS(N634),"")</x:f>
        <x:v>0.12045392340278087</x:v>
      </x:c>
      <x:c r="Q634" s="41" t="str">
        <x:f>IF(L634&gt;=MAX(H634,P634),"Weekly",IF(H634&gt;=MAX(L634,P634),"No weekly","SPY"))</x:f>
        <x:v>Weekly</x:v>
      </x:c>
      <x:c r="R634" s="41" t="n">
        <x:f>IFERROR(L634-P634,"")</x:f>
        <x:v>0.2963454252142209</x:v>
      </x:c>
      <x:c r="S634" s="41" t="n">
        <x:f>IFERROR(H634-P634,"")</x:f>
        <x:v>0.24481602873558306</x:v>
      </x:c>
      <x:c r="T634" s="41" t="n">
        <x:f>IFERROR(I634-M634,"")</x:f>
        <x:v>5.239335</x:v>
      </x:c>
      <x:c r="U634" s="41" t="n">
        <x:f>IFERROR(E634-M634,"")</x:f>
        <x:v>4.689169000000001</x:v>
      </x:c>
      <x:c r="V634" s="41" t="str">
        <x:f>IF(AND(I634&gt;M634,J634&gt;N634),"Sí","No")</x:f>
        <x:v>Sí</x:v>
      </x:c>
      <x:c r="W634" s="41" t="str">
        <x:f>IF(AND(E634&gt;M634,F634&gt;N634),"Sí","No")</x:f>
        <x:v>Sí</x:v>
      </x:c>
      <x:c r="X634" s="41" t="str">
        <x:f>IF(L634&gt;=H634,"Weekly","No weekly")</x:f>
        <x:v>Weekly</x:v>
      </x:c>
      <x:c r="Y634" s="41" t="n">
        <x:f>IFERROR(I634-E634,"")</x:f>
        <x:v>0.550165999999999</x:v>
      </x:c>
      <x:c r="Z634" s="41" t="n">
        <x:f>IFERROR(J634-F634,"")</x:f>
        <x:v>2.5695440000000005</x:v>
      </x:c>
      <x:c r="AA634" s="41" t="n">
        <x:v>11600</x:v>
      </x:c>
      <x:c r="AB634" s="41" t="n">
        <x:v>5164</x:v>
      </x:c>
    </x:row>
    <x:row r="635">
      <x:c r="A635" s="41" t="str">
        <x:v>HYP_REFINE_AUTO002_TOPN_6_V1_DDGRID_LONG_R12_C21_E75_CR40_REDD_RECOVERED_DD10_SL20</x:v>
      </x:c>
      <x:c r="B635" s="41" t="str">
        <x:v>dd_guard_grid</x:v>
      </x:c>
      <x:c r="C635" s="41" t="str">
        <x:v>1999-01-04</x:v>
      </x:c>
      <x:c r="D635" s="41" t="str">
        <x:v>2026-05-22</x:v>
      </x:c>
      <x:c r="E635" s="41" t="n">
        <x:v>12.735622</x:v>
      </x:c>
      <x:c r="F635" s="41" t="n">
        <x:v>-32.545222</x:v>
      </x:c>
      <x:c r="G635" s="41" t="n">
        <x:v>2562.913599</x:v>
      </x:c>
      <x:c r="H635" s="41" t="n">
        <x:f>IFERROR(E635/ABS(F635),"")</x:f>
        <x:v>0.3913207904988326</x:v>
      </x:c>
      <x:c r="I635" s="41" t="n">
        <x:v>13.544665</x:v>
      </x:c>
      <x:c r="J635" s="41" t="n">
        <x:v>-29.110571</x:v>
      </x:c>
      <x:c r="K635" s="41" t="n">
        <x:v>3138.790319</x:v>
      </x:c>
      <x:c r="L635" s="41" t="n">
        <x:f>IFERROR(I635/ABS(J635),"")</x:f>
        <x:v>0.4652833845134814</x:v>
      </x:c>
      <x:c r="M635" s="41" t="n">
        <x:v>6.802475</x:v>
      </x:c>
      <x:c r="N635" s="41" t="n">
        <x:v>-56.473669</x:v>
      </x:c>
      <x:c r="O635" s="41" t="n">
        <x:v>506.057416</x:v>
      </x:c>
      <x:c r="P635" s="41" t="n">
        <x:f>IFERROR(M635/ABS(N635),"")</x:f>
        <x:v>0.12045392340278087</x:v>
      </x:c>
      <x:c r="Q635" s="41" t="str">
        <x:f>IF(L635&gt;=MAX(H635,P635),"Weekly",IF(H635&gt;=MAX(L635,P635),"No weekly","SPY"))</x:f>
        <x:v>Weekly</x:v>
      </x:c>
      <x:c r="R635" s="41" t="n">
        <x:f>IFERROR(L635-P635,"")</x:f>
        <x:v>0.3448294611107005</x:v>
      </x:c>
      <x:c r="S635" s="41" t="n">
        <x:f>IFERROR(H635-P635,"")</x:f>
        <x:v>0.27086686709605173</x:v>
      </x:c>
      <x:c r="T635" s="41" t="n">
        <x:f>IFERROR(I635-M635,"")</x:f>
        <x:v>6.74219</x:v>
      </x:c>
      <x:c r="U635" s="41" t="n">
        <x:f>IFERROR(E635-M635,"")</x:f>
        <x:v>5.933146999999999</x:v>
      </x:c>
      <x:c r="V635" s="41" t="str">
        <x:f>IF(AND(I635&gt;M635,J635&gt;N635),"Sí","No")</x:f>
        <x:v>Sí</x:v>
      </x:c>
      <x:c r="W635" s="41" t="str">
        <x:f>IF(AND(E635&gt;M635,F635&gt;N635),"Sí","No")</x:f>
        <x:v>Sí</x:v>
      </x:c>
      <x:c r="X635" s="41" t="str">
        <x:f>IF(L635&gt;=H635,"Weekly","No weekly")</x:f>
        <x:v>Weekly</x:v>
      </x:c>
      <x:c r="Y635" s="41" t="n">
        <x:f>IFERROR(I635-E635,"")</x:f>
        <x:v>0.8090430000000008</x:v>
      </x:c>
      <x:c r="Z635" s="41" t="n">
        <x:f>IFERROR(J635-F635,"")</x:f>
        <x:v>3.4346510000000023</x:v>
      </x:c>
      <x:c r="AA635" s="41" t="n">
        <x:v>11502</x:v>
      </x:c>
      <x:c r="AB635" s="41" t="n">
        <x:v>5580</x:v>
      </x:c>
    </x:row>
    <x:row r="636">
      <x:c r="A636" s="41" t="str">
        <x:v>HYP_REFINE_AUTO002_TOPN_6_V1_DDGRID_LONG_R12_C21_E75_CR40_REDD_RECOVERED_DD10_SL22</x:v>
      </x:c>
      <x:c r="B636" s="41" t="str">
        <x:v>dd_guard_grid</x:v>
      </x:c>
      <x:c r="C636" s="41" t="str">
        <x:v>1999-01-04</x:v>
      </x:c>
      <x:c r="D636" s="41" t="str">
        <x:v>2026-05-22</x:v>
      </x:c>
      <x:c r="E636" s="41" t="n">
        <x:v>10.41227</x:v>
      </x:c>
      <x:c r="F636" s="41" t="n">
        <x:v>-33.791205</x:v>
      </x:c>
      <x:c r="G636" s="41" t="n">
        <x:v>1405.741959</x:v>
      </x:c>
      <x:c r="H636" s="41" t="n">
        <x:f>IFERROR(E636/ABS(F636),"")</x:f>
        <x:v>0.3081355044899997</x:v>
      </x:c>
      <x:c r="I636" s="41" t="n">
        <x:v>12.611524</x:v>
      </x:c>
      <x:c r="J636" s="41" t="n">
        <x:v>-28.995952</x:v>
      </x:c>
      <x:c r="K636" s="41" t="n">
        <x:v>2483.813303</x:v>
      </x:c>
      <x:c r="L636" s="41" t="n">
        <x:f>IFERROR(I636/ABS(J636),"")</x:f>
        <x:v>0.4349408496744649</x:v>
      </x:c>
      <x:c r="M636" s="41" t="n">
        <x:v>6.802475</x:v>
      </x:c>
      <x:c r="N636" s="41" t="n">
        <x:v>-56.473669</x:v>
      </x:c>
      <x:c r="O636" s="41" t="n">
        <x:v>506.057416</x:v>
      </x:c>
      <x:c r="P636" s="41" t="n">
        <x:f>IFERROR(M636/ABS(N636),"")</x:f>
        <x:v>0.12045392340278087</x:v>
      </x:c>
      <x:c r="Q636" s="41" t="str">
        <x:f>IF(L636&gt;=MAX(H636,P636),"Weekly",IF(H636&gt;=MAX(L636,P636),"No weekly","SPY"))</x:f>
        <x:v>Weekly</x:v>
      </x:c>
      <x:c r="R636" s="41" t="n">
        <x:f>IFERROR(L636-P636,"")</x:f>
        <x:v>0.314486926271684</x:v>
      </x:c>
      <x:c r="S636" s="41" t="n">
        <x:f>IFERROR(H636-P636,"")</x:f>
        <x:v>0.18768158108721883</x:v>
      </x:c>
      <x:c r="T636" s="41" t="n">
        <x:f>IFERROR(I636-M636,"")</x:f>
        <x:v>5.809048999999999</x:v>
      </x:c>
      <x:c r="U636" s="41" t="n">
        <x:f>IFERROR(E636-M636,"")</x:f>
        <x:v>3.609794999999999</x:v>
      </x:c>
      <x:c r="V636" s="41" t="str">
        <x:f>IF(AND(I636&gt;M636,J636&gt;N636),"Sí","No")</x:f>
        <x:v>Sí</x:v>
      </x:c>
      <x:c r="W636" s="41" t="str">
        <x:f>IF(AND(E636&gt;M636,F636&gt;N636),"Sí","No")</x:f>
        <x:v>Sí</x:v>
      </x:c>
      <x:c r="X636" s="41" t="str">
        <x:f>IF(L636&gt;=H636,"Weekly","No weekly")</x:f>
        <x:v>Weekly</x:v>
      </x:c>
      <x:c r="Y636" s="41" t="n">
        <x:f>IFERROR(I636-E636,"")</x:f>
        <x:v>2.199254</x:v>
      </x:c>
      <x:c r="Z636" s="41" t="n">
        <x:f>IFERROR(J636-F636,"")</x:f>
        <x:v>4.795252999999999</x:v>
      </x:c>
      <x:c r="AA636" s="41" t="n">
        <x:v>11728</x:v>
      </x:c>
      <x:c r="AB636" s="41" t="n">
        <x:v>5801</x:v>
      </x:c>
    </x:row>
    <x:row r="637">
      <x:c r="A637" s="41" t="str">
        <x:v>HYP_REFINE_AUTO002_TOPN_6_V1_DDGRID_LONG_R12_C21_E75_CR40_REDD_RECOVERED_DD6_SL18</x:v>
      </x:c>
      <x:c r="B637" s="41" t="str">
        <x:v>dd_guard_grid</x:v>
      </x:c>
      <x:c r="C637" s="41" t="str">
        <x:v>1999-01-04</x:v>
      </x:c>
      <x:c r="D637" s="41" t="str">
        <x:v>2026-05-22</x:v>
      </x:c>
      <x:c r="E637" s="41" t="n">
        <x:v>11.765356</x:v>
      </x:c>
      <x:c r="F637" s="41" t="n">
        <x:v>-31.460688</x:v>
      </x:c>
      <x:c r="G637" s="41" t="n">
        <x:v>2001.741236</x:v>
      </x:c>
      <x:c r="H637" s="41" t="n">
        <x:f>IFERROR(E637/ABS(F637),"")</x:f>
        <x:v>0.3739700797388792</x:v>
      </x:c>
      <x:c r="I637" s="41" t="n">
        <x:v>11.52132</x:v>
      </x:c>
      <x:c r="J637" s="41" t="n">
        <x:v>-28.891144</x:v>
      </x:c>
      <x:c r="K637" s="41" t="n">
        <x:v>1879.651232</x:v>
      </x:c>
      <x:c r="L637" s="41" t="n">
        <x:f>IFERROR(I637/ABS(J637),"")</x:f>
        <x:v>0.3987837934004967</x:v>
      </x:c>
      <x:c r="M637" s="41" t="n">
        <x:v>6.802475</x:v>
      </x:c>
      <x:c r="N637" s="41" t="n">
        <x:v>-56.473669</x:v>
      </x:c>
      <x:c r="O637" s="41" t="n">
        <x:v>506.057416</x:v>
      </x:c>
      <x:c r="P637" s="41" t="n">
        <x:f>IFERROR(M637/ABS(N637),"")</x:f>
        <x:v>0.12045392340278087</x:v>
      </x:c>
      <x:c r="Q637" s="41" t="str">
        <x:f>IF(L637&gt;=MAX(H637,P637),"Weekly",IF(H637&gt;=MAX(L637,P637),"No weekly","SPY"))</x:f>
        <x:v>Weekly</x:v>
      </x:c>
      <x:c r="R637" s="41" t="n">
        <x:f>IFERROR(L637-P637,"")</x:f>
        <x:v>0.2783298699977158</x:v>
      </x:c>
      <x:c r="S637" s="41" t="n">
        <x:f>IFERROR(H637-P637,"")</x:f>
        <x:v>0.2535161563360983</x:v>
      </x:c>
      <x:c r="T637" s="41" t="n">
        <x:f>IFERROR(I637-M637,"")</x:f>
        <x:v>4.718844999999999</x:v>
      </x:c>
      <x:c r="U637" s="41" t="n">
        <x:f>IFERROR(E637-M637,"")</x:f>
        <x:v>4.962881</x:v>
      </x:c>
      <x:c r="V637" s="41" t="str">
        <x:f>IF(AND(I637&gt;M637,J637&gt;N637),"Sí","No")</x:f>
        <x:v>Sí</x:v>
      </x:c>
      <x:c r="W637" s="41" t="str">
        <x:f>IF(AND(E637&gt;M637,F637&gt;N637),"Sí","No")</x:f>
        <x:v>Sí</x:v>
      </x:c>
      <x:c r="X637" s="41" t="str">
        <x:f>IF(L637&gt;=H637,"Weekly","No weekly")</x:f>
        <x:v>Weekly</x:v>
      </x:c>
      <x:c r="Y637" s="41" t="n">
        <x:f>IFERROR(I637-E637,"")</x:f>
        <x:v>-0.24403600000000125</x:v>
      </x:c>
      <x:c r="Z637" s="41" t="n">
        <x:f>IFERROR(J637-F637,"")</x:f>
        <x:v>2.5695440000000005</x:v>
      </x:c>
      <x:c r="AA637" s="41" t="n">
        <x:v>12258</x:v>
      </x:c>
      <x:c r="AB637" s="41" t="n">
        <x:v>5626</x:v>
      </x:c>
    </x:row>
    <x:row r="638">
      <x:c r="A638" s="41" t="str">
        <x:v>HYP_REFINE_AUTO002_TOPN_6_V1_DDGRID_LONG_R12_C21_E75_CR40_REDD_RECOVERED_DD6_SL20</x:v>
      </x:c>
      <x:c r="B638" s="41" t="str">
        <x:v>dd_guard_grid</x:v>
      </x:c>
      <x:c r="C638" s="41" t="str">
        <x:v>1999-01-04</x:v>
      </x:c>
      <x:c r="D638" s="41" t="str">
        <x:v>2026-05-22</x:v>
      </x:c>
      <x:c r="E638" s="41" t="n">
        <x:v>12.150544</x:v>
      </x:c>
      <x:c r="F638" s="41" t="n">
        <x:v>-32.545222</x:v>
      </x:c>
      <x:c r="G638" s="41" t="n">
        <x:v>2209.338277</x:v>
      </x:c>
      <x:c r="H638" s="41" t="n">
        <x:f>IFERROR(E638/ABS(F638),"")</x:f>
        <x:v>0.373343405062654</x:v>
      </x:c>
      <x:c r="I638" s="41" t="n">
        <x:v>12.811095</x:v>
      </x:c>
      <x:c r="J638" s="41" t="n">
        <x:v>-29.110571</x:v>
      </x:c>
      <x:c r="K638" s="41" t="n">
        <x:v>2612.155521</x:v>
      </x:c>
      <x:c r="L638" s="41" t="n">
        <x:f>IFERROR(I638/ABS(J638),"")</x:f>
        <x:v>0.4400839475117132</x:v>
      </x:c>
      <x:c r="M638" s="41" t="n">
        <x:v>6.802475</x:v>
      </x:c>
      <x:c r="N638" s="41" t="n">
        <x:v>-56.473669</x:v>
      </x:c>
      <x:c r="O638" s="41" t="n">
        <x:v>506.057416</x:v>
      </x:c>
      <x:c r="P638" s="41" t="n">
        <x:f>IFERROR(M638/ABS(N638),"")</x:f>
        <x:v>0.12045392340278087</x:v>
      </x:c>
      <x:c r="Q638" s="41" t="str">
        <x:f>IF(L638&gt;=MAX(H638,P638),"Weekly",IF(H638&gt;=MAX(L638,P638),"No weekly","SPY"))</x:f>
        <x:v>Weekly</x:v>
      </x:c>
      <x:c r="R638" s="41" t="n">
        <x:f>IFERROR(L638-P638,"")</x:f>
        <x:v>0.3196300241089323</x:v>
      </x:c>
      <x:c r="S638" s="41" t="n">
        <x:f>IFERROR(H638-P638,"")</x:f>
        <x:v>0.2528894816598731</x:v>
      </x:c>
      <x:c r="T638" s="41" t="n">
        <x:f>IFERROR(I638-M638,"")</x:f>
        <x:v>6.00862</x:v>
      </x:c>
      <x:c r="U638" s="41" t="n">
        <x:f>IFERROR(E638-M638,"")</x:f>
        <x:v>5.348069</x:v>
      </x:c>
      <x:c r="V638" s="41" t="str">
        <x:f>IF(AND(I638&gt;M638,J638&gt;N638),"Sí","No")</x:f>
        <x:v>Sí</x:v>
      </x:c>
      <x:c r="W638" s="41" t="str">
        <x:f>IF(AND(E638&gt;M638,F638&gt;N638),"Sí","No")</x:f>
        <x:v>Sí</x:v>
      </x:c>
      <x:c r="X638" s="41" t="str">
        <x:f>IF(L638&gt;=H638,"Weekly","No weekly")</x:f>
        <x:v>Weekly</x:v>
      </x:c>
      <x:c r="Y638" s="41" t="n">
        <x:f>IFERROR(I638-E638,"")</x:f>
        <x:v>0.6605509999999999</x:v>
      </x:c>
      <x:c r="Z638" s="41" t="n">
        <x:f>IFERROR(J638-F638,"")</x:f>
        <x:v>3.4346510000000023</x:v>
      </x:c>
      <x:c r="AA638" s="41" t="n">
        <x:v>12411</x:v>
      </x:c>
      <x:c r="AB638" s="41" t="n">
        <x:v>6361</x:v>
      </x:c>
    </x:row>
    <x:row r="639">
      <x:c r="A639" s="41" t="str">
        <x:v>HYP_REFINE_AUTO002_TOPN_6_V1_DDGRID_LONG_R12_C21_E75_CR40_REDD_RECOVERED_DD6_SL22</x:v>
      </x:c>
      <x:c r="B639" s="41" t="str">
        <x:v>dd_guard_grid</x:v>
      </x:c>
      <x:c r="C639" s="41" t="str">
        <x:v>1999-01-04</x:v>
      </x:c>
      <x:c r="D639" s="41" t="str">
        <x:v>2026-05-22</x:v>
      </x:c>
      <x:c r="E639" s="41" t="n">
        <x:v>11.327705</x:v>
      </x:c>
      <x:c r="F639" s="41" t="n">
        <x:v>-33.791205</x:v>
      </x:c>
      <x:c r="G639" s="41" t="n">
        <x:v>1787.67685</x:v>
      </x:c>
      <x:c r="H639" s="41" t="n">
        <x:f>IFERROR(E639/ABS(F639),"")</x:f>
        <x:v>0.33522642948068887</x:v>
      </x:c>
      <x:c r="I639" s="41" t="n">
        <x:v>11.717486</x:v>
      </x:c>
      <x:c r="J639" s="41" t="n">
        <x:v>-28.995952</x:v>
      </x:c>
      <x:c r="K639" s="41" t="n">
        <x:v>1977.233889</x:v>
      </x:c>
      <x:c r="L639" s="41" t="n">
        <x:f>IFERROR(I639/ABS(J639),"")</x:f>
        <x:v>0.40410764923324466</x:v>
      </x:c>
      <x:c r="M639" s="41" t="n">
        <x:v>6.802475</x:v>
      </x:c>
      <x:c r="N639" s="41" t="n">
        <x:v>-56.473669</x:v>
      </x:c>
      <x:c r="O639" s="41" t="n">
        <x:v>506.057416</x:v>
      </x:c>
      <x:c r="P639" s="41" t="n">
        <x:f>IFERROR(M639/ABS(N639),"")</x:f>
        <x:v>0.12045392340278087</x:v>
      </x:c>
      <x:c r="Q639" s="41" t="str">
        <x:f>IF(L639&gt;=MAX(H639,P639),"Weekly",IF(H639&gt;=MAX(L639,P639),"No weekly","SPY"))</x:f>
        <x:v>Weekly</x:v>
      </x:c>
      <x:c r="R639" s="41" t="n">
        <x:f>IFERROR(L639-P639,"")</x:f>
        <x:v>0.2836537258304638</x:v>
      </x:c>
      <x:c r="S639" s="41" t="n">
        <x:f>IFERROR(H639-P639,"")</x:f>
        <x:v>0.214772506077908</x:v>
      </x:c>
      <x:c r="T639" s="41" t="n">
        <x:f>IFERROR(I639-M639,"")</x:f>
        <x:v>4.915010999999999</x:v>
      </x:c>
      <x:c r="U639" s="41" t="n">
        <x:f>IFERROR(E639-M639,"")</x:f>
        <x:v>4.52523</x:v>
      </x:c>
      <x:c r="V639" s="41" t="str">
        <x:f>IF(AND(I639&gt;M639,J639&gt;N639),"Sí","No")</x:f>
        <x:v>Sí</x:v>
      </x:c>
      <x:c r="W639" s="41" t="str">
        <x:f>IF(AND(E639&gt;M639,F639&gt;N639),"Sí","No")</x:f>
        <x:v>Sí</x:v>
      </x:c>
      <x:c r="X639" s="41" t="str">
        <x:f>IF(L639&gt;=H639,"Weekly","No weekly")</x:f>
        <x:v>Weekly</x:v>
      </x:c>
      <x:c r="Y639" s="41" t="n">
        <x:f>IFERROR(I639-E639,"")</x:f>
        <x:v>0.38978099999999927</x:v>
      </x:c>
      <x:c r="Z639" s="41" t="n">
        <x:f>IFERROR(J639-F639,"")</x:f>
        <x:v>4.795252999999999</x:v>
      </x:c>
      <x:c r="AA639" s="41" t="n">
        <x:v>12688</x:v>
      </x:c>
      <x:c r="AB639" s="41" t="n">
        <x:v>6146</x:v>
      </x:c>
    </x:row>
    <x:row r="640">
      <x:c r="A640" s="41" t="str">
        <x:v>HYP_REFINE_AUTO002_TOPN_6_V1_DDGRID_LONG_R12_C21_E75_CR40_REDD_RECOVERED_DD7_SL18</x:v>
      </x:c>
      <x:c r="B640" s="41" t="str">
        <x:v>dd_guard_grid</x:v>
      </x:c>
      <x:c r="C640" s="41" t="str">
        <x:v>1999-01-04</x:v>
      </x:c>
      <x:c r="D640" s="41" t="str">
        <x:v>2026-05-22</x:v>
      </x:c>
      <x:c r="E640" s="41" t="n">
        <x:v>12.294293</x:v>
      </x:c>
      <x:c r="F640" s="41" t="n">
        <x:v>-31.460688</x:v>
      </x:c>
      <x:c r="G640" s="41" t="n">
        <x:v>2291.764038</x:v>
      </x:c>
      <x:c r="H640" s="41" t="n">
        <x:f>IFERROR(E640/ABS(F640),"")</x:f>
        <x:v>0.39078271269846354</x:v>
      </x:c>
      <x:c r="I640" s="41" t="n">
        <x:v>11.837324</x:v>
      </x:c>
      <x:c r="J640" s="41" t="n">
        <x:v>-28.891144</x:v>
      </x:c>
      <x:c r="K640" s="41" t="n">
        <x:v>2039.110403</x:v>
      </x:c>
      <x:c r="L640" s="41" t="n">
        <x:f>IFERROR(I640/ABS(J640),"")</x:f>
        <x:v>0.4097215395832024</x:v>
      </x:c>
      <x:c r="M640" s="41" t="n">
        <x:v>6.802475</x:v>
      </x:c>
      <x:c r="N640" s="41" t="n">
        <x:v>-56.473669</x:v>
      </x:c>
      <x:c r="O640" s="41" t="n">
        <x:v>506.057416</x:v>
      </x:c>
      <x:c r="P640" s="41" t="n">
        <x:f>IFERROR(M640/ABS(N640),"")</x:f>
        <x:v>0.12045392340278087</x:v>
      </x:c>
      <x:c r="Q640" s="41" t="str">
        <x:f>IF(L640&gt;=MAX(H640,P640),"Weekly",IF(H640&gt;=MAX(L640,P640),"No weekly","SPY"))</x:f>
        <x:v>Weekly</x:v>
      </x:c>
      <x:c r="R640" s="41" t="n">
        <x:f>IFERROR(L640-P640,"")</x:f>
        <x:v>0.2892676161804215</x:v>
      </x:c>
      <x:c r="S640" s="41" t="n">
        <x:f>IFERROR(H640-P640,"")</x:f>
        <x:v>0.27032878929568266</x:v>
      </x:c>
      <x:c r="T640" s="41" t="n">
        <x:f>IFERROR(I640-M640,"")</x:f>
        <x:v>5.034849</x:v>
      </x:c>
      <x:c r="U640" s="41" t="n">
        <x:f>IFERROR(E640-M640,"")</x:f>
        <x:v>5.491817999999999</x:v>
      </x:c>
      <x:c r="V640" s="41" t="str">
        <x:f>IF(AND(I640&gt;M640,J640&gt;N640),"Sí","No")</x:f>
        <x:v>Sí</x:v>
      </x:c>
      <x:c r="W640" s="41" t="str">
        <x:f>IF(AND(E640&gt;M640,F640&gt;N640),"Sí","No")</x:f>
        <x:v>Sí</x:v>
      </x:c>
      <x:c r="X640" s="41" t="str">
        <x:f>IF(L640&gt;=H640,"Weekly","No weekly")</x:f>
        <x:v>Weekly</x:v>
      </x:c>
      <x:c r="Y640" s="41" t="n">
        <x:f>IFERROR(I640-E640,"")</x:f>
        <x:v>-0.45696899999999907</x:v>
      </x:c>
      <x:c r="Z640" s="41" t="n">
        <x:f>IFERROR(J640-F640,"")</x:f>
        <x:v>2.5695440000000005</x:v>
      </x:c>
      <x:c r="AA640" s="41" t="n">
        <x:v>12059</x:v>
      </x:c>
      <x:c r="AB640" s="41" t="n">
        <x:v>5547</x:v>
      </x:c>
    </x:row>
    <x:row r="641">
      <x:c r="A641" s="41" t="str">
        <x:v>HYP_REFINE_AUTO002_TOPN_6_V1_DDGRID_LONG_R12_C21_E75_CR40_REDD_RECOVERED_DD7_SL20</x:v>
      </x:c>
      <x:c r="B641" s="41" t="str">
        <x:v>dd_guard_grid</x:v>
      </x:c>
      <x:c r="C641" s="41" t="str">
        <x:v>1999-01-04</x:v>
      </x:c>
      <x:c r="D641" s="41" t="str">
        <x:v>2026-05-22</x:v>
      </x:c>
      <x:c r="E641" s="41" t="n">
        <x:v>12.146255</x:v>
      </x:c>
      <x:c r="F641" s="41" t="n">
        <x:v>-32.545222</x:v>
      </x:c>
      <x:c r="G641" s="41" t="n">
        <x:v>2206.921919</x:v>
      </x:c>
      <x:c r="H641" s="41" t="n">
        <x:f>IFERROR(E641/ABS(F641),"")</x:f>
        <x:v>0.37321161920480983</x:v>
      </x:c>
      <x:c r="I641" s="41" t="n">
        <x:v>13.16829</x:v>
      </x:c>
      <x:c r="J641" s="41" t="n">
        <x:v>-29.110571</x:v>
      </x:c>
      <x:c r="K641" s="41" t="n">
        <x:v>2857.35574</x:v>
      </x:c>
      <x:c r="L641" s="41" t="n">
        <x:f>IFERROR(I641/ABS(J641),"")</x:f>
        <x:v>0.45235423241955647</x:v>
      </x:c>
      <x:c r="M641" s="41" t="n">
        <x:v>6.802475</x:v>
      </x:c>
      <x:c r="N641" s="41" t="n">
        <x:v>-56.473669</x:v>
      </x:c>
      <x:c r="O641" s="41" t="n">
        <x:v>506.057416</x:v>
      </x:c>
      <x:c r="P641" s="41" t="n">
        <x:f>IFERROR(M641/ABS(N641),"")</x:f>
        <x:v>0.12045392340278087</x:v>
      </x:c>
      <x:c r="Q641" s="41" t="str">
        <x:f>IF(L641&gt;=MAX(H641,P641),"Weekly",IF(H641&gt;=MAX(L641,P641),"No weekly","SPY"))</x:f>
        <x:v>Weekly</x:v>
      </x:c>
      <x:c r="R641" s="41" t="n">
        <x:f>IFERROR(L641-P641,"")</x:f>
        <x:v>0.3319003090167756</x:v>
      </x:c>
      <x:c r="S641" s="41" t="n">
        <x:f>IFERROR(H641-P641,"")</x:f>
        <x:v>0.25275769580202895</x:v>
      </x:c>
      <x:c r="T641" s="41" t="n">
        <x:f>IFERROR(I641-M641,"")</x:f>
        <x:v>6.3658150000000004</x:v>
      </x:c>
      <x:c r="U641" s="41" t="n">
        <x:f>IFERROR(E641-M641,"")</x:f>
        <x:v>5.34378</x:v>
      </x:c>
      <x:c r="V641" s="41" t="str">
        <x:f>IF(AND(I641&gt;M641,J641&gt;N641),"Sí","No")</x:f>
        <x:v>Sí</x:v>
      </x:c>
      <x:c r="W641" s="41" t="str">
        <x:f>IF(AND(E641&gt;M641,F641&gt;N641),"Sí","No")</x:f>
        <x:v>Sí</x:v>
      </x:c>
      <x:c r="X641" s="41" t="str">
        <x:f>IF(L641&gt;=H641,"Weekly","No weekly")</x:f>
        <x:v>Weekly</x:v>
      </x:c>
      <x:c r="Y641" s="41" t="n">
        <x:f>IFERROR(I641-E641,"")</x:f>
        <x:v>1.0220350000000007</x:v>
      </x:c>
      <x:c r="Z641" s="41" t="n">
        <x:f>IFERROR(J641-F641,"")</x:f>
        <x:v>3.4346510000000023</x:v>
      </x:c>
      <x:c r="AA641" s="41" t="n">
        <x:v>11947</x:v>
      </x:c>
      <x:c r="AB641" s="41" t="n">
        <x:v>6131</x:v>
      </x:c>
    </x:row>
    <x:row r="642">
      <x:c r="A642" s="41" t="str">
        <x:v>HYP_REFINE_AUTO002_TOPN_6_V1_DDGRID_LONG_R12_C21_E75_CR40_REDD_RECOVERED_DD7_SL22</x:v>
      </x:c>
      <x:c r="B642" s="41" t="str">
        <x:v>dd_guard_grid</x:v>
      </x:c>
      <x:c r="C642" s="41" t="str">
        <x:v>1999-01-04</x:v>
      </x:c>
      <x:c r="D642" s="41" t="str">
        <x:v>2026-05-22</x:v>
      </x:c>
      <x:c r="E642" s="41" t="n">
        <x:v>11.208852</x:v>
      </x:c>
      <x:c r="F642" s="41" t="n">
        <x:v>-33.791205</x:v>
      </x:c>
      <x:c r="G642" s="41" t="n">
        <x:v>1733.271472</x:v>
      </x:c>
      <x:c r="H642" s="41" t="n">
        <x:f>IFERROR(E642/ABS(F642),"")</x:f>
        <x:v>0.3317091533137099</x:v>
      </x:c>
      <x:c r="I642" s="41" t="n">
        <x:v>12.09125</x:v>
      </x:c>
      <x:c r="J642" s="41" t="n">
        <x:v>-28.995952</x:v>
      </x:c>
      <x:c r="K642" s="41" t="n">
        <x:v>2176.142714</x:v>
      </x:c>
      <x:c r="L642" s="41" t="n">
        <x:f>IFERROR(I642/ABS(J642),"")</x:f>
        <x:v>0.41699786232229935</x:v>
      </x:c>
      <x:c r="M642" s="41" t="n">
        <x:v>6.802475</x:v>
      </x:c>
      <x:c r="N642" s="41" t="n">
        <x:v>-56.473669</x:v>
      </x:c>
      <x:c r="O642" s="41" t="n">
        <x:v>506.057416</x:v>
      </x:c>
      <x:c r="P642" s="41" t="n">
        <x:f>IFERROR(M642/ABS(N642),"")</x:f>
        <x:v>0.12045392340278087</x:v>
      </x:c>
      <x:c r="Q642" s="41" t="str">
        <x:f>IF(L642&gt;=MAX(H642,P642),"Weekly",IF(H642&gt;=MAX(L642,P642),"No weekly","SPY"))</x:f>
        <x:v>Weekly</x:v>
      </x:c>
      <x:c r="R642" s="41" t="n">
        <x:f>IFERROR(L642-P642,"")</x:f>
        <x:v>0.29654393891951847</x:v>
      </x:c>
      <x:c r="S642" s="41" t="n">
        <x:f>IFERROR(H642-P642,"")</x:f>
        <x:v>0.21125522991092904</x:v>
      </x:c>
      <x:c r="T642" s="41" t="n">
        <x:f>IFERROR(I642-M642,"")</x:f>
        <x:v>5.288775</x:v>
      </x:c>
      <x:c r="U642" s="41" t="n">
        <x:f>IFERROR(E642-M642,"")</x:f>
        <x:v>4.406377</x:v>
      </x:c>
      <x:c r="V642" s="41" t="str">
        <x:f>IF(AND(I642&gt;M642,J642&gt;N642),"Sí","No")</x:f>
        <x:v>Sí</x:v>
      </x:c>
      <x:c r="W642" s="41" t="str">
        <x:f>IF(AND(E642&gt;M642,F642&gt;N642),"Sí","No")</x:f>
        <x:v>Sí</x:v>
      </x:c>
      <x:c r="X642" s="41" t="str">
        <x:f>IF(L642&gt;=H642,"Weekly","No weekly")</x:f>
        <x:v>Weekly</x:v>
      </x:c>
      <x:c r="Y642" s="41" t="n">
        <x:f>IFERROR(I642-E642,"")</x:f>
        <x:v>0.8823980000000002</x:v>
      </x:c>
      <x:c r="Z642" s="41" t="n">
        <x:f>IFERROR(J642-F642,"")</x:f>
        <x:v>4.795252999999999</x:v>
      </x:c>
      <x:c r="AA642" s="41" t="n">
        <x:v>12307</x:v>
      </x:c>
      <x:c r="AB642" s="41" t="n">
        <x:v>5906</x:v>
      </x:c>
    </x:row>
    <x:row r="643">
      <x:c r="A643" s="41" t="str">
        <x:v>HYP_REFINE_AUTO002_TOPN_6_V1_DDGRID_LONG_R12_C21_E75_CR40_REDD_RECOVERED_DD7_SL24</x:v>
      </x:c>
      <x:c r="B643" s="41" t="str">
        <x:v>dd_guard_grid</x:v>
      </x:c>
      <x:c r="C643" s="41" t="str">
        <x:v>1999-01-04</x:v>
      </x:c>
      <x:c r="D643" s="41" t="str">
        <x:v>2026-05-22</x:v>
      </x:c>
      <x:c r="E643" s="41" t="n">
        <x:v>12.053743</x:v>
      </x:c>
      <x:c r="F643" s="41" t="n">
        <x:v>-32.168968</x:v>
      </x:c>
      <x:c r="G643" s="41" t="n">
        <x:v>2155.382295</x:v>
      </x:c>
      <x:c r="H643" s="41" t="n">
        <x:f>IFERROR(E643/ABS(F643),"")</x:f>
        <x:v>0.3747009540374438</x:v>
      </x:c>
      <x:c r="I643" s="41" t="n">
        <x:v>12.765915</x:v>
      </x:c>
      <x:c r="J643" s="41" t="n">
        <x:v>-29.132874</x:v>
      </x:c>
      <x:c r="K643" s="41" t="n">
        <x:v>2582.57379</x:v>
      </x:c>
      <x:c r="L643" s="41" t="n">
        <x:f>IFERROR(I643/ABS(J643),"")</x:f>
        <x:v>0.43819621091966415</x:v>
      </x:c>
      <x:c r="M643" s="41" t="n">
        <x:v>6.802475</x:v>
      </x:c>
      <x:c r="N643" s="41" t="n">
        <x:v>-56.473669</x:v>
      </x:c>
      <x:c r="O643" s="41" t="n">
        <x:v>506.057416</x:v>
      </x:c>
      <x:c r="P643" s="41" t="n">
        <x:f>IFERROR(M643/ABS(N643),"")</x:f>
        <x:v>0.12045392340278087</x:v>
      </x:c>
      <x:c r="Q643" s="41" t="str">
        <x:f>IF(L643&gt;=MAX(H643,P643),"Weekly",IF(H643&gt;=MAX(L643,P643),"No weekly","SPY"))</x:f>
        <x:v>Weekly</x:v>
      </x:c>
      <x:c r="R643" s="41" t="n">
        <x:f>IFERROR(L643-P643,"")</x:f>
        <x:v>0.31774228751688327</x:v>
      </x:c>
      <x:c r="S643" s="41" t="n">
        <x:f>IFERROR(H643-P643,"")</x:f>
        <x:v>0.2542470306346629</x:v>
      </x:c>
      <x:c r="T643" s="41" t="n">
        <x:f>IFERROR(I643-M643,"")</x:f>
        <x:v>5.963439999999999</x:v>
      </x:c>
      <x:c r="U643" s="41" t="n">
        <x:f>IFERROR(E643-M643,"")</x:f>
        <x:v>5.2512680000000005</x:v>
      </x:c>
      <x:c r="V643" s="41" t="str">
        <x:f>IF(AND(I643&gt;M643,J643&gt;N643),"Sí","No")</x:f>
        <x:v>Sí</x:v>
      </x:c>
      <x:c r="W643" s="41" t="str">
        <x:f>IF(AND(E643&gt;M643,F643&gt;N643),"Sí","No")</x:f>
        <x:v>Sí</x:v>
      </x:c>
      <x:c r="X643" s="41" t="str">
        <x:f>IF(L643&gt;=H643,"Weekly","No weekly")</x:f>
        <x:v>Weekly</x:v>
      </x:c>
      <x:c r="Y643" s="41" t="n">
        <x:f>IFERROR(I643-E643,"")</x:f>
        <x:v>0.7121719999999989</x:v>
      </x:c>
      <x:c r="Z643" s="41" t="n">
        <x:f>IFERROR(J643-F643,"")</x:f>
        <x:v>3.0360939999999985</x:v>
      </x:c>
      <x:c r="AA643" s="41" t="n">
        <x:v>12218</x:v>
      </x:c>
      <x:c r="AB643" s="41" t="n">
        <x:v>6045</x:v>
      </x:c>
    </x:row>
    <x:row r="644">
      <x:c r="A644" s="41" t="str">
        <x:v>HYP_REFINE_AUTO002_TOPN_6_V1_DDGRID_LONG_R12_C21_E75_CR40_REDD_RECOVERED_DD7_SLNONE</x:v>
      </x:c>
      <x:c r="B644" s="41" t="str">
        <x:v>dd_guard_grid</x:v>
      </x:c>
      <x:c r="C644" s="41" t="str">
        <x:v>1999-01-04</x:v>
      </x:c>
      <x:c r="D644" s="41" t="str">
        <x:v>2026-05-22</x:v>
      </x:c>
      <x:c r="E644" s="41" t="n">
        <x:v>12.269576</x:v>
      </x:c>
      <x:c r="F644" s="41" t="n">
        <x:v>-33.374366</x:v>
      </x:c>
      <x:c r="G644" s="41" t="n">
        <x:v>2277.391854</x:v>
      </x:c>
      <x:c r="H644" s="41" t="n">
        <x:f>IFERROR(E644/ABS(F644),"")</x:f>
        <x:v>0.367634729001294</x:v>
      </x:c>
      <x:c r="I644" s="41" t="n">
        <x:v>13.201547</x:v>
      </x:c>
      <x:c r="J644" s="41" t="n">
        <x:v>-28.539961</x:v>
      </x:c>
      <x:c r="K644" s="41" t="n">
        <x:v>2881.242305</x:v>
      </x:c>
      <x:c r="L644" s="41" t="n">
        <x:f>IFERROR(I644/ABS(J644),"")</x:f>
        <x:v>0.4625635963552998</x:v>
      </x:c>
      <x:c r="M644" s="41" t="n">
        <x:v>6.802475</x:v>
      </x:c>
      <x:c r="N644" s="41" t="n">
        <x:v>-56.473669</x:v>
      </x:c>
      <x:c r="O644" s="41" t="n">
        <x:v>506.057416</x:v>
      </x:c>
      <x:c r="P644" s="41" t="n">
        <x:f>IFERROR(M644/ABS(N644),"")</x:f>
        <x:v>0.12045392340278087</x:v>
      </x:c>
      <x:c r="Q644" s="41" t="str">
        <x:f>IF(L644&gt;=MAX(H644,P644),"Weekly",IF(H644&gt;=MAX(L644,P644),"No weekly","SPY"))</x:f>
        <x:v>Weekly</x:v>
      </x:c>
      <x:c r="R644" s="41" t="n">
        <x:f>IFERROR(L644-P644,"")</x:f>
        <x:v>0.34210967295251893</x:v>
      </x:c>
      <x:c r="S644" s="41" t="n">
        <x:f>IFERROR(H644-P644,"")</x:f>
        <x:v>0.24718080559851313</x:v>
      </x:c>
      <x:c r="T644" s="41" t="n">
        <x:f>IFERROR(I644-M644,"")</x:f>
        <x:v>6.399071999999999</x:v>
      </x:c>
      <x:c r="U644" s="41" t="n">
        <x:f>IFERROR(E644-M644,"")</x:f>
        <x:v>5.467101</x:v>
      </x:c>
      <x:c r="V644" s="41" t="str">
        <x:f>IF(AND(I644&gt;M644,J644&gt;N644),"Sí","No")</x:f>
        <x:v>Sí</x:v>
      </x:c>
      <x:c r="W644" s="41" t="str">
        <x:f>IF(AND(E644&gt;M644,F644&gt;N644),"Sí","No")</x:f>
        <x:v>Sí</x:v>
      </x:c>
      <x:c r="X644" s="41" t="str">
        <x:f>IF(L644&gt;=H644,"Weekly","No weekly")</x:f>
        <x:v>Weekly</x:v>
      </x:c>
      <x:c r="Y644" s="41" t="n">
        <x:f>IFERROR(I644-E644,"")</x:f>
        <x:v>0.931970999999999</x:v>
      </x:c>
      <x:c r="Z644" s="41" t="n">
        <x:f>IFERROR(J644-F644,"")</x:f>
        <x:v>4.834405</x:v>
      </x:c>
      <x:c r="AA644" s="41" t="n">
        <x:v>12137</x:v>
      </x:c>
      <x:c r="AB644" s="41" t="n">
        <x:v>6551</x:v>
      </x:c>
    </x:row>
    <x:row r="645">
      <x:c r="A645" s="41" t="str">
        <x:v>HYP_REFINE_AUTO002_TOPN_6_V1_DDGRID_LONG_R12_C21_E75_CR40_REDD_RECOVERED_DD8_SL18</x:v>
      </x:c>
      <x:c r="B645" s="41" t="str">
        <x:v>dd_guard_grid</x:v>
      </x:c>
      <x:c r="C645" s="41" t="str">
        <x:v>1999-01-04</x:v>
      </x:c>
      <x:c r="D645" s="41" t="str">
        <x:v>2026-05-22</x:v>
      </x:c>
      <x:c r="E645" s="41" t="n">
        <x:v>11.805966</x:v>
      </x:c>
      <x:c r="F645" s="41" t="n">
        <x:v>-31.460688</x:v>
      </x:c>
      <x:c r="G645" s="41" t="n">
        <x:v>2022.749653</x:v>
      </x:c>
      <x:c r="H645" s="41" t="n">
        <x:f>IFERROR(E645/ABS(F645),"")</x:f>
        <x:v>0.3752608970280624</x:v>
      </x:c>
      <x:c r="I645" s="41" t="n">
        <x:v>12.183198</x:v>
      </x:c>
      <x:c r="J645" s="41" t="n">
        <x:v>-28.891144</x:v>
      </x:c>
      <x:c r="K645" s="41" t="n">
        <x:v>2227.818263</x:v>
      </x:c>
      <x:c r="L645" s="41" t="n">
        <x:f>IFERROR(I645/ABS(J645),"")</x:f>
        <x:v>0.4216931665980413</x:v>
      </x:c>
      <x:c r="M645" s="41" t="n">
        <x:v>6.802475</x:v>
      </x:c>
      <x:c r="N645" s="41" t="n">
        <x:v>-56.473669</x:v>
      </x:c>
      <x:c r="O645" s="41" t="n">
        <x:v>506.057416</x:v>
      </x:c>
      <x:c r="P645" s="41" t="n">
        <x:f>IFERROR(M645/ABS(N645),"")</x:f>
        <x:v>0.12045392340278087</x:v>
      </x:c>
      <x:c r="Q645" s="41" t="str">
        <x:f>IF(L645&gt;=MAX(H645,P645),"Weekly",IF(H645&gt;=MAX(L645,P645),"No weekly","SPY"))</x:f>
        <x:v>Weekly</x:v>
      </x:c>
      <x:c r="R645" s="41" t="n">
        <x:f>IFERROR(L645-P645,"")</x:f>
        <x:v>0.3012392431952604</x:v>
      </x:c>
      <x:c r="S645" s="41" t="n">
        <x:f>IFERROR(H645-P645,"")</x:f>
        <x:v>0.25480697362528154</x:v>
      </x:c>
      <x:c r="T645" s="41" t="n">
        <x:f>IFERROR(I645-M645,"")</x:f>
        <x:v>5.380723000000001</x:v>
      </x:c>
      <x:c r="U645" s="41" t="n">
        <x:f>IFERROR(E645-M645,"")</x:f>
        <x:v>5.0034909999999995</x:v>
      </x:c>
      <x:c r="V645" s="41" t="str">
        <x:f>IF(AND(I645&gt;M645,J645&gt;N645),"Sí","No")</x:f>
        <x:v>Sí</x:v>
      </x:c>
      <x:c r="W645" s="41" t="str">
        <x:f>IF(AND(E645&gt;M645,F645&gt;N645),"Sí","No")</x:f>
        <x:v>Sí</x:v>
      </x:c>
      <x:c r="X645" s="41" t="str">
        <x:f>IF(L645&gt;=H645,"Weekly","No weekly")</x:f>
        <x:v>Weekly</x:v>
      </x:c>
      <x:c r="Y645" s="41" t="n">
        <x:f>IFERROR(I645-E645,"")</x:f>
        <x:v>0.3772320000000011</x:v>
      </x:c>
      <x:c r="Z645" s="41" t="n">
        <x:f>IFERROR(J645-F645,"")</x:f>
        <x:v>2.5695440000000005</x:v>
      </x:c>
      <x:c r="AA645" s="41" t="n">
        <x:v>11841</x:v>
      </x:c>
      <x:c r="AB645" s="41" t="n">
        <x:v>5689</x:v>
      </x:c>
    </x:row>
    <x:row r="646">
      <x:c r="A646" s="41" t="str">
        <x:v>HYP_REFINE_AUTO002_TOPN_6_V1_DDGRID_LONG_R12_C21_E75_CR40_REDD_RECOVERED_DD8_SL20</x:v>
      </x:c>
      <x:c r="B646" s="41" t="str">
        <x:v>dd_guard_grid</x:v>
      </x:c>
      <x:c r="C646" s="41" t="str">
        <x:v>1999-01-04</x:v>
      </x:c>
      <x:c r="D646" s="41" t="str">
        <x:v>2026-05-22</x:v>
      </x:c>
      <x:c r="E646" s="41" t="n">
        <x:v>13.18495</x:v>
      </x:c>
      <x:c r="F646" s="41" t="n">
        <x:v>-32.545222</x:v>
      </x:c>
      <x:c r="G646" s="41" t="n">
        <x:v>2869.298948</x:v>
      </x:c>
      <x:c r="H646" s="41" t="n">
        <x:f>IFERROR(E646/ABS(F646),"")</x:f>
        <x:v>0.4051270567458412</x:v>
      </x:c>
      <x:c r="I646" s="41" t="n">
        <x:v>13.504466</x:v>
      </x:c>
      <x:c r="J646" s="41" t="n">
        <x:v>-29.110571</x:v>
      </x:c>
      <x:c r="K646" s="41" t="n">
        <x:v>3107.542805</x:v>
      </x:c>
      <x:c r="L646" s="41" t="n">
        <x:f>IFERROR(I646/ABS(J646),"")</x:f>
        <x:v>0.46390247721351807</x:v>
      </x:c>
      <x:c r="M646" s="41" t="n">
        <x:v>6.802475</x:v>
      </x:c>
      <x:c r="N646" s="41" t="n">
        <x:v>-56.473669</x:v>
      </x:c>
      <x:c r="O646" s="41" t="n">
        <x:v>506.057416</x:v>
      </x:c>
      <x:c r="P646" s="41" t="n">
        <x:f>IFERROR(M646/ABS(N646),"")</x:f>
        <x:v>0.12045392340278087</x:v>
      </x:c>
      <x:c r="Q646" s="41" t="str">
        <x:f>IF(L646&gt;=MAX(H646,P646),"Weekly",IF(H646&gt;=MAX(L646,P646),"No weekly","SPY"))</x:f>
        <x:v>Weekly</x:v>
      </x:c>
      <x:c r="R646" s="41" t="n">
        <x:f>IFERROR(L646-P646,"")</x:f>
        <x:v>0.3434485538107372</x:v>
      </x:c>
      <x:c r="S646" s="41" t="n">
        <x:f>IFERROR(H646-P646,"")</x:f>
        <x:v>0.2846731333430603</x:v>
      </x:c>
      <x:c r="T646" s="41" t="n">
        <x:f>IFERROR(I646-M646,"")</x:f>
        <x:v>6.7019910000000005</x:v>
      </x:c>
      <x:c r="U646" s="41" t="n">
        <x:f>IFERROR(E646-M646,"")</x:f>
        <x:v>6.382475</x:v>
      </x:c>
      <x:c r="V646" s="41" t="str">
        <x:f>IF(AND(I646&gt;M646,J646&gt;N646),"Sí","No")</x:f>
        <x:v>Sí</x:v>
      </x:c>
      <x:c r="W646" s="41" t="str">
        <x:f>IF(AND(E646&gt;M646,F646&gt;N646),"Sí","No")</x:f>
        <x:v>Sí</x:v>
      </x:c>
      <x:c r="X646" s="41" t="str">
        <x:f>IF(L646&gt;=H646,"Weekly","No weekly")</x:f>
        <x:v>Weekly</x:v>
      </x:c>
      <x:c r="Y646" s="41" t="n">
        <x:f>IFERROR(I646-E646,"")</x:f>
        <x:v>0.31951600000000013</x:v>
      </x:c>
      <x:c r="Z646" s="41" t="n">
        <x:f>IFERROR(J646-F646,"")</x:f>
        <x:v>3.4346510000000023</x:v>
      </x:c>
      <x:c r="AA646" s="41" t="n">
        <x:v>11759</x:v>
      </x:c>
      <x:c r="AB646" s="41" t="n">
        <x:v>5852</x:v>
      </x:c>
    </x:row>
    <x:row r="647">
      <x:c r="A647" s="41" t="str">
        <x:v>HYP_REFINE_AUTO002_TOPN_6_V1_DDGRID_LONG_R12_C21_E75_CR40_REDD_RECOVERED_DD8_SL22</x:v>
      </x:c>
      <x:c r="B647" s="41" t="str">
        <x:v>dd_guard_grid</x:v>
      </x:c>
      <x:c r="C647" s="41" t="str">
        <x:v>1999-01-04</x:v>
      </x:c>
      <x:c r="D647" s="41" t="str">
        <x:v>2026-05-22</x:v>
      </x:c>
      <x:c r="E647" s="41" t="n">
        <x:v>11.05589</x:v>
      </x:c>
      <x:c r="F647" s="41" t="n">
        <x:v>-33.791205</x:v>
      </x:c>
      <x:c r="G647" s="41" t="n">
        <x:v>1665.472431</x:v>
      </x:c>
      <x:c r="H647" s="41" t="n">
        <x:f>IFERROR(E647/ABS(F647),"")</x:f>
        <x:v>0.32718247248063514</x:v>
      </x:c>
      <x:c r="I647" s="41" t="n">
        <x:v>12.455201</x:v>
      </x:c>
      <x:c r="J647" s="41" t="n">
        <x:v>-28.995952</x:v>
      </x:c>
      <x:c r="K647" s="41" t="n">
        <x:v>2387.390194</x:v>
      </x:c>
      <x:c r="L647" s="41" t="n">
        <x:f>IFERROR(I647/ABS(J647),"")</x:f>
        <x:v>0.42954964886133074</x:v>
      </x:c>
      <x:c r="M647" s="41" t="n">
        <x:v>6.802475</x:v>
      </x:c>
      <x:c r="N647" s="41" t="n">
        <x:v>-56.473669</x:v>
      </x:c>
      <x:c r="O647" s="41" t="n">
        <x:v>506.057416</x:v>
      </x:c>
      <x:c r="P647" s="41" t="n">
        <x:f>IFERROR(M647/ABS(N647),"")</x:f>
        <x:v>0.12045392340278087</x:v>
      </x:c>
      <x:c r="Q647" s="41" t="str">
        <x:f>IF(L647&gt;=MAX(H647,P647),"Weekly",IF(H647&gt;=MAX(L647,P647),"No weekly","SPY"))</x:f>
        <x:v>Weekly</x:v>
      </x:c>
      <x:c r="R647" s="41" t="n">
        <x:f>IFERROR(L647-P647,"")</x:f>
        <x:v>0.30909572545854985</x:v>
      </x:c>
      <x:c r="S647" s="41" t="n">
        <x:f>IFERROR(H647-P647,"")</x:f>
        <x:v>0.20672854907785426</x:v>
      </x:c>
      <x:c r="T647" s="41" t="n">
        <x:f>IFERROR(I647-M647,"")</x:f>
        <x:v>5.652726</x:v>
      </x:c>
      <x:c r="U647" s="41" t="n">
        <x:f>IFERROR(E647-M647,"")</x:f>
        <x:v>4.2534149999999995</x:v>
      </x:c>
      <x:c r="V647" s="41" t="str">
        <x:f>IF(AND(I647&gt;M647,J647&gt;N647),"Sí","No")</x:f>
        <x:v>Sí</x:v>
      </x:c>
      <x:c r="W647" s="41" t="str">
        <x:f>IF(AND(E647&gt;M647,F647&gt;N647),"Sí","No")</x:f>
        <x:v>Sí</x:v>
      </x:c>
      <x:c r="X647" s="41" t="str">
        <x:f>IF(L647&gt;=H647,"Weekly","No weekly")</x:f>
        <x:v>Weekly</x:v>
      </x:c>
      <x:c r="Y647" s="41" t="n">
        <x:f>IFERROR(I647-E647,"")</x:f>
        <x:v>1.3993110000000009</x:v>
      </x:c>
      <x:c r="Z647" s="41" t="n">
        <x:f>IFERROR(J647-F647,"")</x:f>
        <x:v>4.795252999999999</x:v>
      </x:c>
      <x:c r="AA647" s="41" t="n">
        <x:v>12129</x:v>
      </x:c>
      <x:c r="AB647" s="41" t="n">
        <x:v>5856</x:v>
      </x:c>
    </x:row>
    <x:row r="648">
      <x:c r="A648" s="41" t="str">
        <x:v>HYP_REFINE_AUTO002_TOPN_6_V1_DDGRID_LONG_R12_C21_E75_CR40_REDD_RECOVERED_DD8_SL24</x:v>
      </x:c>
      <x:c r="B648" s="41" t="str">
        <x:v>dd_guard_grid</x:v>
      </x:c>
      <x:c r="C648" s="41" t="str">
        <x:v>1999-01-04</x:v>
      </x:c>
      <x:c r="D648" s="41" t="str">
        <x:v>2026-05-22</x:v>
      </x:c>
      <x:c r="E648" s="41" t="n">
        <x:v>11.84493</x:v>
      </x:c>
      <x:c r="F648" s="41" t="n">
        <x:v>-32.161394</x:v>
      </x:c>
      <x:c r="G648" s="41" t="n">
        <x:v>2043.096766</x:v>
      </x:c>
      <x:c r="H648" s="41" t="n">
        <x:f>IFERROR(E648/ABS(F648),"")</x:f>
        <x:v>0.3682965359026415</x:v>
      </x:c>
      <x:c r="I648" s="41" t="n">
        <x:v>13.273164</x:v>
      </x:c>
      <x:c r="J648" s="41" t="n">
        <x:v>-29.132874</x:v>
      </x:c>
      <x:c r="K648" s="41" t="n">
        <x:v>2933.313744</x:v>
      </x:c>
      <x:c r="L648" s="41" t="n">
        <x:f>IFERROR(I648/ABS(J648),"")</x:f>
        <x:v>0.45560777834689425</x:v>
      </x:c>
      <x:c r="M648" s="41" t="n">
        <x:v>6.802475</x:v>
      </x:c>
      <x:c r="N648" s="41" t="n">
        <x:v>-56.473669</x:v>
      </x:c>
      <x:c r="O648" s="41" t="n">
        <x:v>506.057416</x:v>
      </x:c>
      <x:c r="P648" s="41" t="n">
        <x:f>IFERROR(M648/ABS(N648),"")</x:f>
        <x:v>0.12045392340278087</x:v>
      </x:c>
      <x:c r="Q648" s="41" t="str">
        <x:f>IF(L648&gt;=MAX(H648,P648),"Weekly",IF(H648&gt;=MAX(L648,P648),"No weekly","SPY"))</x:f>
        <x:v>Weekly</x:v>
      </x:c>
      <x:c r="R648" s="41" t="n">
        <x:f>IFERROR(L648-P648,"")</x:f>
        <x:v>0.33515385494411337</x:v>
      </x:c>
      <x:c r="S648" s="41" t="n">
        <x:f>IFERROR(H648-P648,"")</x:f>
        <x:v>0.24784261249986062</x:v>
      </x:c>
      <x:c r="T648" s="41" t="n">
        <x:f>IFERROR(I648-M648,"")</x:f>
        <x:v>6.470688999999999</x:v>
      </x:c>
      <x:c r="U648" s="41" t="n">
        <x:f>IFERROR(E648-M648,"")</x:f>
        <x:v>5.0424549999999995</x:v>
      </x:c>
      <x:c r="V648" s="41" t="str">
        <x:f>IF(AND(I648&gt;M648,J648&gt;N648),"Sí","No")</x:f>
        <x:v>Sí</x:v>
      </x:c>
      <x:c r="W648" s="41" t="str">
        <x:f>IF(AND(E648&gt;M648,F648&gt;N648),"Sí","No")</x:f>
        <x:v>Sí</x:v>
      </x:c>
      <x:c r="X648" s="41" t="str">
        <x:f>IF(L648&gt;=H648,"Weekly","No weekly")</x:f>
        <x:v>Weekly</x:v>
      </x:c>
      <x:c r="Y648" s="41" t="n">
        <x:f>IFERROR(I648-E648,"")</x:f>
        <x:v>1.4282339999999998</x:v>
      </x:c>
      <x:c r="Z648" s="41" t="n">
        <x:f>IFERROR(J648-F648,"")</x:f>
        <x:v>3.0285200000000003</x:v>
      </x:c>
      <x:c r="AA648" s="41" t="n">
        <x:v>11985</x:v>
      </x:c>
      <x:c r="AB648" s="41" t="n">
        <x:v>5863</x:v>
      </x:c>
    </x:row>
    <x:row r="649">
      <x:c r="A649" s="41" t="str">
        <x:v>HYP_REFINE_AUTO002_TOPN_6_V1_DDGRID_LONG_R12_C21_E75_CR40_REDD_RECOVERED_DD8_SLNONE</x:v>
      </x:c>
      <x:c r="B649" s="41" t="str">
        <x:v>dd_guard_grid</x:v>
      </x:c>
      <x:c r="C649" s="41" t="str">
        <x:v>1999-01-04</x:v>
      </x:c>
      <x:c r="D649" s="41" t="str">
        <x:v>2026-05-22</x:v>
      </x:c>
      <x:c r="E649" s="41" t="n">
        <x:v>12.171733</x:v>
      </x:c>
      <x:c r="F649" s="41" t="n">
        <x:v>-33.374366</x:v>
      </x:c>
      <x:c r="G649" s="41" t="n">
        <x:v>2221.313829</x:v>
      </x:c>
      <x:c r="H649" s="41" t="n">
        <x:f>IFERROR(E649/ABS(F649),"")</x:f>
        <x:v>0.3647030478421672</x:v>
      </x:c>
      <x:c r="I649" s="41" t="n">
        <x:v>13.383512</x:v>
      </x:c>
      <x:c r="J649" s="41" t="n">
        <x:v>-28.539961</x:v>
      </x:c>
      <x:c r="K649" s="41" t="n">
        <x:v>3015.265404</x:v>
      </x:c>
      <x:c r="L649" s="41" t="n">
        <x:f>IFERROR(I649/ABS(J649),"")</x:f>
        <x:v>0.46893939343505053</x:v>
      </x:c>
      <x:c r="M649" s="41" t="n">
        <x:v>6.802475</x:v>
      </x:c>
      <x:c r="N649" s="41" t="n">
        <x:v>-56.473669</x:v>
      </x:c>
      <x:c r="O649" s="41" t="n">
        <x:v>506.057416</x:v>
      </x:c>
      <x:c r="P649" s="41" t="n">
        <x:f>IFERROR(M649/ABS(N649),"")</x:f>
        <x:v>0.12045392340278087</x:v>
      </x:c>
      <x:c r="Q649" s="41" t="str">
        <x:f>IF(L649&gt;=MAX(H649,P649),"Weekly",IF(H649&gt;=MAX(L649,P649),"No weekly","SPY"))</x:f>
        <x:v>Weekly</x:v>
      </x:c>
      <x:c r="R649" s="41" t="n">
        <x:f>IFERROR(L649-P649,"")</x:f>
        <x:v>0.34848547003226965</x:v>
      </x:c>
      <x:c r="S649" s="41" t="n">
        <x:f>IFERROR(H649-P649,"")</x:f>
        <x:v>0.24424912443938634</x:v>
      </x:c>
      <x:c r="T649" s="41" t="n">
        <x:f>IFERROR(I649-M649,"")</x:f>
        <x:v>6.581036999999999</x:v>
      </x:c>
      <x:c r="U649" s="41" t="n">
        <x:f>IFERROR(E649-M649,"")</x:f>
        <x:v>5.369257999999999</x:v>
      </x:c>
      <x:c r="V649" s="41" t="str">
        <x:f>IF(AND(I649&gt;M649,J649&gt;N649),"Sí","No")</x:f>
        <x:v>Sí</x:v>
      </x:c>
      <x:c r="W649" s="41" t="str">
        <x:f>IF(AND(E649&gt;M649,F649&gt;N649),"Sí","No")</x:f>
        <x:v>Sí</x:v>
      </x:c>
      <x:c r="X649" s="41" t="str">
        <x:f>IF(L649&gt;=H649,"Weekly","No weekly")</x:f>
        <x:v>Weekly</x:v>
      </x:c>
      <x:c r="Y649" s="41" t="n">
        <x:f>IFERROR(I649-E649,"")</x:f>
        <x:v>1.211779</x:v>
      </x:c>
      <x:c r="Z649" s="41" t="n">
        <x:f>IFERROR(J649-F649,"")</x:f>
        <x:v>4.834405</x:v>
      </x:c>
      <x:c r="AA649" s="41" t="n">
        <x:v>12004</x:v>
      </x:c>
      <x:c r="AB649" s="41" t="n">
        <x:v>6336</x:v>
      </x:c>
    </x:row>
    <x:row r="650">
      <x:c r="A650" s="41" t="str">
        <x:v>HYP_REFINE_AUTO002_TOPN_6_V1_DDGRID_LONG_R12_C21_E75_CR40_REDD_RECOVERED_DD9_SL18</x:v>
      </x:c>
      <x:c r="B650" s="41" t="str">
        <x:v>dd_guard_grid</x:v>
      </x:c>
      <x:c r="C650" s="41" t="str">
        <x:v>1999-01-04</x:v>
      </x:c>
      <x:c r="D650" s="41" t="str">
        <x:v>2026-05-22</x:v>
      </x:c>
      <x:c r="E650" s="41" t="n">
        <x:v>11.490563</x:v>
      </x:c>
      <x:c r="F650" s="41" t="n">
        <x:v>-31.460688</x:v>
      </x:c>
      <x:c r="G650" s="41" t="n">
        <x:v>1864.757232</x:v>
      </x:c>
      <x:c r="H650" s="41" t="n">
        <x:f>IFERROR(E650/ABS(F650),"")</x:f>
        <x:v>0.3652355917963396</x:v>
      </x:c>
      <x:c r="I650" s="41" t="n">
        <x:v>12.131229</x:v>
      </x:c>
      <x:c r="J650" s="41" t="n">
        <x:v>-28.891144</x:v>
      </x:c>
      <x:c r="K650" s="41" t="n">
        <x:v>2198.474111</x:v>
      </x:c>
      <x:c r="L650" s="41" t="n">
        <x:f>IFERROR(I650/ABS(J650),"")</x:f>
        <x:v>0.4198943800910064</x:v>
      </x:c>
      <x:c r="M650" s="41" t="n">
        <x:v>6.802475</x:v>
      </x:c>
      <x:c r="N650" s="41" t="n">
        <x:v>-56.473669</x:v>
      </x:c>
      <x:c r="O650" s="41" t="n">
        <x:v>506.057416</x:v>
      </x:c>
      <x:c r="P650" s="41" t="n">
        <x:f>IFERROR(M650/ABS(N650),"")</x:f>
        <x:v>0.12045392340278087</x:v>
      </x:c>
      <x:c r="Q650" s="41" t="str">
        <x:f>IF(L650&gt;=MAX(H650,P650),"Weekly",IF(H650&gt;=MAX(L650,P650),"No weekly","SPY"))</x:f>
        <x:v>Weekly</x:v>
      </x:c>
      <x:c r="R650" s="41" t="n">
        <x:f>IFERROR(L650-P650,"")</x:f>
        <x:v>0.2994404566882255</x:v>
      </x:c>
      <x:c r="S650" s="41" t="n">
        <x:f>IFERROR(H650-P650,"")</x:f>
        <x:v>0.2447816683935587</x:v>
      </x:c>
      <x:c r="T650" s="41" t="n">
        <x:f>IFERROR(I650-M650,"")</x:f>
        <x:v>5.328753999999999</x:v>
      </x:c>
      <x:c r="U650" s="41" t="n">
        <x:f>IFERROR(E650-M650,"")</x:f>
        <x:v>4.688088</x:v>
      </x:c>
      <x:c r="V650" s="41" t="str">
        <x:f>IF(AND(I650&gt;M650,J650&gt;N650),"Sí","No")</x:f>
        <x:v>Sí</x:v>
      </x:c>
      <x:c r="W650" s="41" t="str">
        <x:f>IF(AND(E650&gt;M650,F650&gt;N650),"Sí","No")</x:f>
        <x:v>Sí</x:v>
      </x:c>
      <x:c r="X650" s="41" t="str">
        <x:f>IF(L650&gt;=H650,"Weekly","No weekly")</x:f>
        <x:v>Weekly</x:v>
      </x:c>
      <x:c r="Y650" s="41" t="n">
        <x:f>IFERROR(I650-E650,"")</x:f>
        <x:v>0.6406659999999995</x:v>
      </x:c>
      <x:c r="Z650" s="41" t="n">
        <x:f>IFERROR(J650-F650,"")</x:f>
        <x:v>2.5695440000000005</x:v>
      </x:c>
      <x:c r="AA650" s="41" t="n">
        <x:v>11866</x:v>
      </x:c>
      <x:c r="AB650" s="41" t="n">
        <x:v>5506</x:v>
      </x:c>
    </x:row>
    <x:row r="651">
      <x:c r="A651" s="41" t="str">
        <x:v>HYP_REFINE_AUTO002_TOPN_6_V1_DDGRID_LONG_R12_C21_E75_CR40_REDD_RECOVERED_DD9_SL20</x:v>
      </x:c>
      <x:c r="B651" s="41" t="str">
        <x:v>dd_guard_grid</x:v>
      </x:c>
      <x:c r="C651" s="41" t="str">
        <x:v>1999-01-04</x:v>
      </x:c>
      <x:c r="D651" s="41" t="str">
        <x:v>2026-05-22</x:v>
      </x:c>
      <x:c r="E651" s="41" t="n">
        <x:v>12.856123</x:v>
      </x:c>
      <x:c r="F651" s="41" t="n">
        <x:v>-32.545222</x:v>
      </x:c>
      <x:c r="G651" s="41" t="n">
        <x:v>2641.95029</x:v>
      </x:c>
      <x:c r="H651" s="41" t="n">
        <x:f>IFERROR(E651/ABS(F651),"")</x:f>
        <x:v>0.39502336164737173</x:v>
      </x:c>
      <x:c r="I651" s="41" t="n">
        <x:v>13.531321</x:v>
      </x:c>
      <x:c r="J651" s="41" t="n">
        <x:v>-29.110571</x:v>
      </x:c>
      <x:c r="K651" s="41" t="n">
        <x:v>3128.385167</x:v>
      </x:c>
      <x:c r="L651" s="41" t="n">
        <x:f>IFERROR(I651/ABS(J651),"")</x:f>
        <x:v>0.4648249943293795</x:v>
      </x:c>
      <x:c r="M651" s="41" t="n">
        <x:v>6.802475</x:v>
      </x:c>
      <x:c r="N651" s="41" t="n">
        <x:v>-56.473669</x:v>
      </x:c>
      <x:c r="O651" s="41" t="n">
        <x:v>506.057416</x:v>
      </x:c>
      <x:c r="P651" s="41" t="n">
        <x:f>IFERROR(M651/ABS(N651),"")</x:f>
        <x:v>0.12045392340278087</x:v>
      </x:c>
      <x:c r="Q651" s="41" t="str">
        <x:f>IF(L651&gt;=MAX(H651,P651),"Weekly",IF(H651&gt;=MAX(L651,P651),"No weekly","SPY"))</x:f>
        <x:v>Weekly</x:v>
      </x:c>
      <x:c r="R651" s="41" t="n">
        <x:f>IFERROR(L651-P651,"")</x:f>
        <x:v>0.34437107092659863</x:v>
      </x:c>
      <x:c r="S651" s="41" t="n">
        <x:f>IFERROR(H651-P651,"")</x:f>
        <x:v>0.27456943824459085</x:v>
      </x:c>
      <x:c r="T651" s="41" t="n">
        <x:f>IFERROR(I651-M651,"")</x:f>
        <x:v>6.728846</x:v>
      </x:c>
      <x:c r="U651" s="41" t="n">
        <x:f>IFERROR(E651-M651,"")</x:f>
        <x:v>6.053648</x:v>
      </x:c>
      <x:c r="V651" s="41" t="str">
        <x:f>IF(AND(I651&gt;M651,J651&gt;N651),"Sí","No")</x:f>
        <x:v>Sí</x:v>
      </x:c>
      <x:c r="W651" s="41" t="str">
        <x:f>IF(AND(E651&gt;M651,F651&gt;N651),"Sí","No")</x:f>
        <x:v>Sí</x:v>
      </x:c>
      <x:c r="X651" s="41" t="str">
        <x:f>IF(L651&gt;=H651,"Weekly","No weekly")</x:f>
        <x:v>Weekly</x:v>
      </x:c>
      <x:c r="Y651" s="41" t="n">
        <x:f>IFERROR(I651-E651,"")</x:f>
        <x:v>0.675198</x:v>
      </x:c>
      <x:c r="Z651" s="41" t="n">
        <x:f>IFERROR(J651-F651,"")</x:f>
        <x:v>3.4346510000000023</x:v>
      </x:c>
      <x:c r="AA651" s="41" t="n">
        <x:v>11706</x:v>
      </x:c>
      <x:c r="AB651" s="41" t="n">
        <x:v>5659</x:v>
      </x:c>
    </x:row>
    <x:row r="652">
      <x:c r="A652" s="41" t="str">
        <x:v>HYP_REFINE_AUTO002_TOPN_6_V1_DDGRID_LONG_R12_C21_E75_CR40_REDD_RECOVERED_DD9_SL22</x:v>
      </x:c>
      <x:c r="B652" s="41" t="str">
        <x:v>dd_guard_grid</x:v>
      </x:c>
      <x:c r="C652" s="41" t="str">
        <x:v>1999-01-04</x:v>
      </x:c>
      <x:c r="D652" s="41" t="str">
        <x:v>2026-05-22</x:v>
      </x:c>
      <x:c r="E652" s="41" t="n">
        <x:v>10.41843</x:v>
      </x:c>
      <x:c r="F652" s="41" t="n">
        <x:v>-33.791205</x:v>
      </x:c>
      <x:c r="G652" s="41" t="n">
        <x:v>1408.043434</x:v>
      </x:c>
      <x:c r="H652" s="41" t="n">
        <x:f>IFERROR(E652/ABS(F652),"")</x:f>
        <x:v>0.3083178004454118</x:v>
      </x:c>
      <x:c r="I652" s="41" t="n">
        <x:v>12.478001</x:v>
      </x:c>
      <x:c r="J652" s="41" t="n">
        <x:v>-28.995952</x:v>
      </x:c>
      <x:c r="K652" s="41" t="n">
        <x:v>2401.234644</x:v>
      </x:c>
      <x:c r="L652" s="41" t="n">
        <x:f>IFERROR(I652/ABS(J652),"")</x:f>
        <x:v>0.43033596551684183</x:v>
      </x:c>
      <x:c r="M652" s="41" t="n">
        <x:v>6.802475</x:v>
      </x:c>
      <x:c r="N652" s="41" t="n">
        <x:v>-56.473669</x:v>
      </x:c>
      <x:c r="O652" s="41" t="n">
        <x:v>506.057416</x:v>
      </x:c>
      <x:c r="P652" s="41" t="n">
        <x:f>IFERROR(M652/ABS(N652),"")</x:f>
        <x:v>0.12045392340278087</x:v>
      </x:c>
      <x:c r="Q652" s="41" t="str">
        <x:f>IF(L652&gt;=MAX(H652,P652),"Weekly",IF(H652&gt;=MAX(L652,P652),"No weekly","SPY"))</x:f>
        <x:v>Weekly</x:v>
      </x:c>
      <x:c r="R652" s="41" t="n">
        <x:f>IFERROR(L652-P652,"")</x:f>
        <x:v>0.30988204211406095</x:v>
      </x:c>
      <x:c r="S652" s="41" t="n">
        <x:f>IFERROR(H652-P652,"")</x:f>
        <x:v>0.1878638770426309</x:v>
      </x:c>
      <x:c r="T652" s="41" t="n">
        <x:f>IFERROR(I652-M652,"")</x:f>
        <x:v>5.6755260000000005</x:v>
      </x:c>
      <x:c r="U652" s="41" t="n">
        <x:f>IFERROR(E652-M652,"")</x:f>
        <x:v>3.6159550000000005</x:v>
      </x:c>
      <x:c r="V652" s="41" t="str">
        <x:f>IF(AND(I652&gt;M652,J652&gt;N652),"Sí","No")</x:f>
        <x:v>Sí</x:v>
      </x:c>
      <x:c r="W652" s="41" t="str">
        <x:f>IF(AND(E652&gt;M652,F652&gt;N652),"Sí","No")</x:f>
        <x:v>Sí</x:v>
      </x:c>
      <x:c r="X652" s="41" t="str">
        <x:f>IF(L652&gt;=H652,"Weekly","No weekly")</x:f>
        <x:v>Weekly</x:v>
      </x:c>
      <x:c r="Y652" s="41" t="n">
        <x:f>IFERROR(I652-E652,"")</x:f>
        <x:v>2.059571</x:v>
      </x:c>
      <x:c r="Z652" s="41" t="n">
        <x:f>IFERROR(J652-F652,"")</x:f>
        <x:v>4.795252999999999</x:v>
      </x:c>
      <x:c r="AA652" s="41" t="n">
        <x:v>12006</x:v>
      </x:c>
      <x:c r="AB652" s="41" t="n">
        <x:v>5937</x:v>
      </x:c>
    </x:row>
    <x:row r="653">
      <x:c r="A653" s="41" t="str">
        <x:v>HYP_REFINE_AUTO002_TOPN_6_V1_DDGRID_LONG_R12_C21_E75_CR42_REDD_RECOVERED_DD7_SL18</x:v>
      </x:c>
      <x:c r="B653" s="41" t="str">
        <x:v>dd_guard_grid</x:v>
      </x:c>
      <x:c r="C653" s="41" t="str">
        <x:v>1999-01-04</x:v>
      </x:c>
      <x:c r="D653" s="41" t="str">
        <x:v>2026-05-22</x:v>
      </x:c>
      <x:c r="E653" s="41" t="n">
        <x:v>12.565968</x:v>
      </x:c>
      <x:c r="F653" s="41" t="n">
        <x:v>-31.642946</x:v>
      </x:c>
      <x:c r="G653" s="41" t="n">
        <x:v>2455.347642</x:v>
      </x:c>
      <x:c r="H653" s="41" t="n">
        <x:f>IFERROR(E653/ABS(F653),"")</x:f>
        <x:v>0.39711751238332865</x:v>
      </x:c>
      <x:c r="I653" s="41" t="n">
        <x:v>12.018094</x:v>
      </x:c>
      <x:c r="J653" s="41" t="n">
        <x:v>-29.129246</x:v>
      </x:c>
      <x:c r="K653" s="41" t="n">
        <x:v>2135.819738</x:v>
      </x:c>
      <x:c r="L653" s="41" t="n">
        <x:f>IFERROR(I653/ABS(J653),"")</x:f>
        <x:v>0.41257827270915287</x:v>
      </x:c>
      <x:c r="M653" s="41" t="n">
        <x:v>6.802475</x:v>
      </x:c>
      <x:c r="N653" s="41" t="n">
        <x:v>-56.473669</x:v>
      </x:c>
      <x:c r="O653" s="41" t="n">
        <x:v>506.057416</x:v>
      </x:c>
      <x:c r="P653" s="41" t="n">
        <x:f>IFERROR(M653/ABS(N653),"")</x:f>
        <x:v>0.12045392340278087</x:v>
      </x:c>
      <x:c r="Q653" s="41" t="str">
        <x:f>IF(L653&gt;=MAX(H653,P653),"Weekly",IF(H653&gt;=MAX(L653,P653),"No weekly","SPY"))</x:f>
        <x:v>Weekly</x:v>
      </x:c>
      <x:c r="R653" s="41" t="n">
        <x:f>IFERROR(L653-P653,"")</x:f>
        <x:v>0.292124349306372</x:v>
      </x:c>
      <x:c r="S653" s="41" t="n">
        <x:f>IFERROR(H653-P653,"")</x:f>
        <x:v>0.27666358898054777</x:v>
      </x:c>
      <x:c r="T653" s="41" t="n">
        <x:f>IFERROR(I653-M653,"")</x:f>
        <x:v>5.215618999999999</x:v>
      </x:c>
      <x:c r="U653" s="41" t="n">
        <x:f>IFERROR(E653-M653,"")</x:f>
        <x:v>5.7634929999999995</x:v>
      </x:c>
      <x:c r="V653" s="41" t="str">
        <x:f>IF(AND(I653&gt;M653,J653&gt;N653),"Sí","No")</x:f>
        <x:v>Sí</x:v>
      </x:c>
      <x:c r="W653" s="41" t="str">
        <x:f>IF(AND(E653&gt;M653,F653&gt;N653),"Sí","No")</x:f>
        <x:v>Sí</x:v>
      </x:c>
      <x:c r="X653" s="41" t="str">
        <x:f>IF(L653&gt;=H653,"Weekly","No weekly")</x:f>
        <x:v>Weekly</x:v>
      </x:c>
      <x:c r="Y653" s="41" t="n">
        <x:f>IFERROR(I653-E653,"")</x:f>
        <x:v>-0.5478740000000002</x:v>
      </x:c>
      <x:c r="Z653" s="41" t="n">
        <x:f>IFERROR(J653-F653,"")</x:f>
        <x:v>2.5137</x:v>
      </x:c>
      <x:c r="AA653" s="41" t="n">
        <x:v>11960</x:v>
      </x:c>
      <x:c r="AB653" s="41" t="n">
        <x:v>5572</x:v>
      </x:c>
    </x:row>
    <x:row r="654">
      <x:c r="A654" s="41" t="str">
        <x:v>HYP_REFINE_AUTO002_TOPN_6_V1_DDGRID_LONG_R12_C21_E75_CR42_REDD_RECOVERED_DD8_SL20</x:v>
      </x:c>
      <x:c r="B654" s="41" t="str">
        <x:v>dd_guard_grid</x:v>
      </x:c>
      <x:c r="C654" s="41" t="str">
        <x:v>1999-01-04</x:v>
      </x:c>
      <x:c r="D654" s="41" t="str">
        <x:v>2026-05-22</x:v>
      </x:c>
      <x:c r="E654" s="41" t="n">
        <x:v>13.393031</x:v>
      </x:c>
      <x:c r="F654" s="41" t="n">
        <x:v>-32.87373</x:v>
      </x:c>
      <x:c r="G654" s="41" t="n">
        <x:v>3022.433706</x:v>
      </x:c>
      <x:c r="H654" s="41" t="n">
        <x:f>IFERROR(E654/ABS(F654),"")</x:f>
        <x:v>0.40740831661025384</x:v>
      </x:c>
      <x:c r="I654" s="41" t="n">
        <x:v>13.122752</x:v>
      </x:c>
      <x:c r="J654" s="41" t="n">
        <x:v>-29.929111</x:v>
      </x:c>
      <x:c r="K654" s="41" t="n">
        <x:v>2824.947704</x:v>
      </x:c>
      <x:c r="L654" s="41" t="n">
        <x:f>IFERROR(I654/ABS(J654),"")</x:f>
        <x:v>0.43846113571499</x:v>
      </x:c>
      <x:c r="M654" s="41" t="n">
        <x:v>6.802475</x:v>
      </x:c>
      <x:c r="N654" s="41" t="n">
        <x:v>-56.473669</x:v>
      </x:c>
      <x:c r="O654" s="41" t="n">
        <x:v>506.057416</x:v>
      </x:c>
      <x:c r="P654" s="41" t="n">
        <x:f>IFERROR(M654/ABS(N654),"")</x:f>
        <x:v>0.12045392340278087</x:v>
      </x:c>
      <x:c r="Q654" s="41" t="str">
        <x:f>IF(L654&gt;=MAX(H654,P654),"Weekly",IF(H654&gt;=MAX(L654,P654),"No weekly","SPY"))</x:f>
        <x:v>Weekly</x:v>
      </x:c>
      <x:c r="R654" s="41" t="n">
        <x:f>IFERROR(L654-P654,"")</x:f>
        <x:v>0.31800721231220913</x:v>
      </x:c>
      <x:c r="S654" s="41" t="n">
        <x:f>IFERROR(H654-P654,"")</x:f>
        <x:v>0.28695439320747296</x:v>
      </x:c>
      <x:c r="T654" s="41" t="n">
        <x:f>IFERROR(I654-M654,"")</x:f>
        <x:v>6.320277</x:v>
      </x:c>
      <x:c r="U654" s="41" t="n">
        <x:f>IFERROR(E654-M654,"")</x:f>
        <x:v>6.590556</x:v>
      </x:c>
      <x:c r="V654" s="41" t="str">
        <x:f>IF(AND(I654&gt;M654,J654&gt;N654),"Sí","No")</x:f>
        <x:v>Sí</x:v>
      </x:c>
      <x:c r="W654" s="41" t="str">
        <x:f>IF(AND(E654&gt;M654,F654&gt;N654),"Sí","No")</x:f>
        <x:v>Sí</x:v>
      </x:c>
      <x:c r="X654" s="41" t="str">
        <x:f>IF(L654&gt;=H654,"Weekly","No weekly")</x:f>
        <x:v>Weekly</x:v>
      </x:c>
      <x:c r="Y654" s="41" t="n">
        <x:f>IFERROR(I654-E654,"")</x:f>
        <x:v>-0.2702790000000004</x:v>
      </x:c>
      <x:c r="Z654" s="41" t="n">
        <x:f>IFERROR(J654-F654,"")</x:f>
        <x:v>2.944619000000003</x:v>
      </x:c>
      <x:c r="AA654" s="41" t="n">
        <x:v>11526</x:v>
      </x:c>
      <x:c r="AB654" s="41" t="n">
        <x:v>5467</x:v>
      </x:c>
    </x:row>
    <x:row r="655">
      <x:c r="A655" s="41" t="str">
        <x:v>HYP_REFINE_AUTO002_TOPN_6_V1_DDGRID_LONG_R12_C21_E75_CR42_REDD_RECOVERED_DD8_SL22</x:v>
      </x:c>
      <x:c r="B655" s="41" t="str">
        <x:v>dd_guard_grid</x:v>
      </x:c>
      <x:c r="C655" s="41" t="str">
        <x:v>1999-01-04</x:v>
      </x:c>
      <x:c r="D655" s="41" t="str">
        <x:v>2026-05-22</x:v>
      </x:c>
      <x:c r="E655" s="41" t="n">
        <x:v>11.15953</x:v>
      </x:c>
      <x:c r="F655" s="41" t="n">
        <x:v>-33.888217</x:v>
      </x:c>
      <x:c r="G655" s="41" t="n">
        <x:v>1711.140324</x:v>
      </x:c>
      <x:c r="H655" s="41" t="n">
        <x:f>IFERROR(E655/ABS(F655),"")</x:f>
        <x:v>0.32930413541674386</x:v>
      </x:c>
      <x:c r="I655" s="41" t="n">
        <x:v>13.107784</x:v>
      </x:c>
      <x:c r="J655" s="41" t="n">
        <x:v>-29.810191</x:v>
      </x:c>
      <x:c r="K655" s="41" t="n">
        <x:v>2814.369724</x:v>
      </x:c>
      <x:c r="L655" s="41" t="n">
        <x:f>IFERROR(I655/ABS(J655),"")</x:f>
        <x:v>0.43970815215508013</x:v>
      </x:c>
      <x:c r="M655" s="41" t="n">
        <x:v>6.802475</x:v>
      </x:c>
      <x:c r="N655" s="41" t="n">
        <x:v>-56.473669</x:v>
      </x:c>
      <x:c r="O655" s="41" t="n">
        <x:v>506.057416</x:v>
      </x:c>
      <x:c r="P655" s="41" t="n">
        <x:f>IFERROR(M655/ABS(N655),"")</x:f>
        <x:v>0.12045392340278087</x:v>
      </x:c>
      <x:c r="Q655" s="41" t="str">
        <x:f>IF(L655&gt;=MAX(H655,P655),"Weekly",IF(H655&gt;=MAX(L655,P655),"No weekly","SPY"))</x:f>
        <x:v>Weekly</x:v>
      </x:c>
      <x:c r="R655" s="41" t="n">
        <x:f>IFERROR(L655-P655,"")</x:f>
        <x:v>0.31925422875229925</x:v>
      </x:c>
      <x:c r="S655" s="41" t="n">
        <x:f>IFERROR(H655-P655,"")</x:f>
        <x:v>0.20885021201396298</x:v>
      </x:c>
      <x:c r="T655" s="41" t="n">
        <x:f>IFERROR(I655-M655,"")</x:f>
        <x:v>6.305309</x:v>
      </x:c>
      <x:c r="U655" s="41" t="n">
        <x:f>IFERROR(E655-M655,"")</x:f>
        <x:v>4.357055</x:v>
      </x:c>
      <x:c r="V655" s="41" t="str">
        <x:f>IF(AND(I655&gt;M655,J655&gt;N655),"Sí","No")</x:f>
        <x:v>Sí</x:v>
      </x:c>
      <x:c r="W655" s="41" t="str">
        <x:f>IF(AND(E655&gt;M655,F655&gt;N655),"Sí","No")</x:f>
        <x:v>Sí</x:v>
      </x:c>
      <x:c r="X655" s="41" t="str">
        <x:f>IF(L655&gt;=H655,"Weekly","No weekly")</x:f>
        <x:v>Weekly</x:v>
      </x:c>
      <x:c r="Y655" s="41" t="n">
        <x:f>IFERROR(I655-E655,"")</x:f>
        <x:v>1.9482540000000004</x:v>
      </x:c>
      <x:c r="Z655" s="41" t="n">
        <x:f>IFERROR(J655-F655,"")</x:f>
        <x:v>4.078025999999998</x:v>
      </x:c>
      <x:c r="AA655" s="41" t="n">
        <x:v>12103</x:v>
      </x:c>
      <x:c r="AB655" s="41" t="n">
        <x:v>5721</x:v>
      </x:c>
    </x:row>
    <x:row r="656">
      <x:c r="A656" s="41" t="str">
        <x:v>HYP_REFINE_AUTO002_TOPN_6_V1_DDGRID_LONG_R12_C21_E75_CR45_REDD_RECOVERED_DD7_SL20</x:v>
      </x:c>
      <x:c r="B656" s="41" t="str">
        <x:v>dd_guard_grid</x:v>
      </x:c>
      <x:c r="C656" s="41" t="str">
        <x:v>1999-01-04</x:v>
      </x:c>
      <x:c r="D656" s="41" t="str">
        <x:v>2026-05-22</x:v>
      </x:c>
      <x:c r="E656" s="41" t="n">
        <x:v>13.783965</x:v>
      </x:c>
      <x:c r="F656" s="41" t="n">
        <x:v>-33.712</x:v>
      </x:c>
      <x:c r="G656" s="41" t="n">
        <x:v>3330.961074</x:v>
      </x:c>
      <x:c r="H656" s="41" t="n">
        <x:f>IFERROR(E656/ABS(F656),"")</x:f>
        <x:v>0.4088741397721879</x:v>
      </x:c>
      <x:c r="I656" s="41" t="n">
        <x:v>13.270551</x:v>
      </x:c>
      <x:c r="J656" s="41" t="n">
        <x:v>-29.265353</x:v>
      </x:c>
      <x:c r="K656" s="41" t="n">
        <x:v>2931.399117</x:v>
      </x:c>
      <x:c r="L656" s="41" t="n">
        <x:f>IFERROR(I656/ABS(J656),"")</x:f>
        <x:v>0.45345603724650096</x:v>
      </x:c>
      <x:c r="M656" s="41" t="n">
        <x:v>6.802475</x:v>
      </x:c>
      <x:c r="N656" s="41" t="n">
        <x:v>-56.473669</x:v>
      </x:c>
      <x:c r="O656" s="41" t="n">
        <x:v>506.057416</x:v>
      </x:c>
      <x:c r="P656" s="41" t="n">
        <x:f>IFERROR(M656/ABS(N656),"")</x:f>
        <x:v>0.12045392340278087</x:v>
      </x:c>
      <x:c r="Q656" s="41" t="str">
        <x:f>IF(L656&gt;=MAX(H656,P656),"Weekly",IF(H656&gt;=MAX(L656,P656),"No weekly","SPY"))</x:f>
        <x:v>Weekly</x:v>
      </x:c>
      <x:c r="R656" s="41" t="n">
        <x:f>IFERROR(L656-P656,"")</x:f>
        <x:v>0.3330021138437201</x:v>
      </x:c>
      <x:c r="S656" s="41" t="n">
        <x:f>IFERROR(H656-P656,"")</x:f>
        <x:v>0.288420216369407</x:v>
      </x:c>
      <x:c r="T656" s="41" t="n">
        <x:f>IFERROR(I656-M656,"")</x:f>
        <x:v>6.468075999999999</x:v>
      </x:c>
      <x:c r="U656" s="41" t="n">
        <x:f>IFERROR(E656-M656,"")</x:f>
        <x:v>6.98149</x:v>
      </x:c>
      <x:c r="V656" s="41" t="str">
        <x:f>IF(AND(I656&gt;M656,J656&gt;N656),"Sí","No")</x:f>
        <x:v>Sí</x:v>
      </x:c>
      <x:c r="W656" s="41" t="str">
        <x:f>IF(AND(E656&gt;M656,F656&gt;N656),"Sí","No")</x:f>
        <x:v>Sí</x:v>
      </x:c>
      <x:c r="X656" s="41" t="str">
        <x:f>IF(L656&gt;=H656,"Weekly","No weekly")</x:f>
        <x:v>Weekly</x:v>
      </x:c>
      <x:c r="Y656" s="41" t="n">
        <x:f>IFERROR(I656-E656,"")</x:f>
        <x:v>-0.5134140000000009</x:v>
      </x:c>
      <x:c r="Z656" s="41" t="n">
        <x:f>IFERROR(J656-F656,"")</x:f>
        <x:v>4.446647000000002</x:v>
      </x:c>
      <x:c r="AA656" s="41" t="n">
        <x:v>11853</x:v>
      </x:c>
      <x:c r="AB656" s="41" t="n">
        <x:v>5708</x:v>
      </x:c>
    </x:row>
    <x:row r="657">
      <x:c r="A657" s="41" t="str">
        <x:v>HYP_REFINE_AUTO002_TOPN_6_V1_DDGRID_LONG_R12_C21_E75_CR45_REDD_RECOVERED_DD8_SL18</x:v>
      </x:c>
      <x:c r="B657" s="41" t="str">
        <x:v>dd_guard_grid</x:v>
      </x:c>
      <x:c r="C657" s="41" t="str">
        <x:v>1999-01-04</x:v>
      </x:c>
      <x:c r="D657" s="41" t="str">
        <x:v>2026-05-22</x:v>
      </x:c>
      <x:c r="E657" s="41" t="n">
        <x:v>13.065728</x:v>
      </x:c>
      <x:c r="F657" s="41" t="n">
        <x:v>-32.130972</x:v>
      </x:c>
      <x:c r="G657" s="41" t="n">
        <x:v>2784.846662</x:v>
      </x:c>
      <x:c r="H657" s="41" t="n">
        <x:f>IFERROR(E657/ABS(F657),"")</x:f>
        <x:v>0.40663967464165107</x:v>
      </x:c>
      <x:c r="I657" s="41" t="n">
        <x:v>13.429937</x:v>
      </x:c>
      <x:c r="J657" s="41" t="n">
        <x:v>-29.489116</x:v>
      </x:c>
      <x:c r="K657" s="41" t="n">
        <x:v>3050.377212</x:v>
      </x:c>
      <x:c r="L657" s="41" t="n">
        <x:f>IFERROR(I657/ABS(J657),"")</x:f>
        <x:v>0.4554201285654002</x:v>
      </x:c>
      <x:c r="M657" s="41" t="n">
        <x:v>6.802475</x:v>
      </x:c>
      <x:c r="N657" s="41" t="n">
        <x:v>-56.473669</x:v>
      </x:c>
      <x:c r="O657" s="41" t="n">
        <x:v>506.057416</x:v>
      </x:c>
      <x:c r="P657" s="41" t="n">
        <x:f>IFERROR(M657/ABS(N657),"")</x:f>
        <x:v>0.12045392340278087</x:v>
      </x:c>
      <x:c r="Q657" s="41" t="str">
        <x:f>IF(L657&gt;=MAX(H657,P657),"Weekly",IF(H657&gt;=MAX(L657,P657),"No weekly","SPY"))</x:f>
        <x:v>Weekly</x:v>
      </x:c>
      <x:c r="R657" s="41" t="n">
        <x:f>IFERROR(L657-P657,"")</x:f>
        <x:v>0.3349662051626193</x:v>
      </x:c>
      <x:c r="S657" s="41" t="n">
        <x:f>IFERROR(H657-P657,"")</x:f>
        <x:v>0.2861857512388702</x:v>
      </x:c>
      <x:c r="T657" s="41" t="n">
        <x:f>IFERROR(I657-M657,"")</x:f>
        <x:v>6.627462</x:v>
      </x:c>
      <x:c r="U657" s="41" t="n">
        <x:f>IFERROR(E657-M657,"")</x:f>
        <x:v>6.263253</x:v>
      </x:c>
      <x:c r="V657" s="41" t="str">
        <x:f>IF(AND(I657&gt;M657,J657&gt;N657),"Sí","No")</x:f>
        <x:v>Sí</x:v>
      </x:c>
      <x:c r="W657" s="41" t="str">
        <x:f>IF(AND(E657&gt;M657,F657&gt;N657),"Sí","No")</x:f>
        <x:v>Sí</x:v>
      </x:c>
      <x:c r="X657" s="41" t="str">
        <x:f>IF(L657&gt;=H657,"Weekly","No weekly")</x:f>
        <x:v>Weekly</x:v>
      </x:c>
      <x:c r="Y657" s="41" t="n">
        <x:f>IFERROR(I657-E657,"")</x:f>
        <x:v>0.36420900000000067</x:v>
      </x:c>
      <x:c r="Z657" s="41" t="n">
        <x:f>IFERROR(J657-F657,"")</x:f>
        <x:v>2.6418560000000006</x:v>
      </x:c>
      <x:c r="AA657" s="41" t="n">
        <x:v>11248</x:v>
      </x:c>
      <x:c r="AB657" s="41" t="n">
        <x:v>5364</x:v>
      </x:c>
    </x:row>
    <x:row r="658">
      <x:c r="A658" s="41" t="str">
        <x:v>HYP_REFINE_AUTO002_TOPN_6_V1_DDGRID_LONG_R12_C21_E75_CR45_REDD_RECOVERED_DD8_SL20</x:v>
      </x:c>
      <x:c r="B658" s="41" t="str">
        <x:v>dd_guard_grid</x:v>
      </x:c>
      <x:c r="C658" s="41" t="str">
        <x:v>1999-01-04</x:v>
      </x:c>
      <x:c r="D658" s="41" t="str">
        <x:v>2026-05-22</x:v>
      </x:c>
      <x:c r="E658" s="41" t="n">
        <x:v>13.883892</x:v>
      </x:c>
      <x:c r="F658" s="41" t="n">
        <x:v>-33.712</x:v>
      </x:c>
      <x:c r="G658" s="41" t="n">
        <x:v>3414.419445</x:v>
      </x:c>
      <x:c r="H658" s="41" t="n">
        <x:f>IFERROR(E658/ABS(F658),"")</x:f>
        <x:v>0.4118382771713336</x:v>
      </x:c>
      <x:c r="I658" s="41" t="n">
        <x:v>13.737694</x:v>
      </x:c>
      <x:c r="J658" s="41" t="n">
        <x:v>-29.265353</x:v>
      </x:c>
      <x:c r="K658" s="41" t="n">
        <x:v>3292.96684</x:v>
      </x:c>
      <x:c r="L658" s="41" t="n">
        <x:f>IFERROR(I658/ABS(J658),"")</x:f>
        <x:v>0.46941835965552847</x:v>
      </x:c>
      <x:c r="M658" s="41" t="n">
        <x:v>6.802475</x:v>
      </x:c>
      <x:c r="N658" s="41" t="n">
        <x:v>-56.473669</x:v>
      </x:c>
      <x:c r="O658" s="41" t="n">
        <x:v>506.057416</x:v>
      </x:c>
      <x:c r="P658" s="41" t="n">
        <x:f>IFERROR(M658/ABS(N658),"")</x:f>
        <x:v>0.12045392340278087</x:v>
      </x:c>
      <x:c r="Q658" s="41" t="str">
        <x:f>IF(L658&gt;=MAX(H658,P658),"Weekly",IF(H658&gt;=MAX(L658,P658),"No weekly","SPY"))</x:f>
        <x:v>Weekly</x:v>
      </x:c>
      <x:c r="R658" s="41" t="n">
        <x:f>IFERROR(L658-P658,"")</x:f>
        <x:v>0.3489644362527476</x:v>
      </x:c>
      <x:c r="S658" s="41" t="n">
        <x:f>IFERROR(H658-P658,"")</x:f>
        <x:v>0.2913843537685527</x:v>
      </x:c>
      <x:c r="T658" s="41" t="n">
        <x:f>IFERROR(I658-M658,"")</x:f>
        <x:v>6.935218999999999</x:v>
      </x:c>
      <x:c r="U658" s="41" t="n">
        <x:f>IFERROR(E658-M658,"")</x:f>
        <x:v>7.081416999999999</x:v>
      </x:c>
      <x:c r="V658" s="41" t="str">
        <x:f>IF(AND(I658&gt;M658,J658&gt;N658),"Sí","No")</x:f>
        <x:v>Sí</x:v>
      </x:c>
      <x:c r="W658" s="41" t="str">
        <x:f>IF(AND(E658&gt;M658,F658&gt;N658),"Sí","No")</x:f>
        <x:v>Sí</x:v>
      </x:c>
      <x:c r="X658" s="41" t="str">
        <x:f>IF(L658&gt;=H658,"Weekly","No weekly")</x:f>
        <x:v>Weekly</x:v>
      </x:c>
      <x:c r="Y658" s="41" t="n">
        <x:f>IFERROR(I658-E658,"")</x:f>
        <x:v>-0.14619800000000005</x:v>
      </x:c>
      <x:c r="Z658" s="41" t="n">
        <x:f>IFERROR(J658-F658,"")</x:f>
        <x:v>4.446647000000002</x:v>
      </x:c>
      <x:c r="AA658" s="41" t="n">
        <x:v>11519</x:v>
      </x:c>
      <x:c r="AB658" s="41" t="n">
        <x:v>5587</x:v>
      </x:c>
    </x:row>
    <x:row r="659">
      <x:c r="A659" s="41" t="str">
        <x:v>HYP_REFINE_AUTO002_TOPN_6_V1_DDGRID_LONG_R12_C21_E75_CR45_REDD_RECOVERED_DD8_SL22</x:v>
      </x:c>
      <x:c r="B659" s="41" t="str">
        <x:v>dd_guard_grid</x:v>
      </x:c>
      <x:c r="C659" s="41" t="str">
        <x:v>1999-01-04</x:v>
      </x:c>
      <x:c r="D659" s="41" t="str">
        <x:v>2026-05-22</x:v>
      </x:c>
      <x:c r="E659" s="41" t="n">
        <x:v>13.499991</x:v>
      </x:c>
      <x:c r="F659" s="41" t="n">
        <x:v>-34.208041</x:v>
      </x:c>
      <x:c r="G659" s="41" t="n">
        <x:v>3104.082461</x:v>
      </x:c>
      <x:c r="H659" s="41" t="n">
        <x:f>IFERROR(E659/ABS(F659),"")</x:f>
        <x:v>0.3946437914991975</x:v>
      </x:c>
      <x:c r="I659" s="41" t="n">
        <x:v>14.0227</x:v>
      </x:c>
      <x:c r="J659" s="41" t="n">
        <x:v>-29.136797</x:v>
      </x:c>
      <x:c r="K659" s="41" t="n">
        <x:v>3533.602115</x:v>
      </x:c>
      <x:c r="L659" s="41" t="n">
        <x:f>IFERROR(I659/ABS(J659),"")</x:f>
        <x:v>0.4812711568811081</x:v>
      </x:c>
      <x:c r="M659" s="41" t="n">
        <x:v>6.802475</x:v>
      </x:c>
      <x:c r="N659" s="41" t="n">
        <x:v>-56.473669</x:v>
      </x:c>
      <x:c r="O659" s="41" t="n">
        <x:v>506.057416</x:v>
      </x:c>
      <x:c r="P659" s="41" t="n">
        <x:f>IFERROR(M659/ABS(N659),"")</x:f>
        <x:v>0.12045392340278087</x:v>
      </x:c>
      <x:c r="Q659" s="41" t="str">
        <x:f>IF(L659&gt;=MAX(H659,P659),"Weekly",IF(H659&gt;=MAX(L659,P659),"No weekly","SPY"))</x:f>
        <x:v>Weekly</x:v>
      </x:c>
      <x:c r="R659" s="41" t="n">
        <x:f>IFERROR(L659-P659,"")</x:f>
        <x:v>0.3608172334783272</x:v>
      </x:c>
      <x:c r="S659" s="41" t="n">
        <x:f>IFERROR(H659-P659,"")</x:f>
        <x:v>0.2741898680964166</x:v>
      </x:c>
      <x:c r="T659" s="41" t="n">
        <x:f>IFERROR(I659-M659,"")</x:f>
        <x:v>7.220225</x:v>
      </x:c>
      <x:c r="U659" s="41" t="n">
        <x:f>IFERROR(E659-M659,"")</x:f>
        <x:v>6.697515999999999</x:v>
      </x:c>
      <x:c r="V659" s="41" t="str">
        <x:f>IF(AND(I659&gt;M659,J659&gt;N659),"Sí","No")</x:f>
        <x:v>Sí</x:v>
      </x:c>
      <x:c r="W659" s="41" t="str">
        <x:f>IF(AND(E659&gt;M659,F659&gt;N659),"Sí","No")</x:f>
        <x:v>Sí</x:v>
      </x:c>
      <x:c r="X659" s="41" t="str">
        <x:f>IF(L659&gt;=H659,"Weekly","No weekly")</x:f>
        <x:v>Weekly</x:v>
      </x:c>
      <x:c r="Y659" s="41" t="n">
        <x:f>IFERROR(I659-E659,"")</x:f>
        <x:v>0.5227090000000008</x:v>
      </x:c>
      <x:c r="Z659" s="41" t="n">
        <x:f>IFERROR(J659-F659,"")</x:f>
        <x:v>5.071244</x:v>
      </x:c>
      <x:c r="AA659" s="41" t="n">
        <x:v>11597</x:v>
      </x:c>
      <x:c r="AB659" s="41" t="n">
        <x:v>5658</x:v>
      </x:c>
    </x:row>
    <x:row r="660">
      <x:c r="A660" s="41" t="str">
        <x:v>HYP_REFINE_AUTO002_TOPN_6_V1_DDGRID_LONG_R12_C21_E75_CR45_REDD_RECOVERED_DD9_SL20</x:v>
      </x:c>
      <x:c r="B660" s="41" t="str">
        <x:v>dd_guard_grid</x:v>
      </x:c>
      <x:c r="C660" s="41" t="str">
        <x:v>1999-01-04</x:v>
      </x:c>
      <x:c r="D660" s="41" t="str">
        <x:v>2026-05-22</x:v>
      </x:c>
      <x:c r="E660" s="41" t="n">
        <x:v>13.591682</x:v>
      </x:c>
      <x:c r="F660" s="41" t="n">
        <x:v>-33.712</x:v>
      </x:c>
      <x:c r="G660" s="41" t="n">
        <x:v>3175.709971</x:v>
      </x:c>
      <x:c r="H660" s="41" t="n">
        <x:f>IFERROR(E660/ABS(F660),"")</x:f>
        <x:v>0.4031704437588989</x:v>
      </x:c>
      <x:c r="I660" s="41" t="n">
        <x:v>13.712189</x:v>
      </x:c>
      <x:c r="J660" s="41" t="n">
        <x:v>-29.265353</x:v>
      </x:c>
      <x:c r="K660" s="41" t="n">
        <x:v>3272.197156</x:v>
      </x:c>
      <x:c r="L660" s="41" t="n">
        <x:f>IFERROR(I660/ABS(J660),"")</x:f>
        <x:v>0.46854685128862106</x:v>
      </x:c>
      <x:c r="M660" s="41" t="n">
        <x:v>6.802475</x:v>
      </x:c>
      <x:c r="N660" s="41" t="n">
        <x:v>-56.473669</x:v>
      </x:c>
      <x:c r="O660" s="41" t="n">
        <x:v>506.057416</x:v>
      </x:c>
      <x:c r="P660" s="41" t="n">
        <x:f>IFERROR(M660/ABS(N660),"")</x:f>
        <x:v>0.12045392340278087</x:v>
      </x:c>
      <x:c r="Q660" s="41" t="str">
        <x:f>IF(L660&gt;=MAX(H660,P660),"Weekly",IF(H660&gt;=MAX(L660,P660),"No weekly","SPY"))</x:f>
        <x:v>Weekly</x:v>
      </x:c>
      <x:c r="R660" s="41" t="n">
        <x:f>IFERROR(L660-P660,"")</x:f>
        <x:v>0.3480929278858402</x:v>
      </x:c>
      <x:c r="S660" s="41" t="n">
        <x:f>IFERROR(H660-P660,"")</x:f>
        <x:v>0.282716520356118</x:v>
      </x:c>
      <x:c r="T660" s="41" t="n">
        <x:f>IFERROR(I660-M660,"")</x:f>
        <x:v>6.909714</x:v>
      </x:c>
      <x:c r="U660" s="41" t="n">
        <x:f>IFERROR(E660-M660,"")</x:f>
        <x:v>6.789207</x:v>
      </x:c>
      <x:c r="V660" s="41" t="str">
        <x:f>IF(AND(I660&gt;M660,J660&gt;N660),"Sí","No")</x:f>
        <x:v>Sí</x:v>
      </x:c>
      <x:c r="W660" s="41" t="str">
        <x:f>IF(AND(E660&gt;M660,F660&gt;N660),"Sí","No")</x:f>
        <x:v>Sí</x:v>
      </x:c>
      <x:c r="X660" s="41" t="str">
        <x:f>IF(L660&gt;=H660,"Weekly","No weekly")</x:f>
        <x:v>Weekly</x:v>
      </x:c>
      <x:c r="Y660" s="41" t="n">
        <x:f>IFERROR(I660-E660,"")</x:f>
        <x:v>0.12050699999999992</x:v>
      </x:c>
      <x:c r="Z660" s="41" t="n">
        <x:f>IFERROR(J660-F660,"")</x:f>
        <x:v>4.446647000000002</x:v>
      </x:c>
      <x:c r="AA660" s="41" t="n">
        <x:v>11459</x:v>
      </x:c>
      <x:c r="AB660" s="41" t="n">
        <x:v>5363</x:v>
      </x:c>
    </x:row>
    <x:row r="661">
      <x:c r="A661" s="41" t="str">
        <x:v>HYP_REFINE_AUTO002_TOPN_6_V1_DDGRID_LONG_R12_C21_E78_CR40_REDD_RECOVERED_DD7_SL18</x:v>
      </x:c>
      <x:c r="B661" s="41" t="str">
        <x:v>dd_guard_grid</x:v>
      </x:c>
      <x:c r="C661" s="41" t="str">
        <x:v>1999-01-04</x:v>
      </x:c>
      <x:c r="D661" s="41" t="str">
        <x:v>2026-05-22</x:v>
      </x:c>
      <x:c r="E661" s="41" t="n">
        <x:v>10.687575</x:v>
      </x:c>
      <x:c r="F661" s="41" t="n">
        <x:v>-31.888697</x:v>
      </x:c>
      <x:c r="G661" s="41" t="n">
        <x:v>1511.986098</x:v>
      </x:c>
      <x:c r="H661" s="41" t="n">
        <x:f>IFERROR(E661/ABS(F661),"")</x:f>
        <x:v>0.33515245229367635</x:v>
      </x:c>
      <x:c r="I661" s="41" t="n">
        <x:v>12.053475</x:v>
      </x:c>
      <x:c r="J661" s="41" t="n">
        <x:v>-28.903943</x:v>
      </x:c>
      <x:c r="K661" s="41" t="n">
        <x:v>2155.234696</x:v>
      </x:c>
      <x:c r="L661" s="41" t="n">
        <x:f>IFERROR(I661/ABS(J661),"")</x:f>
        <x:v>0.4170183632039407</x:v>
      </x:c>
      <x:c r="M661" s="41" t="n">
        <x:v>6.802475</x:v>
      </x:c>
      <x:c r="N661" s="41" t="n">
        <x:v>-56.473669</x:v>
      </x:c>
      <x:c r="O661" s="41" t="n">
        <x:v>506.057416</x:v>
      </x:c>
      <x:c r="P661" s="41" t="n">
        <x:f>IFERROR(M661/ABS(N661),"")</x:f>
        <x:v>0.12045392340278087</x:v>
      </x:c>
      <x:c r="Q661" s="41" t="str">
        <x:f>IF(L661&gt;=MAX(H661,P661),"Weekly",IF(H661&gt;=MAX(L661,P661),"No weekly","SPY"))</x:f>
        <x:v>Weekly</x:v>
      </x:c>
      <x:c r="R661" s="41" t="n">
        <x:f>IFERROR(L661-P661,"")</x:f>
        <x:v>0.2965644398011598</x:v>
      </x:c>
      <x:c r="S661" s="41" t="n">
        <x:f>IFERROR(H661-P661,"")</x:f>
        <x:v>0.21469852889089547</x:v>
      </x:c>
      <x:c r="T661" s="41" t="n">
        <x:f>IFERROR(I661-M661,"")</x:f>
        <x:v>5.251</x:v>
      </x:c>
      <x:c r="U661" s="41" t="n">
        <x:f>IFERROR(E661-M661,"")</x:f>
        <x:v>3.8851000000000004</x:v>
      </x:c>
      <x:c r="V661" s="41" t="str">
        <x:f>IF(AND(I661&gt;M661,J661&gt;N661),"Sí","No")</x:f>
        <x:v>Sí</x:v>
      </x:c>
      <x:c r="W661" s="41" t="str">
        <x:f>IF(AND(E661&gt;M661,F661&gt;N661),"Sí","No")</x:f>
        <x:v>Sí</x:v>
      </x:c>
      <x:c r="X661" s="41" t="str">
        <x:f>IF(L661&gt;=H661,"Weekly","No weekly")</x:f>
        <x:v>Weekly</x:v>
      </x:c>
      <x:c r="Y661" s="41" t="n">
        <x:f>IFERROR(I661-E661,"")</x:f>
        <x:v>1.3659</x:v>
      </x:c>
      <x:c r="Z661" s="41" t="n">
        <x:f>IFERROR(J661-F661,"")</x:f>
        <x:v>2.984753999999999</x:v>
      </x:c>
      <x:c r="AA661" s="41" t="n">
        <x:v>12009</x:v>
      </x:c>
      <x:c r="AB661" s="41" t="n">
        <x:v>6060</x:v>
      </x:c>
    </x:row>
    <x:row r="662">
      <x:c r="A662" s="41" t="str">
        <x:v>HYP_REFINE_AUTO002_TOPN_6_V1_DDGRID_LONG_R12_C21_E78_CR40_REDD_RECOVERED_DD8_SL20</x:v>
      </x:c>
      <x:c r="B662" s="41" t="str">
        <x:v>dd_guard_grid</x:v>
      </x:c>
      <x:c r="C662" s="41" t="str">
        <x:v>1999-01-04</x:v>
      </x:c>
      <x:c r="D662" s="41" t="str">
        <x:v>2026-05-22</x:v>
      </x:c>
      <x:c r="E662" s="41" t="n">
        <x:v>12.187243</x:v>
      </x:c>
      <x:c r="F662" s="41" t="n">
        <x:v>-32.203522</x:v>
      </x:c>
      <x:c r="G662" s="41" t="n">
        <x:v>2230.117407</x:v>
      </x:c>
      <x:c r="H662" s="41" t="n">
        <x:f>IFERROR(E662/ABS(F662),"")</x:f>
        <x:v>0.37844441362655923</x:v>
      </x:c>
      <x:c r="I662" s="41" t="n">
        <x:v>12.93186</x:v>
      </x:c>
      <x:c r="J662" s="41" t="n">
        <x:v>-29.176468</x:v>
      </x:c>
      <x:c r="K662" s="41" t="n">
        <x:v>2692.778275</x:v>
      </x:c>
      <x:c r="L662" s="41" t="n">
        <x:f>IFERROR(I662/ABS(J662),"")</x:f>
        <x:v>0.4432291118993567</x:v>
      </x:c>
      <x:c r="M662" s="41" t="n">
        <x:v>6.802475</x:v>
      </x:c>
      <x:c r="N662" s="41" t="n">
        <x:v>-56.473669</x:v>
      </x:c>
      <x:c r="O662" s="41" t="n">
        <x:v>506.057416</x:v>
      </x:c>
      <x:c r="P662" s="41" t="n">
        <x:f>IFERROR(M662/ABS(N662),"")</x:f>
        <x:v>0.12045392340278087</x:v>
      </x:c>
      <x:c r="Q662" s="41" t="str">
        <x:f>IF(L662&gt;=MAX(H662,P662),"Weekly",IF(H662&gt;=MAX(L662,P662),"No weekly","SPY"))</x:f>
        <x:v>Weekly</x:v>
      </x:c>
      <x:c r="R662" s="41" t="n">
        <x:f>IFERROR(L662-P662,"")</x:f>
        <x:v>0.3227751884965758</x:v>
      </x:c>
      <x:c r="S662" s="41" t="n">
        <x:f>IFERROR(H662-P662,"")</x:f>
        <x:v>0.25799049022377835</x:v>
      </x:c>
      <x:c r="T662" s="41" t="n">
        <x:f>IFERROR(I662-M662,"")</x:f>
        <x:v>6.129385</x:v>
      </x:c>
      <x:c r="U662" s="41" t="n">
        <x:f>IFERROR(E662-M662,"")</x:f>
        <x:v>5.384768</x:v>
      </x:c>
      <x:c r="V662" s="41" t="str">
        <x:f>IF(AND(I662&gt;M662,J662&gt;N662),"Sí","No")</x:f>
        <x:v>Sí</x:v>
      </x:c>
      <x:c r="W662" s="41" t="str">
        <x:f>IF(AND(E662&gt;M662,F662&gt;N662),"Sí","No")</x:f>
        <x:v>Sí</x:v>
      </x:c>
      <x:c r="X662" s="41" t="str">
        <x:f>IF(L662&gt;=H662,"Weekly","No weekly")</x:f>
        <x:v>Weekly</x:v>
      </x:c>
      <x:c r="Y662" s="41" t="n">
        <x:f>IFERROR(I662-E662,"")</x:f>
        <x:v>0.7446169999999999</x:v>
      </x:c>
      <x:c r="Z662" s="41" t="n">
        <x:f>IFERROR(J662-F662,"")</x:f>
        <x:v>3.0270539999999997</x:v>
      </x:c>
      <x:c r="AA662" s="41" t="n">
        <x:v>11843</x:v>
      </x:c>
      <x:c r="AB662" s="41" t="n">
        <x:v>5797</x:v>
      </x:c>
    </x:row>
    <x:row r="663">
      <x:c r="A663" s="41" t="str">
        <x:v>HYP_REFINE_AUTO002_TOPN_6_V1_DDGRID_LONG_R12_C21_E78_CR40_REDD_RECOVERED_DD8_SL22</x:v>
      </x:c>
      <x:c r="B663" s="41" t="str">
        <x:v>dd_guard_grid</x:v>
      </x:c>
      <x:c r="C663" s="41" t="str">
        <x:v>1999-01-04</x:v>
      </x:c>
      <x:c r="D663" s="41" t="str">
        <x:v>2026-05-22</x:v>
      </x:c>
      <x:c r="E663" s="41" t="n">
        <x:v>11.750612</x:v>
      </x:c>
      <x:c r="F663" s="41" t="n">
        <x:v>-32.797298</x:v>
      </x:c>
      <x:c r="G663" s="41" t="n">
        <x:v>1994.163297</x:v>
      </x:c>
      <x:c r="H663" s="41" t="n">
        <x:f>IFERROR(E663/ABS(F663),"")</x:f>
        <x:v>0.35827988025111096</x:v>
      </x:c>
      <x:c r="I663" s="41" t="n">
        <x:v>12.046323</x:v>
      </x:c>
      <x:c r="J663" s="41" t="n">
        <x:v>-31.039253</x:v>
      </x:c>
      <x:c r="K663" s="41" t="n">
        <x:v>2151.29725</x:v>
      </x:c>
      <x:c r="L663" s="41" t="n">
        <x:f>IFERROR(I663/ABS(J663),"")</x:f>
        <x:v>0.38809964273302583</x:v>
      </x:c>
      <x:c r="M663" s="41" t="n">
        <x:v>6.802475</x:v>
      </x:c>
      <x:c r="N663" s="41" t="n">
        <x:v>-56.473669</x:v>
      </x:c>
      <x:c r="O663" s="41" t="n">
        <x:v>506.057416</x:v>
      </x:c>
      <x:c r="P663" s="41" t="n">
        <x:f>IFERROR(M663/ABS(N663),"")</x:f>
        <x:v>0.12045392340278087</x:v>
      </x:c>
      <x:c r="Q663" s="41" t="str">
        <x:f>IF(L663&gt;=MAX(H663,P663),"Weekly",IF(H663&gt;=MAX(L663,P663),"No weekly","SPY"))</x:f>
        <x:v>Weekly</x:v>
      </x:c>
      <x:c r="R663" s="41" t="n">
        <x:f>IFERROR(L663-P663,"")</x:f>
        <x:v>0.26764571933024495</x:v>
      </x:c>
      <x:c r="S663" s="41" t="n">
        <x:f>IFERROR(H663-P663,"")</x:f>
        <x:v>0.23782595684833008</x:v>
      </x:c>
      <x:c r="T663" s="41" t="n">
        <x:f>IFERROR(I663-M663,"")</x:f>
        <x:v>5.243847999999999</x:v>
      </x:c>
      <x:c r="U663" s="41" t="n">
        <x:f>IFERROR(E663-M663,"")</x:f>
        <x:v>4.948137</x:v>
      </x:c>
      <x:c r="V663" s="41" t="str">
        <x:f>IF(AND(I663&gt;M663,J663&gt;N663),"Sí","No")</x:f>
        <x:v>Sí</x:v>
      </x:c>
      <x:c r="W663" s="41" t="str">
        <x:f>IF(AND(E663&gt;M663,F663&gt;N663),"Sí","No")</x:f>
        <x:v>Sí</x:v>
      </x:c>
      <x:c r="X663" s="41" t="str">
        <x:f>IF(L663&gt;=H663,"Weekly","No weekly")</x:f>
        <x:v>Weekly</x:v>
      </x:c>
      <x:c r="Y663" s="41" t="n">
        <x:f>IFERROR(I663-E663,"")</x:f>
        <x:v>0.29571099999999895</x:v>
      </x:c>
      <x:c r="Z663" s="41" t="n">
        <x:f>IFERROR(J663-F663,"")</x:f>
        <x:v>1.7580449999999992</x:v>
      </x:c>
      <x:c r="AA663" s="41" t="n">
        <x:v>12212</x:v>
      </x:c>
      <x:c r="AB663" s="41" t="n">
        <x:v>5948</x:v>
      </x:c>
    </x:row>
    <x:row r="664">
      <x:c r="A664" s="41" t="str">
        <x:v>HYP_REFINE_AUTO002_TOPN_6_V1_DDGRID_LONG_R12_C21_E78_CR45_REDD_RECOVERED_DD8_SL20</x:v>
      </x:c>
      <x:c r="B664" s="41" t="str">
        <x:v>dd_guard_grid</x:v>
      </x:c>
      <x:c r="C664" s="41" t="str">
        <x:v>1999-01-04</x:v>
      </x:c>
      <x:c r="D664" s="41" t="str">
        <x:v>2026-05-22</x:v>
      </x:c>
      <x:c r="E664" s="41" t="n">
        <x:v>12.504616</x:v>
      </x:c>
      <x:c r="F664" s="41" t="n">
        <x:v>-33.057249</x:v>
      </x:c>
      <x:c r="G664" s="41" t="n">
        <x:v>2417.488885</x:v>
      </x:c>
      <x:c r="H664" s="41" t="n">
        <x:f>IFERROR(E664/ABS(F664),"")</x:f>
        <x:v>0.37827152525607927</x:v>
      </x:c>
      <x:c r="I664" s="41" t="n">
        <x:v>14.044459</x:v>
      </x:c>
      <x:c r="J664" s="41" t="n">
        <x:v>-29.361941</x:v>
      </x:c>
      <x:c r="K664" s="41" t="n">
        <x:v>3552.633653</x:v>
      </x:c>
      <x:c r="L664" s="41" t="n">
        <x:f>IFERROR(I664/ABS(J664),"")</x:f>
        <x:v>0.478321886145061</x:v>
      </x:c>
      <x:c r="M664" s="41" t="n">
        <x:v>6.802475</x:v>
      </x:c>
      <x:c r="N664" s="41" t="n">
        <x:v>-56.473669</x:v>
      </x:c>
      <x:c r="O664" s="41" t="n">
        <x:v>506.057416</x:v>
      </x:c>
      <x:c r="P664" s="41" t="n">
        <x:f>IFERROR(M664/ABS(N664),"")</x:f>
        <x:v>0.12045392340278087</x:v>
      </x:c>
      <x:c r="Q664" s="41" t="str">
        <x:f>IF(L664&gt;=MAX(H664,P664),"Weekly",IF(H664&gt;=MAX(L664,P664),"No weekly","SPY"))</x:f>
        <x:v>Weekly</x:v>
      </x:c>
      <x:c r="R664" s="41" t="n">
        <x:f>IFERROR(L664-P664,"")</x:f>
        <x:v>0.3578679627422801</x:v>
      </x:c>
      <x:c r="S664" s="41" t="n">
        <x:f>IFERROR(H664-P664,"")</x:f>
        <x:v>0.2578176018532984</x:v>
      </x:c>
      <x:c r="T664" s="41" t="n">
        <x:f>IFERROR(I664-M664,"")</x:f>
        <x:v>7.2419839999999995</x:v>
      </x:c>
      <x:c r="U664" s="41" t="n">
        <x:f>IFERROR(E664-M664,"")</x:f>
        <x:v>5.702141</x:v>
      </x:c>
      <x:c r="V664" s="41" t="str">
        <x:f>IF(AND(I664&gt;M664,J664&gt;N664),"Sí","No")</x:f>
        <x:v>Sí</x:v>
      </x:c>
      <x:c r="W664" s="41" t="str">
        <x:f>IF(AND(E664&gt;M664,F664&gt;N664),"Sí","No")</x:f>
        <x:v>Sí</x:v>
      </x:c>
      <x:c r="X664" s="41" t="str">
        <x:f>IF(L664&gt;=H664,"Weekly","No weekly")</x:f>
        <x:v>Weekly</x:v>
      </x:c>
      <x:c r="Y664" s="41" t="n">
        <x:f>IFERROR(I664-E664,"")</x:f>
        <x:v>1.5398429999999994</x:v>
      </x:c>
      <x:c r="Z664" s="41" t="n">
        <x:f>IFERROR(J664-F664,"")</x:f>
        <x:v>3.695307999999997</x:v>
      </x:c>
      <x:c r="AA664" s="41" t="n">
        <x:v>11431</x:v>
      </x:c>
      <x:c r="AB664" s="41" t="n">
        <x:v>5647</x:v>
      </x:c>
    </x:row>
    <x:row r="665">
      <x:c r="A665" s="41" t="str">
        <x:v>HYP_REFINE_AUTO002_TOPN_6_V1_DDGRID_LONG_R12_C21_E80_CR40_REDD_RECOVERED_DD8_SL20</x:v>
      </x:c>
      <x:c r="B665" s="41" t="str">
        <x:v>dd_guard_grid</x:v>
      </x:c>
      <x:c r="C665" s="41" t="str">
        <x:v>1999-01-04</x:v>
      </x:c>
      <x:c r="D665" s="41" t="str">
        <x:v>2026-05-22</x:v>
      </x:c>
      <x:c r="E665" s="41" t="n">
        <x:v>12.554912</x:v>
      </x:c>
      <x:c r="F665" s="41" t="n">
        <x:v>-32.428791</x:v>
      </x:c>
      <x:c r="G665" s="41" t="n">
        <x:v>2448.484984</x:v>
      </x:c>
      <x:c r="H665" s="41" t="n">
        <x:f>IFERROR(E665/ABS(F665),"")</x:f>
        <x:v>0.38715325526628486</x:v>
      </x:c>
      <x:c r="I665" s="41" t="n">
        <x:v>13.327216</x:v>
      </x:c>
      <x:c r="J665" s="41" t="n">
        <x:v>-29.445311</x:v>
      </x:c>
      <x:c r="K665" s="41" t="n">
        <x:v>2973.193304</x:v>
      </x:c>
      <x:c r="L665" s="41" t="n">
        <x:f>IFERROR(I665/ABS(J665),"")</x:f>
        <x:v>0.4526091098171794</x:v>
      </x:c>
      <x:c r="M665" s="41" t="n">
        <x:v>6.802475</x:v>
      </x:c>
      <x:c r="N665" s="41" t="n">
        <x:v>-56.473669</x:v>
      </x:c>
      <x:c r="O665" s="41" t="n">
        <x:v>506.057416</x:v>
      </x:c>
      <x:c r="P665" s="41" t="n">
        <x:f>IFERROR(M665/ABS(N665),"")</x:f>
        <x:v>0.12045392340278087</x:v>
      </x:c>
      <x:c r="Q665" s="41" t="str">
        <x:f>IF(L665&gt;=MAX(H665,P665),"Weekly",IF(H665&gt;=MAX(L665,P665),"No weekly","SPY"))</x:f>
        <x:v>Weekly</x:v>
      </x:c>
      <x:c r="R665" s="41" t="n">
        <x:f>IFERROR(L665-P665,"")</x:f>
        <x:v>0.3321551864143985</x:v>
      </x:c>
      <x:c r="S665" s="41" t="n">
        <x:f>IFERROR(H665-P665,"")</x:f>
        <x:v>0.266699331863504</x:v>
      </x:c>
      <x:c r="T665" s="41" t="n">
        <x:f>IFERROR(I665-M665,"")</x:f>
        <x:v>6.524741</x:v>
      </x:c>
      <x:c r="U665" s="41" t="n">
        <x:f>IFERROR(E665-M665,"")</x:f>
        <x:v>5.752437</x:v>
      </x:c>
      <x:c r="V665" s="41" t="str">
        <x:f>IF(AND(I665&gt;M665,J665&gt;N665),"Sí","No")</x:f>
        <x:v>Sí</x:v>
      </x:c>
      <x:c r="W665" s="41" t="str">
        <x:f>IF(AND(E665&gt;M665,F665&gt;N665),"Sí","No")</x:f>
        <x:v>Sí</x:v>
      </x:c>
      <x:c r="X665" s="41" t="str">
        <x:f>IF(L665&gt;=H665,"Weekly","No weekly")</x:f>
        <x:v>Weekly</x:v>
      </x:c>
      <x:c r="Y665" s="41" t="n">
        <x:f>IFERROR(I665-E665,"")</x:f>
        <x:v>0.7723040000000001</x:v>
      </x:c>
      <x:c r="Z665" s="41" t="n">
        <x:f>IFERROR(J665-F665,"")</x:f>
        <x:v>2.9834799999999966</x:v>
      </x:c>
      <x:c r="AA665" s="41" t="n">
        <x:v>11679</x:v>
      </x:c>
      <x:c r="AB665" s="41" t="n">
        <x:v>5799</x:v>
      </x:c>
    </x:row>
    <x:row r="666">
      <x:c r="A666" s="41" t="str">
        <x:v>HYP_REFINE_AUTO002_TOPN_6_V1_DDGRID_LONG_R12_C21_E80_CR40_REDD_RECOVERED_DD8_SL22</x:v>
      </x:c>
      <x:c r="B666" s="41" t="str">
        <x:v>dd_guard_grid</x:v>
      </x:c>
      <x:c r="C666" s="41" t="str">
        <x:v>1999-01-04</x:v>
      </x:c>
      <x:c r="D666" s="41" t="str">
        <x:v>2026-05-22</x:v>
      </x:c>
      <x:c r="E666" s="41" t="n">
        <x:v>11.237589</x:v>
      </x:c>
      <x:c r="F666" s="41" t="n">
        <x:v>-33.05936</x:v>
      </x:c>
      <x:c r="G666" s="41" t="n">
        <x:v>1746.285783</x:v>
      </x:c>
      <x:c r="H666" s="41" t="n">
        <x:f>IFERROR(E666/ABS(F666),"")</x:f>
        <x:v>0.3399215532303106</x:v>
      </x:c>
      <x:c r="I666" s="41" t="n">
        <x:v>12.463933</x:v>
      </x:c>
      <x:c r="J666" s="41" t="n">
        <x:v>-29.331233</x:v>
      </x:c>
      <x:c r="K666" s="41" t="n">
        <x:v>2392.683366</x:v>
      </x:c>
      <x:c r="L666" s="41" t="n">
        <x:f>IFERROR(I666/ABS(J666),"")</x:f>
        <x:v>0.42493723328985183</x:v>
      </x:c>
      <x:c r="M666" s="41" t="n">
        <x:v>6.802475</x:v>
      </x:c>
      <x:c r="N666" s="41" t="n">
        <x:v>-56.473669</x:v>
      </x:c>
      <x:c r="O666" s="41" t="n">
        <x:v>506.057416</x:v>
      </x:c>
      <x:c r="P666" s="41" t="n">
        <x:f>IFERROR(M666/ABS(N666),"")</x:f>
        <x:v>0.12045392340278087</x:v>
      </x:c>
      <x:c r="Q666" s="41" t="str">
        <x:f>IF(L666&gt;=MAX(H666,P666),"Weekly",IF(H666&gt;=MAX(L666,P666),"No weekly","SPY"))</x:f>
        <x:v>Weekly</x:v>
      </x:c>
      <x:c r="R666" s="41" t="n">
        <x:f>IFERROR(L666-P666,"")</x:f>
        <x:v>0.30448330988707095</x:v>
      </x:c>
      <x:c r="S666" s="41" t="n">
        <x:f>IFERROR(H666-P666,"")</x:f>
        <x:v>0.2194676298275297</x:v>
      </x:c>
      <x:c r="T666" s="41" t="n">
        <x:f>IFERROR(I666-M666,"")</x:f>
        <x:v>5.6614580000000005</x:v>
      </x:c>
      <x:c r="U666" s="41" t="n">
        <x:f>IFERROR(E666-M666,"")</x:f>
        <x:v>4.435114</x:v>
      </x:c>
      <x:c r="V666" s="41" t="str">
        <x:f>IF(AND(I666&gt;M666,J666&gt;N666),"Sí","No")</x:f>
        <x:v>Sí</x:v>
      </x:c>
      <x:c r="W666" s="41" t="str">
        <x:f>IF(AND(E666&gt;M666,F666&gt;N666),"Sí","No")</x:f>
        <x:v>Sí</x:v>
      </x:c>
      <x:c r="X666" s="41" t="str">
        <x:f>IF(L666&gt;=H666,"Weekly","No weekly")</x:f>
        <x:v>Weekly</x:v>
      </x:c>
      <x:c r="Y666" s="41" t="n">
        <x:f>IFERROR(I666-E666,"")</x:f>
        <x:v>1.226344000000001</x:v>
      </x:c>
      <x:c r="Z666" s="41" t="n">
        <x:f>IFERROR(J666-F666,"")</x:f>
        <x:v>3.728126999999997</x:v>
      </x:c>
      <x:c r="AA666" s="41" t="n">
        <x:v>12117</x:v>
      </x:c>
      <x:c r="AB666" s="41" t="n">
        <x:v>6064</x:v>
      </x:c>
    </x:row>
    <x:row r="667">
      <x:c r="A667" s="41" t="str">
        <x:v>HYP_REFINE_AUTO002_TOPN_6_V1_DDGRID_LONG_R12_C22_E68_CR40_REDD_RECOVERED_DD7_SL18</x:v>
      </x:c>
      <x:c r="B667" s="41" t="str">
        <x:v>dd_guard_grid</x:v>
      </x:c>
      <x:c r="C667" s="41" t="str">
        <x:v>1999-01-04</x:v>
      </x:c>
      <x:c r="D667" s="41" t="str">
        <x:v>2026-05-22</x:v>
      </x:c>
      <x:c r="E667" s="41" t="n">
        <x:v>12.705698</x:v>
      </x:c>
      <x:c r="F667" s="41" t="n">
        <x:v>-31.612094</x:v>
      </x:c>
      <x:c r="G667" s="41" t="n">
        <x:v>2543.629185</x:v>
      </x:c>
      <x:c r="H667" s="41" t="n">
        <x:f>IFERROR(E667/ABS(F667),"")</x:f>
        <x:v>0.40192522520020346</x:v>
      </x:c>
      <x:c r="I667" s="41" t="n">
        <x:v>11.932709</x:v>
      </x:c>
      <x:c r="J667" s="41" t="n">
        <x:v>-27.788324</x:v>
      </x:c>
      <x:c r="K667" s="41" t="n">
        <x:v>2089.626197</x:v>
      </x:c>
      <x:c r="L667" s="41" t="n">
        <x:f>IFERROR(I667/ABS(J667),"")</x:f>
        <x:v>0.4294144907767737</x:v>
      </x:c>
      <x:c r="M667" s="41" t="n">
        <x:v>6.802475</x:v>
      </x:c>
      <x:c r="N667" s="41" t="n">
        <x:v>-56.473669</x:v>
      </x:c>
      <x:c r="O667" s="41" t="n">
        <x:v>506.057416</x:v>
      </x:c>
      <x:c r="P667" s="41" t="n">
        <x:f>IFERROR(M667/ABS(N667),"")</x:f>
        <x:v>0.12045392340278087</x:v>
      </x:c>
      <x:c r="Q667" s="41" t="str">
        <x:f>IF(L667&gt;=MAX(H667,P667),"Weekly",IF(H667&gt;=MAX(L667,P667),"No weekly","SPY"))</x:f>
        <x:v>Weekly</x:v>
      </x:c>
      <x:c r="R667" s="41" t="n">
        <x:f>IFERROR(L667-P667,"")</x:f>
        <x:v>0.3089605673739928</x:v>
      </x:c>
      <x:c r="S667" s="41" t="n">
        <x:f>IFERROR(H667-P667,"")</x:f>
        <x:v>0.2814713017974226</x:v>
      </x:c>
      <x:c r="T667" s="41" t="n">
        <x:f>IFERROR(I667-M667,"")</x:f>
        <x:v>5.130233999999999</x:v>
      </x:c>
      <x:c r="U667" s="41" t="n">
        <x:f>IFERROR(E667-M667,"")</x:f>
        <x:v>5.903223</x:v>
      </x:c>
      <x:c r="V667" s="41" t="str">
        <x:f>IF(AND(I667&gt;M667,J667&gt;N667),"Sí","No")</x:f>
        <x:v>Sí</x:v>
      </x:c>
      <x:c r="W667" s="41" t="str">
        <x:f>IF(AND(E667&gt;M667,F667&gt;N667),"Sí","No")</x:f>
        <x:v>Sí</x:v>
      </x:c>
      <x:c r="X667" s="41" t="str">
        <x:f>IF(L667&gt;=H667,"Weekly","No weekly")</x:f>
        <x:v>Weekly</x:v>
      </x:c>
      <x:c r="Y667" s="41" t="n">
        <x:f>IFERROR(I667-E667,"")</x:f>
        <x:v>-0.7729890000000008</x:v>
      </x:c>
      <x:c r="Z667" s="41" t="n">
        <x:f>IFERROR(J667-F667,"")</x:f>
        <x:v>3.8237699999999997</x:v>
      </x:c>
      <x:c r="AA667" s="41" t="n">
        <x:v>11663</x:v>
      </x:c>
      <x:c r="AB667" s="41" t="n">
        <x:v>5896</x:v>
      </x:c>
    </x:row>
    <x:row r="668">
      <x:c r="A668" s="41" t="str">
        <x:v>HYP_REFINE_AUTO002_TOPN_6_V1_DDGRID_LONG_R12_C22_E68_CR40_REDD_RECOVERED_DD8_SL20</x:v>
      </x:c>
      <x:c r="B668" s="41" t="str">
        <x:v>dd_guard_grid</x:v>
      </x:c>
      <x:c r="C668" s="41" t="str">
        <x:v>1999-01-04</x:v>
      </x:c>
      <x:c r="D668" s="41" t="str">
        <x:v>2026-05-22</x:v>
      </x:c>
      <x:c r="E668" s="41" t="n">
        <x:v>13.40158</x:v>
      </x:c>
      <x:c r="F668" s="41" t="n">
        <x:v>-32.432874</x:v>
      </x:c>
      <x:c r="G668" s="41" t="n">
        <x:v>3028.88519</x:v>
      </x:c>
      <x:c r="H668" s="41" t="n">
        <x:f>IFERROR(E668/ABS(F668),"")</x:f>
        <x:v>0.41320975748248523</x:v>
      </x:c>
      <x:c r="I668" s="41" t="n">
        <x:v>13.26091</x:v>
      </x:c>
      <x:c r="J668" s="41" t="n">
        <x:v>-27.773531</x:v>
      </x:c>
      <x:c r="K668" s="41" t="n">
        <x:v>2924.342865</x:v>
      </x:c>
      <x:c r="L668" s="41" t="n">
        <x:f>IFERROR(I668/ABS(J668),"")</x:f>
        <x:v>0.4774657568747741</x:v>
      </x:c>
      <x:c r="M668" s="41" t="n">
        <x:v>6.802475</x:v>
      </x:c>
      <x:c r="N668" s="41" t="n">
        <x:v>-56.473669</x:v>
      </x:c>
      <x:c r="O668" s="41" t="n">
        <x:v>506.057416</x:v>
      </x:c>
      <x:c r="P668" s="41" t="n">
        <x:f>IFERROR(M668/ABS(N668),"")</x:f>
        <x:v>0.12045392340278087</x:v>
      </x:c>
      <x:c r="Q668" s="41" t="str">
        <x:f>IF(L668&gt;=MAX(H668,P668),"Weekly",IF(H668&gt;=MAX(L668,P668),"No weekly","SPY"))</x:f>
        <x:v>Weekly</x:v>
      </x:c>
      <x:c r="R668" s="41" t="n">
        <x:f>IFERROR(L668-P668,"")</x:f>
        <x:v>0.3570118334719932</x:v>
      </x:c>
      <x:c r="S668" s="41" t="n">
        <x:f>IFERROR(H668-P668,"")</x:f>
        <x:v>0.29275583407970435</x:v>
      </x:c>
      <x:c r="T668" s="41" t="n">
        <x:f>IFERROR(I668-M668,"")</x:f>
        <x:v>6.458435000000001</x:v>
      </x:c>
      <x:c r="U668" s="41" t="n">
        <x:f>IFERROR(E668-M668,"")</x:f>
        <x:v>6.599104999999999</x:v>
      </x:c>
      <x:c r="V668" s="41" t="str">
        <x:f>IF(AND(I668&gt;M668,J668&gt;N668),"Sí","No")</x:f>
        <x:v>Sí</x:v>
      </x:c>
      <x:c r="W668" s="41" t="str">
        <x:f>IF(AND(E668&gt;M668,F668&gt;N668),"Sí","No")</x:f>
        <x:v>Sí</x:v>
      </x:c>
      <x:c r="X668" s="41" t="str">
        <x:f>IF(L668&gt;=H668,"Weekly","No weekly")</x:f>
        <x:v>Weekly</x:v>
      </x:c>
      <x:c r="Y668" s="41" t="n">
        <x:f>IFERROR(I668-E668,"")</x:f>
        <x:v>-0.1406699999999983</x:v>
      </x:c>
      <x:c r="Z668" s="41" t="n">
        <x:f>IFERROR(J668-F668,"")</x:f>
        <x:v>4.659343</x:v>
      </x:c>
      <x:c r="AA668" s="41" t="n">
        <x:v>11597</x:v>
      </x:c>
      <x:c r="AB668" s="41" t="n">
        <x:v>5496</x:v>
      </x:c>
    </x:row>
    <x:row r="669">
      <x:c r="A669" s="41" t="str">
        <x:v>HYP_REFINE_AUTO002_TOPN_6_V1_DDGRID_LONG_R12_C22_E68_CR45_REDD_RECOVERED_DD8_SL20</x:v>
      </x:c>
      <x:c r="B669" s="41" t="str">
        <x:v>dd_guard_grid</x:v>
      </x:c>
      <x:c r="C669" s="41" t="str">
        <x:v>1999-01-04</x:v>
      </x:c>
      <x:c r="D669" s="41" t="str">
        <x:v>2026-05-22</x:v>
      </x:c>
      <x:c r="E669" s="41" t="n">
        <x:v>13.527928</x:v>
      </x:c>
      <x:c r="F669" s="41" t="n">
        <x:v>-33.470733</x:v>
      </x:c>
      <x:c r="G669" s="41" t="n">
        <x:v>3125.745206</x:v>
      </x:c>
      <x:c r="H669" s="41" t="n">
        <x:f>IFERROR(E669/ABS(F669),"")</x:f>
        <x:v>0.4041718476855585</x:v>
      </x:c>
      <x:c r="I669" s="41" t="n">
        <x:v>13.822949</x:v>
      </x:c>
      <x:c r="J669" s="41" t="n">
        <x:v>-27.990834</x:v>
      </x:c>
      <x:c r="K669" s="41" t="n">
        <x:v>3363.290705</x:v>
      </x:c>
      <x:c r="L669" s="41" t="n">
        <x:f>IFERROR(I669/ABS(J669),"")</x:f>
        <x:v>0.49383841153143204</x:v>
      </x:c>
      <x:c r="M669" s="41" t="n">
        <x:v>6.802475</x:v>
      </x:c>
      <x:c r="N669" s="41" t="n">
        <x:v>-56.473669</x:v>
      </x:c>
      <x:c r="O669" s="41" t="n">
        <x:v>506.057416</x:v>
      </x:c>
      <x:c r="P669" s="41" t="n">
        <x:f>IFERROR(M669/ABS(N669),"")</x:f>
        <x:v>0.12045392340278087</x:v>
      </x:c>
      <x:c r="Q669" s="41" t="str">
        <x:f>IF(L669&gt;=MAX(H669,P669),"Weekly",IF(H669&gt;=MAX(L669,P669),"No weekly","SPY"))</x:f>
        <x:v>Weekly</x:v>
      </x:c>
      <x:c r="R669" s="41" t="n">
        <x:f>IFERROR(L669-P669,"")</x:f>
        <x:v>0.37338448812865116</x:v>
      </x:c>
      <x:c r="S669" s="41" t="n">
        <x:f>IFERROR(H669-P669,"")</x:f>
        <x:v>0.28371792428277764</x:v>
      </x:c>
      <x:c r="T669" s="41" t="n">
        <x:f>IFERROR(I669-M669,"")</x:f>
        <x:v>7.020473999999999</x:v>
      </x:c>
      <x:c r="U669" s="41" t="n">
        <x:f>IFERROR(E669-M669,"")</x:f>
        <x:v>6.725452999999999</x:v>
      </x:c>
      <x:c r="V669" s="41" t="str">
        <x:f>IF(AND(I669&gt;M669,J669&gt;N669),"Sí","No")</x:f>
        <x:v>Sí</x:v>
      </x:c>
      <x:c r="W669" s="41" t="str">
        <x:f>IF(AND(E669&gt;M669,F669&gt;N669),"Sí","No")</x:f>
        <x:v>Sí</x:v>
      </x:c>
      <x:c r="X669" s="41" t="str">
        <x:f>IF(L669&gt;=H669,"Weekly","No weekly")</x:f>
        <x:v>Weekly</x:v>
      </x:c>
      <x:c r="Y669" s="41" t="n">
        <x:f>IFERROR(I669-E669,"")</x:f>
        <x:v>0.2950210000000002</x:v>
      </x:c>
      <x:c r="Z669" s="41" t="n">
        <x:f>IFERROR(J669-F669,"")</x:f>
        <x:v>5.479899000000003</x:v>
      </x:c>
      <x:c r="AA669" s="41" t="n">
        <x:v>11363</x:v>
      </x:c>
      <x:c r="AB669" s="41" t="n">
        <x:v>5492</x:v>
      </x:c>
    </x:row>
    <x:row r="670">
      <x:c r="A670" s="41" t="str">
        <x:v>HYP_REFINE_AUTO002_TOPN_6_V1_DDGRID_LONG_R12_C22_E70_CR36_REDD_RECOVERED_DD8_SL20</x:v>
      </x:c>
      <x:c r="B670" s="41" t="str">
        <x:v>dd_guard_grid</x:v>
      </x:c>
      <x:c r="C670" s="41" t="str">
        <x:v>1999-01-04</x:v>
      </x:c>
      <x:c r="D670" s="41" t="str">
        <x:v>2026-05-22</x:v>
      </x:c>
      <x:c r="E670" s="41" t="n">
        <x:v>11.706949</x:v>
      </x:c>
      <x:c r="F670" s="41" t="n">
        <x:v>-32.359774</x:v>
      </x:c>
      <x:c r="G670" s="41" t="n">
        <x:v>1971.876583</x:v>
      </x:c>
      <x:c r="H670" s="41" t="n">
        <x:f>IFERROR(E670/ABS(F670),"")</x:f>
        <x:v>0.36177474539840726</x:v>
      </x:c>
      <x:c r="I670" s="41" t="n">
        <x:v>11.865388</x:v>
      </x:c>
      <x:c r="J670" s="41" t="n">
        <x:v>-29.475817</x:v>
      </x:c>
      <x:c r="K670" s="41" t="n">
        <x:v>2053.855051</x:v>
      </x:c>
      <x:c r="L670" s="41" t="n">
        <x:f>IFERROR(I670/ABS(J670),"")</x:f>
        <x:v>0.4025465350120745</x:v>
      </x:c>
      <x:c r="M670" s="41" t="n">
        <x:v>6.802475</x:v>
      </x:c>
      <x:c r="N670" s="41" t="n">
        <x:v>-56.473669</x:v>
      </x:c>
      <x:c r="O670" s="41" t="n">
        <x:v>506.057416</x:v>
      </x:c>
      <x:c r="P670" s="41" t="n">
        <x:f>IFERROR(M670/ABS(N670),"")</x:f>
        <x:v>0.12045392340278087</x:v>
      </x:c>
      <x:c r="Q670" s="41" t="str">
        <x:f>IF(L670&gt;=MAX(H670,P670),"Weekly",IF(H670&gt;=MAX(L670,P670),"No weekly","SPY"))</x:f>
        <x:v>Weekly</x:v>
      </x:c>
      <x:c r="R670" s="41" t="n">
        <x:f>IFERROR(L670-P670,"")</x:f>
        <x:v>0.2820926116092936</x:v>
      </x:c>
      <x:c r="S670" s="41" t="n">
        <x:f>IFERROR(H670-P670,"")</x:f>
        <x:v>0.24132082199562638</x:v>
      </x:c>
      <x:c r="T670" s="41" t="n">
        <x:f>IFERROR(I670-M670,"")</x:f>
        <x:v>5.062912999999999</x:v>
      </x:c>
      <x:c r="U670" s="41" t="n">
        <x:f>IFERROR(E670-M670,"")</x:f>
        <x:v>4.904474</x:v>
      </x:c>
      <x:c r="V670" s="41" t="str">
        <x:f>IF(AND(I670&gt;M670,J670&gt;N670),"Sí","No")</x:f>
        <x:v>Sí</x:v>
      </x:c>
      <x:c r="W670" s="41" t="str">
        <x:f>IF(AND(E670&gt;M670,F670&gt;N670),"Sí","No")</x:f>
        <x:v>Sí</x:v>
      </x:c>
      <x:c r="X670" s="41" t="str">
        <x:f>IF(L670&gt;=H670,"Weekly","No weekly")</x:f>
        <x:v>Weekly</x:v>
      </x:c>
      <x:c r="Y670" s="41" t="n">
        <x:f>IFERROR(I670-E670,"")</x:f>
        <x:v>0.15843899999999955</x:v>
      </x:c>
      <x:c r="Z670" s="41" t="n">
        <x:f>IFERROR(J670-F670,"")</x:f>
        <x:v>2.8839570000000023</x:v>
      </x:c>
      <x:c r="AA670" s="41" t="n">
        <x:v>12004</x:v>
      </x:c>
      <x:c r="AB670" s="41" t="n">
        <x:v>6113</x:v>
      </x:c>
    </x:row>
    <x:row r="671">
      <x:c r="A671" s="41" t="str">
        <x:v>HYP_REFINE_AUTO002_TOPN_6_V1_DDGRID_LONG_R12_C22_E70_CR40_REDD_RECOVERED_DD10_SL20</x:v>
      </x:c>
      <x:c r="B671" s="41" t="str">
        <x:v>dd_guard_grid</x:v>
      </x:c>
      <x:c r="C671" s="41" t="str">
        <x:v>1999-01-04</x:v>
      </x:c>
      <x:c r="D671" s="41" t="str">
        <x:v>2026-05-22</x:v>
      </x:c>
      <x:c r="E671" s="41" t="n">
        <x:v>12.614905</x:v>
      </x:c>
      <x:c r="F671" s="41" t="n">
        <x:v>-32.799855</x:v>
      </x:c>
      <x:c r="G671" s="41" t="n">
        <x:v>2485.937534</x:v>
      </x:c>
      <x:c r="H671" s="41" t="n">
        <x:f>IFERROR(E671/ABS(F671),"")</x:f>
        <x:v>0.38460246241942225</x:v>
      </x:c>
      <x:c r="I671" s="41" t="n">
        <x:v>13.077021</x:v>
      </x:c>
      <x:c r="J671" s="41" t="n">
        <x:v>-28.475135</x:v>
      </x:c>
      <x:c r="K671" s="41" t="n">
        <x:v>2792.746302</x:v>
      </x:c>
      <x:c r="L671" s="41" t="n">
        <x:f>IFERROR(I671/ABS(J671),"")</x:f>
        <x:v>0.4592435119271603</x:v>
      </x:c>
      <x:c r="M671" s="41" t="n">
        <x:v>6.802475</x:v>
      </x:c>
      <x:c r="N671" s="41" t="n">
        <x:v>-56.473669</x:v>
      </x:c>
      <x:c r="O671" s="41" t="n">
        <x:v>506.057416</x:v>
      </x:c>
      <x:c r="P671" s="41" t="n">
        <x:f>IFERROR(M671/ABS(N671),"")</x:f>
        <x:v>0.12045392340278087</x:v>
      </x:c>
      <x:c r="Q671" s="41" t="str">
        <x:f>IF(L671&gt;=MAX(H671,P671),"Weekly",IF(H671&gt;=MAX(L671,P671),"No weekly","SPY"))</x:f>
        <x:v>Weekly</x:v>
      </x:c>
      <x:c r="R671" s="41" t="n">
        <x:f>IFERROR(L671-P671,"")</x:f>
        <x:v>0.3387895885243794</x:v>
      </x:c>
      <x:c r="S671" s="41" t="n">
        <x:f>IFERROR(H671-P671,"")</x:f>
        <x:v>0.26414853901664137</x:v>
      </x:c>
      <x:c r="T671" s="41" t="n">
        <x:f>IFERROR(I671-M671,"")</x:f>
        <x:v>6.274546</x:v>
      </x:c>
      <x:c r="U671" s="41" t="n">
        <x:f>IFERROR(E671-M671,"")</x:f>
        <x:v>5.81243</x:v>
      </x:c>
      <x:c r="V671" s="41" t="str">
        <x:f>IF(AND(I671&gt;M671,J671&gt;N671),"Sí","No")</x:f>
        <x:v>Sí</x:v>
      </x:c>
      <x:c r="W671" s="41" t="str">
        <x:f>IF(AND(E671&gt;M671,F671&gt;N671),"Sí","No")</x:f>
        <x:v>Sí</x:v>
      </x:c>
      <x:c r="X671" s="41" t="str">
        <x:f>IF(L671&gt;=H671,"Weekly","No weekly")</x:f>
        <x:v>Weekly</x:v>
      </x:c>
      <x:c r="Y671" s="41" t="n">
        <x:f>IFERROR(I671-E671,"")</x:f>
        <x:v>0.46211599999999997</x:v>
      </x:c>
      <x:c r="Z671" s="41" t="n">
        <x:f>IFERROR(J671-F671,"")</x:f>
        <x:v>4.324719999999999</x:v>
      </x:c>
      <x:c r="AA671" s="41" t="n">
        <x:v>11529</x:v>
      </x:c>
      <x:c r="AB671" s="41" t="n">
        <x:v>5433</x:v>
      </x:c>
    </x:row>
    <x:row r="672">
      <x:c r="A672" s="41" t="str">
        <x:v>HYP_REFINE_AUTO002_TOPN_6_V1_DDGRID_LONG_R12_C22_E70_CR40_REDD_RECOVERED_DD6_SL20</x:v>
      </x:c>
      <x:c r="B672" s="41" t="str">
        <x:v>dd_guard_grid</x:v>
      </x:c>
      <x:c r="C672" s="41" t="str">
        <x:v>1999-01-04</x:v>
      </x:c>
      <x:c r="D672" s="41" t="str">
        <x:v>2026-05-22</x:v>
      </x:c>
      <x:c r="E672" s="41" t="n">
        <x:v>13.678362</x:v>
      </x:c>
      <x:c r="F672" s="41" t="n">
        <x:v>-32.799855</x:v>
      </x:c>
      <x:c r="G672" s="41" t="n">
        <x:v>3244.839814</x:v>
      </x:c>
      <x:c r="H672" s="41" t="n">
        <x:f>IFERROR(E672/ABS(F672),"")</x:f>
        <x:v>0.41702507526329</x:v>
      </x:c>
      <x:c r="I672" s="41" t="n">
        <x:v>12.24444</x:v>
      </x:c>
      <x:c r="J672" s="41" t="n">
        <x:v>-28.475135</x:v>
      </x:c>
      <x:c r="K672" s="41" t="n">
        <x:v>2262.862274</x:v>
      </x:c>
      <x:c r="L672" s="41" t="n">
        <x:f>IFERROR(I672/ABS(J672),"")</x:f>
        <x:v>0.4300046338674075</x:v>
      </x:c>
      <x:c r="M672" s="41" t="n">
        <x:v>6.802475</x:v>
      </x:c>
      <x:c r="N672" s="41" t="n">
        <x:v>-56.473669</x:v>
      </x:c>
      <x:c r="O672" s="41" t="n">
        <x:v>506.057416</x:v>
      </x:c>
      <x:c r="P672" s="41" t="n">
        <x:f>IFERROR(M672/ABS(N672),"")</x:f>
        <x:v>0.12045392340278087</x:v>
      </x:c>
      <x:c r="Q672" s="41" t="str">
        <x:f>IF(L672&gt;=MAX(H672,P672),"Weekly",IF(H672&gt;=MAX(L672,P672),"No weekly","SPY"))</x:f>
        <x:v>Weekly</x:v>
      </x:c>
      <x:c r="R672" s="41" t="n">
        <x:f>IFERROR(L672-P672,"")</x:f>
        <x:v>0.3095507104646266</x:v>
      </x:c>
      <x:c r="S672" s="41" t="n">
        <x:f>IFERROR(H672-P672,"")</x:f>
        <x:v>0.29657115186050914</x:v>
      </x:c>
      <x:c r="T672" s="41" t="n">
        <x:f>IFERROR(I672-M672,"")</x:f>
        <x:v>5.441965000000001</x:v>
      </x:c>
      <x:c r="U672" s="41" t="n">
        <x:f>IFERROR(E672-M672,"")</x:f>
        <x:v>6.875887</x:v>
      </x:c>
      <x:c r="V672" s="41" t="str">
        <x:f>IF(AND(I672&gt;M672,J672&gt;N672),"Sí","No")</x:f>
        <x:v>Sí</x:v>
      </x:c>
      <x:c r="W672" s="41" t="str">
        <x:f>IF(AND(E672&gt;M672,F672&gt;N672),"Sí","No")</x:f>
        <x:v>Sí</x:v>
      </x:c>
      <x:c r="X672" s="41" t="str">
        <x:f>IF(L672&gt;=H672,"Weekly","No weekly")</x:f>
        <x:v>Weekly</x:v>
      </x:c>
      <x:c r="Y672" s="41" t="n">
        <x:f>IFERROR(I672-E672,"")</x:f>
        <x:v>-1.433921999999999</x:v>
      </x:c>
      <x:c r="Z672" s="41" t="n">
        <x:f>IFERROR(J672-F672,"")</x:f>
        <x:v>4.324719999999999</x:v>
      </x:c>
      <x:c r="AA672" s="41" t="n">
        <x:v>12231</x:v>
      </x:c>
      <x:c r="AB672" s="41" t="n">
        <x:v>5970</x:v>
      </x:c>
    </x:row>
    <x:row r="673">
      <x:c r="A673" s="41" t="str">
        <x:v>HYP_REFINE_AUTO002_TOPN_6_V1_DDGRID_LONG_R12_C22_E70_CR40_REDD_RECOVERED_DD7_SL18</x:v>
      </x:c>
      <x:c r="B673" s="41" t="str">
        <x:v>dd_guard_grid</x:v>
      </x:c>
      <x:c r="C673" s="41" t="str">
        <x:v>1999-01-04</x:v>
      </x:c>
      <x:c r="D673" s="41" t="str">
        <x:v>2026-05-22</x:v>
      </x:c>
      <x:c r="E673" s="41" t="n">
        <x:v>10.942476</x:v>
      </x:c>
      <x:c r="F673" s="41" t="n">
        <x:v>-32.059334</x:v>
      </x:c>
      <x:c r="G673" s="41" t="n">
        <x:v>1616.769386</x:v>
      </x:c>
      <x:c r="H673" s="41" t="n">
        <x:f>IFERROR(E673/ABS(F673),"")</x:f>
        <x:v>0.3413195046409885</x:v>
      </x:c>
      <x:c r="I673" s="41" t="n">
        <x:v>11.092702</x:v>
      </x:c>
      <x:c r="J673" s="41" t="n">
        <x:v>-28.440868</x:v>
      </x:c>
      <x:c r="K673" s="41" t="n">
        <x:v>1681.564826</x:v>
      </x:c>
      <x:c r="L673" s="41" t="n">
        <x:f>IFERROR(I673/ABS(J673),"")</x:f>
        <x:v>0.3900268444690225</x:v>
      </x:c>
      <x:c r="M673" s="41" t="n">
        <x:v>6.802475</x:v>
      </x:c>
      <x:c r="N673" s="41" t="n">
        <x:v>-56.473669</x:v>
      </x:c>
      <x:c r="O673" s="41" t="n">
        <x:v>506.057416</x:v>
      </x:c>
      <x:c r="P673" s="41" t="n">
        <x:f>IFERROR(M673/ABS(N673),"")</x:f>
        <x:v>0.12045392340278087</x:v>
      </x:c>
      <x:c r="Q673" s="41" t="str">
        <x:f>IF(L673&gt;=MAX(H673,P673),"Weekly",IF(H673&gt;=MAX(L673,P673),"No weekly","SPY"))</x:f>
        <x:v>Weekly</x:v>
      </x:c>
      <x:c r="R673" s="41" t="n">
        <x:f>IFERROR(L673-P673,"")</x:f>
        <x:v>0.26957292106624164</x:v>
      </x:c>
      <x:c r="S673" s="41" t="n">
        <x:f>IFERROR(H673-P673,"")</x:f>
        <x:v>0.2208655812382076</x:v>
      </x:c>
      <x:c r="T673" s="41" t="n">
        <x:f>IFERROR(I673-M673,"")</x:f>
        <x:v>4.290226999999999</x:v>
      </x:c>
      <x:c r="U673" s="41" t="n">
        <x:f>IFERROR(E673-M673,"")</x:f>
        <x:v>4.140000999999999</x:v>
      </x:c>
      <x:c r="V673" s="41" t="str">
        <x:f>IF(AND(I673&gt;M673,J673&gt;N673),"Sí","No")</x:f>
        <x:v>Sí</x:v>
      </x:c>
      <x:c r="W673" s="41" t="str">
        <x:f>IF(AND(E673&gt;M673,F673&gt;N673),"Sí","No")</x:f>
        <x:v>Sí</x:v>
      </x:c>
      <x:c r="X673" s="41" t="str">
        <x:f>IF(L673&gt;=H673,"Weekly","No weekly")</x:f>
        <x:v>Weekly</x:v>
      </x:c>
      <x:c r="Y673" s="41" t="n">
        <x:f>IFERROR(I673-E673,"")</x:f>
        <x:v>0.15022599999999997</x:v>
      </x:c>
      <x:c r="Z673" s="41" t="n">
        <x:f>IFERROR(J673-F673,"")</x:f>
        <x:v>3.6184660000000015</x:v>
      </x:c>
      <x:c r="AA673" s="41" t="n">
        <x:v>12135</x:v>
      </x:c>
      <x:c r="AB673" s="41" t="n">
        <x:v>6005</x:v>
      </x:c>
    </x:row>
    <x:row r="674">
      <x:c r="A674" s="41" t="str">
        <x:v>HYP_REFINE_AUTO002_TOPN_6_V1_DDGRID_LONG_R12_C22_E70_CR40_REDD_RECOVERED_DD7_SL20</x:v>
      </x:c>
      <x:c r="B674" s="41" t="str">
        <x:v>dd_guard_grid</x:v>
      </x:c>
      <x:c r="C674" s="41" t="str">
        <x:v>1999-01-04</x:v>
      </x:c>
      <x:c r="D674" s="41" t="str">
        <x:v>2026-05-22</x:v>
      </x:c>
      <x:c r="E674" s="41" t="n">
        <x:v>13.68378</x:v>
      </x:c>
      <x:c r="F674" s="41" t="n">
        <x:v>-32.799855</x:v>
      </x:c>
      <x:c r="G674" s="41" t="n">
        <x:v>3249.207062</x:v>
      </x:c>
      <x:c r="H674" s="41" t="n">
        <x:f>IFERROR(E674/ABS(F674),"")</x:f>
        <x:v>0.41719025892035194</x:v>
      </x:c>
      <x:c r="I674" s="41" t="n">
        <x:v>12.471625</x:v>
      </x:c>
      <x:c r="J674" s="41" t="n">
        <x:v>-28.475135</x:v>
      </x:c>
      <x:c r="K674" s="41" t="n">
        <x:v>2397.355683</x:v>
      </x:c>
      <x:c r="L674" s="41" t="n">
        <x:f>IFERROR(I674/ABS(J674),"")</x:f>
        <x:v>0.43798299814908687</x:v>
      </x:c>
      <x:c r="M674" s="41" t="n">
        <x:v>6.802475</x:v>
      </x:c>
      <x:c r="N674" s="41" t="n">
        <x:v>-56.473669</x:v>
      </x:c>
      <x:c r="O674" s="41" t="n">
        <x:v>506.057416</x:v>
      </x:c>
      <x:c r="P674" s="41" t="n">
        <x:f>IFERROR(M674/ABS(N674),"")</x:f>
        <x:v>0.12045392340278087</x:v>
      </x:c>
      <x:c r="Q674" s="41" t="str">
        <x:f>IF(L674&gt;=MAX(H674,P674),"Weekly",IF(H674&gt;=MAX(L674,P674),"No weekly","SPY"))</x:f>
        <x:v>Weekly</x:v>
      </x:c>
      <x:c r="R674" s="41" t="n">
        <x:f>IFERROR(L674-P674,"")</x:f>
        <x:v>0.317529074746306</x:v>
      </x:c>
      <x:c r="S674" s="41" t="n">
        <x:f>IFERROR(H674-P674,"")</x:f>
        <x:v>0.29673633551757106</x:v>
      </x:c>
      <x:c r="T674" s="41" t="n">
        <x:f>IFERROR(I674-M674,"")</x:f>
        <x:v>5.669149999999999</x:v>
      </x:c>
      <x:c r="U674" s="41" t="n">
        <x:f>IFERROR(E674-M674,"")</x:f>
        <x:v>6.881305</x:v>
      </x:c>
      <x:c r="V674" s="41" t="str">
        <x:f>IF(AND(I674&gt;M674,J674&gt;N674),"Sí","No")</x:f>
        <x:v>Sí</x:v>
      </x:c>
      <x:c r="W674" s="41" t="str">
        <x:f>IF(AND(E674&gt;M674,F674&gt;N674),"Sí","No")</x:f>
        <x:v>Sí</x:v>
      </x:c>
      <x:c r="X674" s="41" t="str">
        <x:f>IF(L674&gt;=H674,"Weekly","No weekly")</x:f>
        <x:v>Weekly</x:v>
      </x:c>
      <x:c r="Y674" s="41" t="n">
        <x:f>IFERROR(I674-E674,"")</x:f>
        <x:v>-1.212155000000001</x:v>
      </x:c>
      <x:c r="Z674" s="41" t="n">
        <x:f>IFERROR(J674-F674,"")</x:f>
        <x:v>4.324719999999999</x:v>
      </x:c>
      <x:c r="AA674" s="41" t="n">
        <x:v>12025</x:v>
      </x:c>
      <x:c r="AB674" s="41" t="n">
        <x:v>5789</x:v>
      </x:c>
    </x:row>
    <x:row r="675">
      <x:c r="A675" s="41" t="str">
        <x:v>HYP_REFINE_AUTO002_TOPN_6_V1_DDGRID_LONG_R12_C22_E70_CR40_REDD_RECOVERED_DD7_SL22</x:v>
      </x:c>
      <x:c r="B675" s="41" t="str">
        <x:v>dd_guard_grid</x:v>
      </x:c>
      <x:c r="C675" s="41" t="str">
        <x:v>1999-01-04</x:v>
      </x:c>
      <x:c r="D675" s="41" t="str">
        <x:v>2026-05-22</x:v>
      </x:c>
      <x:c r="E675" s="41" t="n">
        <x:v>12.084443</x:v>
      </x:c>
      <x:c r="F675" s="41" t="n">
        <x:v>-33.409198</x:v>
      </x:c>
      <x:c r="G675" s="41" t="n">
        <x:v>2172.361461</x:v>
      </x:c>
      <x:c r="H675" s="41" t="n">
        <x:f>IFERROR(E675/ABS(F675),"")</x:f>
        <x:v>0.36171005960693814</x:v>
      </x:c>
      <x:c r="I675" s="41" t="n">
        <x:v>12.435651</x:v>
      </x:c>
      <x:c r="J675" s="41" t="n">
        <x:v>-28.513464</x:v>
      </x:c>
      <x:c r="K675" s="41" t="n">
        <x:v>2375.577771</x:v>
      </x:c>
      <x:c r="L675" s="41" t="n">
        <x:f>IFERROR(I675/ABS(J675),"")</x:f>
        <x:v>0.43613259336010524</x:v>
      </x:c>
      <x:c r="M675" s="41" t="n">
        <x:v>6.802475</x:v>
      </x:c>
      <x:c r="N675" s="41" t="n">
        <x:v>-56.473669</x:v>
      </x:c>
      <x:c r="O675" s="41" t="n">
        <x:v>506.057416</x:v>
      </x:c>
      <x:c r="P675" s="41" t="n">
        <x:f>IFERROR(M675/ABS(N675),"")</x:f>
        <x:v>0.12045392340278087</x:v>
      </x:c>
      <x:c r="Q675" s="41" t="str">
        <x:f>IF(L675&gt;=MAX(H675,P675),"Weekly",IF(H675&gt;=MAX(L675,P675),"No weekly","SPY"))</x:f>
        <x:v>Weekly</x:v>
      </x:c>
      <x:c r="R675" s="41" t="n">
        <x:f>IFERROR(L675-P675,"")</x:f>
        <x:v>0.31567866995732435</x:v>
      </x:c>
      <x:c r="S675" s="41" t="n">
        <x:f>IFERROR(H675-P675,"")</x:f>
        <x:v>0.24125613620415726</x:v>
      </x:c>
      <x:c r="T675" s="41" t="n">
        <x:f>IFERROR(I675-M675,"")</x:f>
        <x:v>5.633176</x:v>
      </x:c>
      <x:c r="U675" s="41" t="n">
        <x:f>IFERROR(E675-M675,"")</x:f>
        <x:v>5.281968</x:v>
      </x:c>
      <x:c r="V675" s="41" t="str">
        <x:f>IF(AND(I675&gt;M675,J675&gt;N675),"Sí","No")</x:f>
        <x:v>Sí</x:v>
      </x:c>
      <x:c r="W675" s="41" t="str">
        <x:f>IF(AND(E675&gt;M675,F675&gt;N675),"Sí","No")</x:f>
        <x:v>Sí</x:v>
      </x:c>
      <x:c r="X675" s="41" t="str">
        <x:f>IF(L675&gt;=H675,"Weekly","No weekly")</x:f>
        <x:v>Weekly</x:v>
      </x:c>
      <x:c r="Y675" s="41" t="n">
        <x:f>IFERROR(I675-E675,"")</x:f>
        <x:v>0.35120799999999974</x:v>
      </x:c>
      <x:c r="Z675" s="41" t="n">
        <x:f>IFERROR(J675-F675,"")</x:f>
        <x:v>4.8957340000000045</x:v>
      </x:c>
      <x:c r="AA675" s="41" t="n">
        <x:v>12083</x:v>
      </x:c>
      <x:c r="AB675" s="41" t="n">
        <x:v>5833</x:v>
      </x:c>
    </x:row>
    <x:row r="676">
      <x:c r="A676" s="41" t="str">
        <x:v>HYP_REFINE_AUTO002_TOPN_6_V1_DDGRID_LONG_R12_C22_E70_CR40_REDD_RECOVERED_DD8_SL18</x:v>
      </x:c>
      <x:c r="B676" s="41" t="str">
        <x:v>dd_guard_grid</x:v>
      </x:c>
      <x:c r="C676" s="41" t="str">
        <x:v>1999-01-04</x:v>
      </x:c>
      <x:c r="D676" s="41" t="str">
        <x:v>2026-05-22</x:v>
      </x:c>
      <x:c r="E676" s="41" t="n">
        <x:v>11.251658</x:v>
      </x:c>
      <x:c r="F676" s="41" t="n">
        <x:v>-32.059334</x:v>
      </x:c>
      <x:c r="G676" s="41" t="n">
        <x:v>1752.689509</x:v>
      </x:c>
      <x:c r="H676" s="41" t="n">
        <x:f>IFERROR(E676/ABS(F676),"")</x:f>
        <x:v>0.35096356025362224</x:v>
      </x:c>
      <x:c r="I676" s="41" t="n">
        <x:v>11.685947</x:v>
      </x:c>
      <x:c r="J676" s="41" t="n">
        <x:v>-28.440868</x:v>
      </x:c>
      <x:c r="K676" s="41" t="n">
        <x:v>1961.238179</x:v>
      </x:c>
      <x:c r="L676" s="41" t="n">
        <x:f>IFERROR(I676/ABS(J676),"")</x:f>
        <x:v>0.4108857366800479</x:v>
      </x:c>
      <x:c r="M676" s="41" t="n">
        <x:v>6.802475</x:v>
      </x:c>
      <x:c r="N676" s="41" t="n">
        <x:v>-56.473669</x:v>
      </x:c>
      <x:c r="O676" s="41" t="n">
        <x:v>506.057416</x:v>
      </x:c>
      <x:c r="P676" s="41" t="n">
        <x:f>IFERROR(M676/ABS(N676),"")</x:f>
        <x:v>0.12045392340278087</x:v>
      </x:c>
      <x:c r="Q676" s="41" t="str">
        <x:f>IF(L676&gt;=MAX(H676,P676),"Weekly",IF(H676&gt;=MAX(L676,P676),"No weekly","SPY"))</x:f>
        <x:v>Weekly</x:v>
      </x:c>
      <x:c r="R676" s="41" t="n">
        <x:f>IFERROR(L676-P676,"")</x:f>
        <x:v>0.290431813277267</x:v>
      </x:c>
      <x:c r="S676" s="41" t="n">
        <x:f>IFERROR(H676-P676,"")</x:f>
        <x:v>0.23050963685084136</x:v>
      </x:c>
      <x:c r="T676" s="41" t="n">
        <x:f>IFERROR(I676-M676,"")</x:f>
        <x:v>4.883472</x:v>
      </x:c>
      <x:c r="U676" s="41" t="n">
        <x:f>IFERROR(E676-M676,"")</x:f>
        <x:v>4.4491830000000006</x:v>
      </x:c>
      <x:c r="V676" s="41" t="str">
        <x:f>IF(AND(I676&gt;M676,J676&gt;N676),"Sí","No")</x:f>
        <x:v>Sí</x:v>
      </x:c>
      <x:c r="W676" s="41" t="str">
        <x:f>IF(AND(E676&gt;M676,F676&gt;N676),"Sí","No")</x:f>
        <x:v>Sí</x:v>
      </x:c>
      <x:c r="X676" s="41" t="str">
        <x:f>IF(L676&gt;=H676,"Weekly","No weekly")</x:f>
        <x:v>Weekly</x:v>
      </x:c>
      <x:c r="Y676" s="41" t="n">
        <x:f>IFERROR(I676-E676,"")</x:f>
        <x:v>0.4342889999999997</x:v>
      </x:c>
      <x:c r="Z676" s="41" t="n">
        <x:f>IFERROR(J676-F676,"")</x:f>
        <x:v>3.6184660000000015</x:v>
      </x:c>
      <x:c r="AA676" s="41" t="n">
        <x:v>11959</x:v>
      </x:c>
      <x:c r="AB676" s="41" t="n">
        <x:v>5580</x:v>
      </x:c>
    </x:row>
    <x:row r="677">
      <x:c r="A677" s="41" t="str">
        <x:v>HYP_REFINE_AUTO002_TOPN_6_V1_DDGRID_LONG_R12_C22_E70_CR40_REDD_RECOVERED_DD8_SL20</x:v>
      </x:c>
      <x:c r="B677" s="41" t="str">
        <x:v>dd_guard_grid</x:v>
      </x:c>
      <x:c r="C677" s="41" t="str">
        <x:v>1999-01-04</x:v>
      </x:c>
      <x:c r="D677" s="41" t="str">
        <x:v>2026-05-22</x:v>
      </x:c>
      <x:c r="E677" s="41" t="n">
        <x:v>13.627097</x:v>
      </x:c>
      <x:c r="F677" s="41" t="n">
        <x:v>-32.799855</x:v>
      </x:c>
      <x:c r="G677" s="41" t="n">
        <x:v>3203.78615</x:v>
      </x:c>
      <x:c r="H677" s="41" t="n">
        <x:f>IFERROR(E677/ABS(F677),"")</x:f>
        <x:v>0.41546211103677133</x:v>
      </x:c>
      <x:c r="I677" s="41" t="n">
        <x:v>13.16788</x:v>
      </x:c>
      <x:c r="J677" s="41" t="n">
        <x:v>-28.475135</x:v>
      </x:c>
      <x:c r="K677" s="41" t="n">
        <x:v>2857.062833</x:v>
      </x:c>
      <x:c r="L677" s="41" t="n">
        <x:f>IFERROR(I677/ABS(J677),"")</x:f>
        <x:v>0.4624343308644542</x:v>
      </x:c>
      <x:c r="M677" s="41" t="n">
        <x:v>6.802475</x:v>
      </x:c>
      <x:c r="N677" s="41" t="n">
        <x:v>-56.473669</x:v>
      </x:c>
      <x:c r="O677" s="41" t="n">
        <x:v>506.057416</x:v>
      </x:c>
      <x:c r="P677" s="41" t="n">
        <x:f>IFERROR(M677/ABS(N677),"")</x:f>
        <x:v>0.12045392340278087</x:v>
      </x:c>
      <x:c r="Q677" s="41" t="str">
        <x:f>IF(L677&gt;=MAX(H677,P677),"Weekly",IF(H677&gt;=MAX(L677,P677),"No weekly","SPY"))</x:f>
        <x:v>Weekly</x:v>
      </x:c>
      <x:c r="R677" s="41" t="n">
        <x:f>IFERROR(L677-P677,"")</x:f>
        <x:v>0.3419804074616733</x:v>
      </x:c>
      <x:c r="S677" s="41" t="n">
        <x:f>IFERROR(H677-P677,"")</x:f>
        <x:v>0.29500818763399045</x:v>
      </x:c>
      <x:c r="T677" s="41" t="n">
        <x:f>IFERROR(I677-M677,"")</x:f>
        <x:v>6.365405</x:v>
      </x:c>
      <x:c r="U677" s="41" t="n">
        <x:f>IFERROR(E677-M677,"")</x:f>
        <x:v>6.824621999999999</x:v>
      </x:c>
      <x:c r="V677" s="41" t="str">
        <x:f>IF(AND(I677&gt;M677,J677&gt;N677),"Sí","No")</x:f>
        <x:v>Sí</x:v>
      </x:c>
      <x:c r="W677" s="41" t="str">
        <x:f>IF(AND(E677&gt;M677,F677&gt;N677),"Sí","No")</x:f>
        <x:v>Sí</x:v>
      </x:c>
      <x:c r="X677" s="41" t="str">
        <x:f>IF(L677&gt;=H677,"Weekly","No weekly")</x:f>
        <x:v>Weekly</x:v>
      </x:c>
      <x:c r="Y677" s="41" t="n">
        <x:f>IFERROR(I677-E677,"")</x:f>
        <x:v>-0.4592169999999989</x:v>
      </x:c>
      <x:c r="Z677" s="41" t="n">
        <x:f>IFERROR(J677-F677,"")</x:f>
        <x:v>4.324719999999999</x:v>
      </x:c>
      <x:c r="AA677" s="41" t="n">
        <x:v>11681</x:v>
      </x:c>
      <x:c r="AB677" s="41" t="n">
        <x:v>5550</x:v>
      </x:c>
    </x:row>
    <x:row r="678">
      <x:c r="A678" s="41" t="str">
        <x:v>HYP_REFINE_AUTO002_TOPN_6_V1_DDGRID_LONG_R12_C22_E70_CR40_REDD_RECOVERED_DD8_SL22</x:v>
      </x:c>
      <x:c r="B678" s="41" t="str">
        <x:v>dd_guard_grid</x:v>
      </x:c>
      <x:c r="C678" s="41" t="str">
        <x:v>1999-01-04</x:v>
      </x:c>
      <x:c r="D678" s="41" t="str">
        <x:v>2026-05-22</x:v>
      </x:c>
      <x:c r="E678" s="41" t="n">
        <x:v>11.863717</x:v>
      </x:c>
      <x:c r="F678" s="41" t="n">
        <x:v>-33.409198</x:v>
      </x:c>
      <x:c r="G678" s="41" t="n">
        <x:v>2052.974673</x:v>
      </x:c>
      <x:c r="H678" s="41" t="n">
        <x:f>IFERROR(E678/ABS(F678),"")</x:f>
        <x:v>0.3551033161586219</x:v>
      </x:c>
      <x:c r="I678" s="41" t="n">
        <x:v>13.21092</x:v>
      </x:c>
      <x:c r="J678" s="41" t="n">
        <x:v>-28.513464</x:v>
      </x:c>
      <x:c r="K678" s="41" t="n">
        <x:v>2888.008155</x:v>
      </x:c>
      <x:c r="L678" s="41" t="n">
        <x:f>IFERROR(I678/ABS(J678),"")</x:f>
        <x:v>0.4633221694845635</x:v>
      </x:c>
      <x:c r="M678" s="41" t="n">
        <x:v>6.802475</x:v>
      </x:c>
      <x:c r="N678" s="41" t="n">
        <x:v>-56.473669</x:v>
      </x:c>
      <x:c r="O678" s="41" t="n">
        <x:v>506.057416</x:v>
      </x:c>
      <x:c r="P678" s="41" t="n">
        <x:f>IFERROR(M678/ABS(N678),"")</x:f>
        <x:v>0.12045392340278087</x:v>
      </x:c>
      <x:c r="Q678" s="41" t="str">
        <x:f>IF(L678&gt;=MAX(H678,P678),"Weekly",IF(H678&gt;=MAX(L678,P678),"No weekly","SPY"))</x:f>
        <x:v>Weekly</x:v>
      </x:c>
      <x:c r="R678" s="41" t="n">
        <x:f>IFERROR(L678-P678,"")</x:f>
        <x:v>0.3428682460817826</x:v>
      </x:c>
      <x:c r="S678" s="41" t="n">
        <x:f>IFERROR(H678-P678,"")</x:f>
        <x:v>0.234649392755841</x:v>
      </x:c>
      <x:c r="T678" s="41" t="n">
        <x:f>IFERROR(I678-M678,"")</x:f>
        <x:v>6.4084449999999995</x:v>
      </x:c>
      <x:c r="U678" s="41" t="n">
        <x:f>IFERROR(E678-M678,"")</x:f>
        <x:v>5.061241999999999</x:v>
      </x:c>
      <x:c r="V678" s="41" t="str">
        <x:f>IF(AND(I678&gt;M678,J678&gt;N678),"Sí","No")</x:f>
        <x:v>Sí</x:v>
      </x:c>
      <x:c r="W678" s="41" t="str">
        <x:f>IF(AND(E678&gt;M678,F678&gt;N678),"Sí","No")</x:f>
        <x:v>Sí</x:v>
      </x:c>
      <x:c r="X678" s="41" t="str">
        <x:f>IF(L678&gt;=H678,"Weekly","No weekly")</x:f>
        <x:v>Weekly</x:v>
      </x:c>
      <x:c r="Y678" s="41" t="n">
        <x:f>IFERROR(I678-E678,"")</x:f>
        <x:v>1.3472030000000004</x:v>
      </x:c>
      <x:c r="Z678" s="41" t="n">
        <x:f>IFERROR(J678-F678,"")</x:f>
        <x:v>4.8957340000000045</x:v>
      </x:c>
      <x:c r="AA678" s="41" t="n">
        <x:v>11711</x:v>
      </x:c>
      <x:c r="AB678" s="41" t="n">
        <x:v>5678</x:v>
      </x:c>
    </x:row>
    <x:row r="679">
      <x:c r="A679" s="41" t="str">
        <x:v>HYP_REFINE_AUTO002_TOPN_6_V1_DDGRID_LONG_R12_C22_E70_CR40_REDD_RECOVERED_DD8_SL24</x:v>
      </x:c>
      <x:c r="B679" s="41" t="str">
        <x:v>dd_guard_grid</x:v>
      </x:c>
      <x:c r="C679" s="41" t="str">
        <x:v>1999-01-04</x:v>
      </x:c>
      <x:c r="D679" s="41" t="str">
        <x:v>2026-05-22</x:v>
      </x:c>
      <x:c r="E679" s="41" t="n">
        <x:v>13.193178</x:v>
      </x:c>
      <x:c r="F679" s="41" t="n">
        <x:v>-33.31953</x:v>
      </x:c>
      <x:c r="G679" s="41" t="n">
        <x:v>2875.213948</x:v>
      </x:c>
      <x:c r="H679" s="41" t="n">
        <x:f>IFERROR(E679/ABS(F679),"")</x:f>
        <x:v>0.3959593067489247</x:v>
      </x:c>
      <x:c r="I679" s="41" t="n">
        <x:v>12.975068</x:v>
      </x:c>
      <x:c r="J679" s="41" t="n">
        <x:v>-29.350692</x:v>
      </x:c>
      <x:c r="K679" s="41" t="n">
        <x:v>2722.181002</x:v>
      </x:c>
      <x:c r="L679" s="41" t="n">
        <x:f>IFERROR(I679/ABS(J679),"")</x:f>
        <x:v>0.4420702585138368</x:v>
      </x:c>
      <x:c r="M679" s="41" t="n">
        <x:v>6.802475</x:v>
      </x:c>
      <x:c r="N679" s="41" t="n">
        <x:v>-56.473669</x:v>
      </x:c>
      <x:c r="O679" s="41" t="n">
        <x:v>506.057416</x:v>
      </x:c>
      <x:c r="P679" s="41" t="n">
        <x:f>IFERROR(M679/ABS(N679),"")</x:f>
        <x:v>0.12045392340278087</x:v>
      </x:c>
      <x:c r="Q679" s="41" t="str">
        <x:f>IF(L679&gt;=MAX(H679,P679),"Weekly",IF(H679&gt;=MAX(L679,P679),"No weekly","SPY"))</x:f>
        <x:v>Weekly</x:v>
      </x:c>
      <x:c r="R679" s="41" t="n">
        <x:f>IFERROR(L679-P679,"")</x:f>
        <x:v>0.3216163351110559</x:v>
      </x:c>
      <x:c r="S679" s="41" t="n">
        <x:f>IFERROR(H679-P679,"")</x:f>
        <x:v>0.27550538334614383</x:v>
      </x:c>
      <x:c r="T679" s="41" t="n">
        <x:f>IFERROR(I679-M679,"")</x:f>
        <x:v>6.172593</x:v>
      </x:c>
      <x:c r="U679" s="41" t="n">
        <x:f>IFERROR(E679-M679,"")</x:f>
        <x:v>6.390702999999999</x:v>
      </x:c>
      <x:c r="V679" s="41" t="str">
        <x:f>IF(AND(I679&gt;M679,J679&gt;N679),"Sí","No")</x:f>
        <x:v>Sí</x:v>
      </x:c>
      <x:c r="W679" s="41" t="str">
        <x:f>IF(AND(E679&gt;M679,F679&gt;N679),"Sí","No")</x:f>
        <x:v>Sí</x:v>
      </x:c>
      <x:c r="X679" s="41" t="str">
        <x:f>IF(L679&gt;=H679,"Weekly","No weekly")</x:f>
        <x:v>Weekly</x:v>
      </x:c>
      <x:c r="Y679" s="41" t="n">
        <x:f>IFERROR(I679-E679,"")</x:f>
        <x:v>-0.21810999999999936</x:v>
      </x:c>
      <x:c r="Z679" s="41" t="n">
        <x:f>IFERROR(J679-F679,"")</x:f>
        <x:v>3.9688380000000016</x:v>
      </x:c>
      <x:c r="AA679" s="41" t="n">
        <x:v>12057</x:v>
      </x:c>
      <x:c r="AB679" s="41" t="n">
        <x:v>5757</x:v>
      </x:c>
    </x:row>
    <x:row r="680">
      <x:c r="A680" s="41" t="str">
        <x:v>HYP_REFINE_AUTO002_TOPN_6_V1_DDGRID_LONG_R12_C22_E70_CR40_REDD_RECOVERED_DD8_SLNONE</x:v>
      </x:c>
      <x:c r="B680" s="41" t="str">
        <x:v>dd_guard_grid</x:v>
      </x:c>
      <x:c r="C680" s="41" t="str">
        <x:v>1999-01-04</x:v>
      </x:c>
      <x:c r="D680" s="41" t="str">
        <x:v>2026-05-22</x:v>
      </x:c>
      <x:c r="E680" s="41" t="n">
        <x:v>12.270642</x:v>
      </x:c>
      <x:c r="F680" s="41" t="n">
        <x:v>-33.360565</x:v>
      </x:c>
      <x:c r="G680" s="41" t="n">
        <x:v>2278.010041</x:v>
      </x:c>
      <x:c r="H680" s="41" t="n">
        <x:f>IFERROR(E680/ABS(F680),"")</x:f>
        <x:v>0.3678187704554764</x:v>
      </x:c>
      <x:c r="I680" s="41" t="n">
        <x:v>13.817132</x:v>
      </x:c>
      <x:c r="J680" s="41" t="n">
        <x:v>-27.50813</x:v>
      </x:c>
      <x:c r="K680" s="41" t="n">
        <x:v>3358.447674</x:v>
      </x:c>
      <x:c r="L680" s="41" t="n">
        <x:f>IFERROR(I680/ABS(J680),"")</x:f>
        <x:v>0.5022926676586158</x:v>
      </x:c>
      <x:c r="M680" s="41" t="n">
        <x:v>6.802475</x:v>
      </x:c>
      <x:c r="N680" s="41" t="n">
        <x:v>-56.473669</x:v>
      </x:c>
      <x:c r="O680" s="41" t="n">
        <x:v>506.057416</x:v>
      </x:c>
      <x:c r="P680" s="41" t="n">
        <x:f>IFERROR(M680/ABS(N680),"")</x:f>
        <x:v>0.12045392340278087</x:v>
      </x:c>
      <x:c r="Q680" s="41" t="str">
        <x:f>IF(L680&gt;=MAX(H680,P680),"Weekly",IF(H680&gt;=MAX(L680,P680),"No weekly","SPY"))</x:f>
        <x:v>Weekly</x:v>
      </x:c>
      <x:c r="R680" s="41" t="n">
        <x:f>IFERROR(L680-P680,"")</x:f>
        <x:v>0.3818387442558349</x:v>
      </x:c>
      <x:c r="S680" s="41" t="n">
        <x:f>IFERROR(H680-P680,"")</x:f>
        <x:v>0.2473648470526955</x:v>
      </x:c>
      <x:c r="T680" s="41" t="n">
        <x:f>IFERROR(I680-M680,"")</x:f>
        <x:v>7.014657000000001</x:v>
      </x:c>
      <x:c r="U680" s="41" t="n">
        <x:f>IFERROR(E680-M680,"")</x:f>
        <x:v>5.468167</x:v>
      </x:c>
      <x:c r="V680" s="41" t="str">
        <x:f>IF(AND(I680&gt;M680,J680&gt;N680),"Sí","No")</x:f>
        <x:v>Sí</x:v>
      </x:c>
      <x:c r="W680" s="41" t="str">
        <x:f>IF(AND(E680&gt;M680,F680&gt;N680),"Sí","No")</x:f>
        <x:v>Sí</x:v>
      </x:c>
      <x:c r="X680" s="41" t="str">
        <x:f>IF(L680&gt;=H680,"Weekly","No weekly")</x:f>
        <x:v>Weekly</x:v>
      </x:c>
      <x:c r="Y680" s="41" t="n">
        <x:f>IFERROR(I680-E680,"")</x:f>
        <x:v>1.5464900000000004</x:v>
      </x:c>
      <x:c r="Z680" s="41" t="n">
        <x:f>IFERROR(J680-F680,"")</x:f>
        <x:v>5.852435</x:v>
      </x:c>
      <x:c r="AA680" s="41" t="n">
        <x:v>11653</x:v>
      </x:c>
      <x:c r="AB680" s="41" t="n">
        <x:v>6178</x:v>
      </x:c>
    </x:row>
    <x:row r="681">
      <x:c r="A681" s="41" t="str">
        <x:v>HYP_REFINE_AUTO002_TOPN_6_V1_DDGRID_LONG_R12_C22_E70_CR40_REDD_RECOVERED_DD9_SL18</x:v>
      </x:c>
      <x:c r="B681" s="41" t="str">
        <x:v>dd_guard_grid</x:v>
      </x:c>
      <x:c r="C681" s="41" t="str">
        <x:v>1999-01-04</x:v>
      </x:c>
      <x:c r="D681" s="41" t="str">
        <x:v>2026-05-22</x:v>
      </x:c>
      <x:c r="E681" s="41" t="n">
        <x:v>10.776388</x:v>
      </x:c>
      <x:c r="F681" s="41" t="n">
        <x:v>-32.059334</x:v>
      </x:c>
      <x:c r="G681" s="41" t="n">
        <x:v>1547.775336</x:v>
      </x:c>
      <x:c r="H681" s="41" t="n">
        <x:f>IFERROR(E681/ABS(F681),"")</x:f>
        <x:v>0.33613886052654746</x:v>
      </x:c>
      <x:c r="I681" s="41" t="n">
        <x:v>11.694383</x:v>
      </x:c>
      <x:c r="J681" s="41" t="n">
        <x:v>-28.440868</x:v>
      </x:c>
      <x:c r="K681" s="41" t="n">
        <x:v>1965.504739</x:v>
      </x:c>
      <x:c r="L681" s="41" t="n">
        <x:f>IFERROR(I681/ABS(J681),"")</x:f>
        <x:v>0.4111823520998023</x:v>
      </x:c>
      <x:c r="M681" s="41" t="n">
        <x:v>6.802475</x:v>
      </x:c>
      <x:c r="N681" s="41" t="n">
        <x:v>-56.473669</x:v>
      </x:c>
      <x:c r="O681" s="41" t="n">
        <x:v>506.057416</x:v>
      </x:c>
      <x:c r="P681" s="41" t="n">
        <x:f>IFERROR(M681/ABS(N681),"")</x:f>
        <x:v>0.12045392340278087</x:v>
      </x:c>
      <x:c r="Q681" s="41" t="str">
        <x:f>IF(L681&gt;=MAX(H681,P681),"Weekly",IF(H681&gt;=MAX(L681,P681),"No weekly","SPY"))</x:f>
        <x:v>Weekly</x:v>
      </x:c>
      <x:c r="R681" s="41" t="n">
        <x:f>IFERROR(L681-P681,"")</x:f>
        <x:v>0.2907284286970214</x:v>
      </x:c>
      <x:c r="S681" s="41" t="n">
        <x:f>IFERROR(H681-P681,"")</x:f>
        <x:v>0.21568493712376657</x:v>
      </x:c>
      <x:c r="T681" s="41" t="n">
        <x:f>IFERROR(I681-M681,"")</x:f>
        <x:v>4.891908</x:v>
      </x:c>
      <x:c r="U681" s="41" t="n">
        <x:f>IFERROR(E681-M681,"")</x:f>
        <x:v>3.9739130000000005</x:v>
      </x:c>
      <x:c r="V681" s="41" t="str">
        <x:f>IF(AND(I681&gt;M681,J681&gt;N681),"Sí","No")</x:f>
        <x:v>Sí</x:v>
      </x:c>
      <x:c r="W681" s="41" t="str">
        <x:f>IF(AND(E681&gt;M681,F681&gt;N681),"Sí","No")</x:f>
        <x:v>Sí</x:v>
      </x:c>
      <x:c r="X681" s="41" t="str">
        <x:f>IF(L681&gt;=H681,"Weekly","No weekly")</x:f>
        <x:v>Weekly</x:v>
      </x:c>
      <x:c r="Y681" s="41" t="n">
        <x:f>IFERROR(I681-E681,"")</x:f>
        <x:v>0.9179949999999995</x:v>
      </x:c>
      <x:c r="Z681" s="41" t="n">
        <x:f>IFERROR(J681-F681,"")</x:f>
        <x:v>3.6184660000000015</x:v>
      </x:c>
      <x:c r="AA681" s="41" t="n">
        <x:v>11757</x:v>
      </x:c>
      <x:c r="AB681" s="41" t="n">
        <x:v>5632</x:v>
      </x:c>
    </x:row>
    <x:row r="682">
      <x:c r="A682" s="41" t="str">
        <x:v>HYP_REFINE_AUTO002_TOPN_6_V1_DDGRID_LONG_R12_C22_E70_CR40_REDD_RECOVERED_DD9_SL20</x:v>
      </x:c>
      <x:c r="B682" s="41" t="str">
        <x:v>dd_guard_grid</x:v>
      </x:c>
      <x:c r="C682" s="41" t="str">
        <x:v>1999-01-04</x:v>
      </x:c>
      <x:c r="D682" s="41" t="str">
        <x:v>2026-05-22</x:v>
      </x:c>
      <x:c r="E682" s="41" t="n">
        <x:v>13.276823</x:v>
      </x:c>
      <x:c r="F682" s="41" t="n">
        <x:v>-32.799855</x:v>
      </x:c>
      <x:c r="G682" s="41" t="n">
        <x:v>2935.997629</x:v>
      </x:c>
      <x:c r="H682" s="41" t="n">
        <x:f>IFERROR(E682/ABS(F682),"")</x:f>
        <x:v>0.4047829784613377</x:v>
      </x:c>
      <x:c r="I682" s="41" t="n">
        <x:v>13.111025</x:v>
      </x:c>
      <x:c r="J682" s="41" t="n">
        <x:v>-28.475135</x:v>
      </x:c>
      <x:c r="K682" s="41" t="n">
        <x:v>2816.656942</x:v>
      </x:c>
      <x:c r="L682" s="41" t="n">
        <x:f>IFERROR(I682/ABS(J682),"")</x:f>
        <x:v>0.4604376765904709</x:v>
      </x:c>
      <x:c r="M682" s="41" t="n">
        <x:v>6.802475</x:v>
      </x:c>
      <x:c r="N682" s="41" t="n">
        <x:v>-56.473669</x:v>
      </x:c>
      <x:c r="O682" s="41" t="n">
        <x:v>506.057416</x:v>
      </x:c>
      <x:c r="P682" s="41" t="n">
        <x:f>IFERROR(M682/ABS(N682),"")</x:f>
        <x:v>0.12045392340278087</x:v>
      </x:c>
      <x:c r="Q682" s="41" t="str">
        <x:f>IF(L682&gt;=MAX(H682,P682),"Weekly",IF(H682&gt;=MAX(L682,P682),"No weekly","SPY"))</x:f>
        <x:v>Weekly</x:v>
      </x:c>
      <x:c r="R682" s="41" t="n">
        <x:f>IFERROR(L682-P682,"")</x:f>
        <x:v>0.33998375318769003</x:v>
      </x:c>
      <x:c r="S682" s="41" t="n">
        <x:f>IFERROR(H682-P682,"")</x:f>
        <x:v>0.2843290550585568</x:v>
      </x:c>
      <x:c r="T682" s="41" t="n">
        <x:f>IFERROR(I682-M682,"")</x:f>
        <x:v>6.308549999999999</x:v>
      </x:c>
      <x:c r="U682" s="41" t="n">
        <x:f>IFERROR(E682-M682,"")</x:f>
        <x:v>6.474348</x:v>
      </x:c>
      <x:c r="V682" s="41" t="str">
        <x:f>IF(AND(I682&gt;M682,J682&gt;N682),"Sí","No")</x:f>
        <x:v>Sí</x:v>
      </x:c>
      <x:c r="W682" s="41" t="str">
        <x:f>IF(AND(E682&gt;M682,F682&gt;N682),"Sí","No")</x:f>
        <x:v>Sí</x:v>
      </x:c>
      <x:c r="X682" s="41" t="str">
        <x:f>IF(L682&gt;=H682,"Weekly","No weekly")</x:f>
        <x:v>Weekly</x:v>
      </x:c>
      <x:c r="Y682" s="41" t="n">
        <x:f>IFERROR(I682-E682,"")</x:f>
        <x:v>-0.16579800000000056</x:v>
      </x:c>
      <x:c r="Z682" s="41" t="n">
        <x:f>IFERROR(J682-F682,"")</x:f>
        <x:v>4.324719999999999</x:v>
      </x:c>
      <x:c r="AA682" s="41" t="n">
        <x:v>11533</x:v>
      </x:c>
      <x:c r="AB682" s="41" t="n">
        <x:v>5401</x:v>
      </x:c>
    </x:row>
    <x:row r="683">
      <x:c r="A683" s="41" t="str">
        <x:v>HYP_REFINE_AUTO002_TOPN_6_V1_DDGRID_LONG_R12_C22_E70_CR42_REDD_RECOVERED_DD8_SL20</x:v>
      </x:c>
      <x:c r="B683" s="41" t="str">
        <x:v>dd_guard_grid</x:v>
      </x:c>
      <x:c r="C683" s="41" t="str">
        <x:v>1999-01-04</x:v>
      </x:c>
      <x:c r="D683" s="41" t="str">
        <x:v>2026-05-22</x:v>
      </x:c>
      <x:c r="E683" s="41" t="n">
        <x:v>13.710099</x:v>
      </x:c>
      <x:c r="F683" s="41" t="n">
        <x:v>-33.023972</x:v>
      </x:c>
      <x:c r="G683" s="41" t="n">
        <x:v>3270.500533</x:v>
      </x:c>
      <x:c r="H683" s="41" t="n">
        <x:f>IFERROR(E683/ABS(F683),"")</x:f>
        <x:v>0.41515596609638594</x:v>
      </x:c>
      <x:c r="I683" s="41" t="n">
        <x:v>13.666851</x:v>
      </x:c>
      <x:c r="J683" s="41" t="n">
        <x:v>-28.687154</x:v>
      </x:c>
      <x:c r="K683" s="41" t="n">
        <x:v>3235.578483</x:v>
      </x:c>
      <x:c r="L683" s="41" t="n">
        <x:f>IFERROR(I683/ABS(J683),"")</x:f>
        <x:v>0.47641013814057676</x:v>
      </x:c>
      <x:c r="M683" s="41" t="n">
        <x:v>6.802475</x:v>
      </x:c>
      <x:c r="N683" s="41" t="n">
        <x:v>-56.473669</x:v>
      </x:c>
      <x:c r="O683" s="41" t="n">
        <x:v>506.057416</x:v>
      </x:c>
      <x:c r="P683" s="41" t="n">
        <x:f>IFERROR(M683/ABS(N683),"")</x:f>
        <x:v>0.12045392340278087</x:v>
      </x:c>
      <x:c r="Q683" s="41" t="str">
        <x:f>IF(L683&gt;=MAX(H683,P683),"Weekly",IF(H683&gt;=MAX(L683,P683),"No weekly","SPY"))</x:f>
        <x:v>Weekly</x:v>
      </x:c>
      <x:c r="R683" s="41" t="n">
        <x:f>IFERROR(L683-P683,"")</x:f>
        <x:v>0.3559562147377959</x:v>
      </x:c>
      <x:c r="S683" s="41" t="n">
        <x:f>IFERROR(H683-P683,"")</x:f>
        <x:v>0.29470204269360506</x:v>
      </x:c>
      <x:c r="T683" s="41" t="n">
        <x:f>IFERROR(I683-M683,"")</x:f>
        <x:v>6.864375999999999</x:v>
      </x:c>
      <x:c r="U683" s="41" t="n">
        <x:f>IFERROR(E683-M683,"")</x:f>
        <x:v>6.907623999999999</x:v>
      </x:c>
      <x:c r="V683" s="41" t="str">
        <x:f>IF(AND(I683&gt;M683,J683&gt;N683),"Sí","No")</x:f>
        <x:v>Sí</x:v>
      </x:c>
      <x:c r="W683" s="41" t="str">
        <x:f>IF(AND(E683&gt;M683,F683&gt;N683),"Sí","No")</x:f>
        <x:v>Sí</x:v>
      </x:c>
      <x:c r="X683" s="41" t="str">
        <x:f>IF(L683&gt;=H683,"Weekly","No weekly")</x:f>
        <x:v>Weekly</x:v>
      </x:c>
      <x:c r="Y683" s="41" t="n">
        <x:f>IFERROR(I683-E683,"")</x:f>
        <x:v>-0.043248000000000175</x:v>
      </x:c>
      <x:c r="Z683" s="41" t="n">
        <x:f>IFERROR(J683-F683,"")</x:f>
        <x:v>4.336818000000001</x:v>
      </x:c>
      <x:c r="AA683" s="41" t="n">
        <x:v>11454</x:v>
      </x:c>
      <x:c r="AB683" s="41" t="n">
        <x:v>5466</x:v>
      </x:c>
    </x:row>
    <x:row r="684">
      <x:c r="A684" s="41" t="str">
        <x:v>HYP_REFINE_AUTO002_TOPN_6_V1_DDGRID_LONG_R12_C22_E70_CR45_REDD_RECOVERED_DD8_SL20</x:v>
      </x:c>
      <x:c r="B684" s="41" t="str">
        <x:v>dd_guard_grid</x:v>
      </x:c>
      <x:c r="C684" s="41" t="str">
        <x:v>1999-01-04</x:v>
      </x:c>
      <x:c r="D684" s="41" t="str">
        <x:v>2026-05-22</x:v>
      </x:c>
      <x:c r="E684" s="41" t="n">
        <x:v>13.582314</x:v>
      </x:c>
      <x:c r="F684" s="41" t="n">
        <x:v>-33.897682</x:v>
      </x:c>
      <x:c r="G684" s="41" t="n">
        <x:v>3168.321276</x:v>
      </x:c>
      <x:c r="H684" s="41" t="n">
        <x:f>IFERROR(E684/ABS(F684),"")</x:f>
        <x:v>0.40068562800252827</x:v>
      </x:c>
      <x:c r="I684" s="41" t="n">
        <x:v>13.952712</x:v>
      </x:c>
      <x:c r="J684" s="41" t="n">
        <x:v>-28.194598</x:v>
      </x:c>
      <x:c r="K684" s="41" t="n">
        <x:v>3473.030574</x:v>
      </x:c>
      <x:c r="L684" s="41" t="n">
        <x:f>IFERROR(I684/ABS(J684),"")</x:f>
        <x:v>0.49487181906264455</x:v>
      </x:c>
      <x:c r="M684" s="41" t="n">
        <x:v>6.802475</x:v>
      </x:c>
      <x:c r="N684" s="41" t="n">
        <x:v>-56.473669</x:v>
      </x:c>
      <x:c r="O684" s="41" t="n">
        <x:v>506.057416</x:v>
      </x:c>
      <x:c r="P684" s="41" t="n">
        <x:f>IFERROR(M684/ABS(N684),"")</x:f>
        <x:v>0.12045392340278087</x:v>
      </x:c>
      <x:c r="Q684" s="41" t="str">
        <x:f>IF(L684&gt;=MAX(H684,P684),"Weekly",IF(H684&gt;=MAX(L684,P684),"No weekly","SPY"))</x:f>
        <x:v>Weekly</x:v>
      </x:c>
      <x:c r="R684" s="41" t="n">
        <x:f>IFERROR(L684-P684,"")</x:f>
        <x:v>0.37441789565986366</x:v>
      </x:c>
      <x:c r="S684" s="41" t="n">
        <x:f>IFERROR(H684-P684,"")</x:f>
        <x:v>0.2802317045997474</x:v>
      </x:c>
      <x:c r="T684" s="41" t="n">
        <x:f>IFERROR(I684-M684,"")</x:f>
        <x:v>7.150237</x:v>
      </x:c>
      <x:c r="U684" s="41" t="n">
        <x:f>IFERROR(E684-M684,"")</x:f>
        <x:v>6.779839</x:v>
      </x:c>
      <x:c r="V684" s="41" t="str">
        <x:f>IF(AND(I684&gt;M684,J684&gt;N684),"Sí","No")</x:f>
        <x:v>Sí</x:v>
      </x:c>
      <x:c r="W684" s="41" t="str">
        <x:f>IF(AND(E684&gt;M684,F684&gt;N684),"Sí","No")</x:f>
        <x:v>Sí</x:v>
      </x:c>
      <x:c r="X684" s="41" t="str">
        <x:f>IF(L684&gt;=H684,"Weekly","No weekly")</x:f>
        <x:v>Weekly</x:v>
      </x:c>
      <x:c r="Y684" s="41" t="n">
        <x:f>IFERROR(I684-E684,"")</x:f>
        <x:v>0.3703979999999998</x:v>
      </x:c>
      <x:c r="Z684" s="41" t="n">
        <x:f>IFERROR(J684-F684,"")</x:f>
        <x:v>5.703084000000004</x:v>
      </x:c>
      <x:c r="AA684" s="41" t="n">
        <x:v>11450</x:v>
      </x:c>
      <x:c r="AB684" s="41" t="n">
        <x:v>5486</x:v>
      </x:c>
    </x:row>
    <x:row r="685">
      <x:c r="A685" s="41" t="str">
        <x:v>HYP_REFINE_AUTO002_TOPN_6_V1_DDGRID_LONG_R12_C22_E72_CR33_REDD_RECOVERED_DD8_SL20</x:v>
      </x:c>
      <x:c r="B685" s="41" t="str">
        <x:v>dd_guard_grid</x:v>
      </x:c>
      <x:c r="C685" s="41" t="str">
        <x:v>1999-01-04</x:v>
      </x:c>
      <x:c r="D685" s="41" t="str">
        <x:v>2026-05-22</x:v>
      </x:c>
      <x:c r="E685" s="41" t="n">
        <x:v>11.775333</x:v>
      </x:c>
      <x:c r="F685" s="41" t="n">
        <x:v>-31.162391</x:v>
      </x:c>
      <x:c r="G685" s="41" t="n">
        <x:v>2006.883627</x:v>
      </x:c>
      <x:c r="H685" s="41" t="n">
        <x:f>IFERROR(E685/ABS(F685),"")</x:f>
        <x:v>0.3778700100387034</x:v>
      </x:c>
      <x:c r="I685" s="41" t="n">
        <x:v>11.929432</x:v>
      </x:c>
      <x:c r="J685" s="41" t="n">
        <x:v>-28.403286</x:v>
      </x:c>
      <x:c r="K685" s="41" t="n">
        <x:v>2087.871947</x:v>
      </x:c>
      <x:c r="L685" s="41" t="n">
        <x:f>IFERROR(I685/ABS(J685),"")</x:f>
        <x:v>0.4200018265492239</x:v>
      </x:c>
      <x:c r="M685" s="41" t="n">
        <x:v>6.802475</x:v>
      </x:c>
      <x:c r="N685" s="41" t="n">
        <x:v>-56.473669</x:v>
      </x:c>
      <x:c r="O685" s="41" t="n">
        <x:v>506.057416</x:v>
      </x:c>
      <x:c r="P685" s="41" t="n">
        <x:f>IFERROR(M685/ABS(N685),"")</x:f>
        <x:v>0.12045392340278087</x:v>
      </x:c>
      <x:c r="Q685" s="41" t="str">
        <x:f>IF(L685&gt;=MAX(H685,P685),"Weekly",IF(H685&gt;=MAX(L685,P685),"No weekly","SPY"))</x:f>
        <x:v>Weekly</x:v>
      </x:c>
      <x:c r="R685" s="41" t="n">
        <x:f>IFERROR(L685-P685,"")</x:f>
        <x:v>0.29954790314644303</x:v>
      </x:c>
      <x:c r="S685" s="41" t="n">
        <x:f>IFERROR(H685-P685,"")</x:f>
        <x:v>0.2574160866359225</x:v>
      </x:c>
      <x:c r="T685" s="41" t="n">
        <x:f>IFERROR(I685-M685,"")</x:f>
        <x:v>5.126957</x:v>
      </x:c>
      <x:c r="U685" s="41" t="n">
        <x:f>IFERROR(E685-M685,"")</x:f>
        <x:v>4.972858</x:v>
      </x:c>
      <x:c r="V685" s="41" t="str">
        <x:f>IF(AND(I685&gt;M685,J685&gt;N685),"Sí","No")</x:f>
        <x:v>Sí</x:v>
      </x:c>
      <x:c r="W685" s="41" t="str">
        <x:f>IF(AND(E685&gt;M685,F685&gt;N685),"Sí","No")</x:f>
        <x:v>Sí</x:v>
      </x:c>
      <x:c r="X685" s="41" t="str">
        <x:f>IF(L685&gt;=H685,"Weekly","No weekly")</x:f>
        <x:v>Weekly</x:v>
      </x:c>
      <x:c r="Y685" s="41" t="n">
        <x:f>IFERROR(I685-E685,"")</x:f>
        <x:v>0.15409900000000043</x:v>
      </x:c>
      <x:c r="Z685" s="41" t="n">
        <x:f>IFERROR(J685-F685,"")</x:f>
        <x:v>2.759104999999998</x:v>
      </x:c>
      <x:c r="AA685" s="41" t="n">
        <x:v>12249</x:v>
      </x:c>
      <x:c r="AB685" s="41" t="n">
        <x:v>6278</x:v>
      </x:c>
    </x:row>
    <x:row r="686">
      <x:c r="A686" s="41" t="str">
        <x:v>HYP_REFINE_AUTO002_TOPN_6_V1_DDGRID_LONG_R12_C22_E72_CR36_REDD_RECOVERED_DD8_SL20</x:v>
      </x:c>
      <x:c r="B686" s="41" t="str">
        <x:v>dd_guard_grid</x:v>
      </x:c>
      <x:c r="C686" s="41" t="str">
        <x:v>1999-01-04</x:v>
      </x:c>
      <x:c r="D686" s="41" t="str">
        <x:v>2026-05-22</x:v>
      </x:c>
      <x:c r="E686" s="41" t="n">
        <x:v>11.902524</x:v>
      </x:c>
      <x:c r="F686" s="41" t="n">
        <x:v>-31.625068</x:v>
      </x:c>
      <x:c r="G686" s="41" t="n">
        <x:v>2073.517418</x:v>
      </x:c>
      <x:c r="H686" s="41" t="n">
        <x:f>IFERROR(E686/ABS(F686),"")</x:f>
        <x:v>0.3763635860008269</x:v>
      </x:c>
      <x:c r="I686" s="41" t="n">
        <x:v>11.381663</x:v>
      </x:c>
      <x:c r="J686" s="41" t="n">
        <x:v>-30.355578</x:v>
      </x:c>
      <x:c r="K686" s="41" t="n">
        <x:v>1812.886244</x:v>
      </x:c>
      <x:c r="L686" s="41" t="n">
        <x:f>IFERROR(I686/ABS(J686),"")</x:f>
        <x:v>0.3749446971492356</x:v>
      </x:c>
      <x:c r="M686" s="41" t="n">
        <x:v>6.802475</x:v>
      </x:c>
      <x:c r="N686" s="41" t="n">
        <x:v>-56.473669</x:v>
      </x:c>
      <x:c r="O686" s="41" t="n">
        <x:v>506.057416</x:v>
      </x:c>
      <x:c r="P686" s="41" t="n">
        <x:f>IFERROR(M686/ABS(N686),"")</x:f>
        <x:v>0.12045392340278087</x:v>
      </x:c>
      <x:c r="Q686" s="41" t="str">
        <x:f>IF(L686&gt;=MAX(H686,P686),"Weekly",IF(H686&gt;=MAX(L686,P686),"No weekly","SPY"))</x:f>
        <x:v>No weekly</x:v>
      </x:c>
      <x:c r="R686" s="41" t="n">
        <x:f>IFERROR(L686-P686,"")</x:f>
        <x:v>0.25449077374645473</x:v>
      </x:c>
      <x:c r="S686" s="41" t="n">
        <x:f>IFERROR(H686-P686,"")</x:f>
        <x:v>0.25590966259804604</x:v>
      </x:c>
      <x:c r="T686" s="41" t="n">
        <x:f>IFERROR(I686-M686,"")</x:f>
        <x:v>4.579187999999999</x:v>
      </x:c>
      <x:c r="U686" s="41" t="n">
        <x:f>IFERROR(E686-M686,"")</x:f>
        <x:v>5.100048999999999</x:v>
      </x:c>
      <x:c r="V686" s="41" t="str">
        <x:f>IF(AND(I686&gt;M686,J686&gt;N686),"Sí","No")</x:f>
        <x:v>Sí</x:v>
      </x:c>
      <x:c r="W686" s="41" t="str">
        <x:f>IF(AND(E686&gt;M686,F686&gt;N686),"Sí","No")</x:f>
        <x:v>Sí</x:v>
      </x:c>
      <x:c r="X686" s="41" t="str">
        <x:f>IF(L686&gt;=H686,"Weekly","No weekly")</x:f>
        <x:v>No weekly</x:v>
      </x:c>
      <x:c r="Y686" s="41" t="n">
        <x:f>IFERROR(I686-E686,"")</x:f>
        <x:v>-0.520861</x:v>
      </x:c>
      <x:c r="Z686" s="41" t="n">
        <x:f>IFERROR(J686-F686,"")</x:f>
        <x:v>1.2694899999999976</x:v>
      </x:c>
      <x:c r="AA686" s="41" t="n">
        <x:v>12295</x:v>
      </x:c>
      <x:c r="AB686" s="41" t="n">
        <x:v>6240</x:v>
      </x:c>
    </x:row>
    <x:row r="687">
      <x:c r="A687" s="41" t="str">
        <x:v>HYP_REFINE_AUTO002_TOPN_6_V1_DDGRID_LONG_R12_C22_E72_CR40_REDD_RECOVERED_DD10_SL18</x:v>
      </x:c>
      <x:c r="B687" s="41" t="str">
        <x:v>dd_guard_grid</x:v>
      </x:c>
      <x:c r="C687" s="41" t="str">
        <x:v>1999-01-04</x:v>
      </x:c>
      <x:c r="D687" s="41" t="str">
        <x:v>2026-05-22</x:v>
      </x:c>
      <x:c r="E687" s="41" t="n">
        <x:v>12.20689</x:v>
      </x:c>
      <x:c r="F687" s="41" t="n">
        <x:v>-31.666991</x:v>
      </x:c>
      <x:c r="G687" s="41" t="n">
        <x:v>2241.315502</x:v>
      </x:c>
      <x:c r="H687" s="41" t="n">
        <x:f>IFERROR(E687/ABS(F687),"")</x:f>
        <x:v>0.3854767887482584</x:v>
      </x:c>
      <x:c r="I687" s="41" t="n">
        <x:v>12.072003</x:v>
      </x:c>
      <x:c r="J687" s="41" t="n">
        <x:v>-29.226988</x:v>
      </x:c>
      <x:c r="K687" s="41" t="n">
        <x:v>2165.466466</x:v>
      </x:c>
      <x:c r="L687" s="41" t="n">
        <x:f>IFERROR(I687/ABS(J687),"")</x:f>
        <x:v>0.41304300668957067</x:v>
      </x:c>
      <x:c r="M687" s="41" t="n">
        <x:v>6.802475</x:v>
      </x:c>
      <x:c r="N687" s="41" t="n">
        <x:v>-56.473669</x:v>
      </x:c>
      <x:c r="O687" s="41" t="n">
        <x:v>506.057416</x:v>
      </x:c>
      <x:c r="P687" s="41" t="n">
        <x:f>IFERROR(M687/ABS(N687),"")</x:f>
        <x:v>0.12045392340278087</x:v>
      </x:c>
      <x:c r="Q687" s="41" t="str">
        <x:f>IF(L687&gt;=MAX(H687,P687),"Weekly",IF(H687&gt;=MAX(L687,P687),"No weekly","SPY"))</x:f>
        <x:v>Weekly</x:v>
      </x:c>
      <x:c r="R687" s="41" t="n">
        <x:f>IFERROR(L687-P687,"")</x:f>
        <x:v>0.2925890832867898</x:v>
      </x:c>
      <x:c r="S687" s="41" t="n">
        <x:f>IFERROR(H687-P687,"")</x:f>
        <x:v>0.26502286534547753</x:v>
      </x:c>
      <x:c r="T687" s="41" t="n">
        <x:f>IFERROR(I687-M687,"")</x:f>
        <x:v>5.269528</x:v>
      </x:c>
      <x:c r="U687" s="41" t="n">
        <x:f>IFERROR(E687-M687,"")</x:f>
        <x:v>5.404414999999999</x:v>
      </x:c>
      <x:c r="V687" s="41" t="str">
        <x:f>IF(AND(I687&gt;M687,J687&gt;N687),"Sí","No")</x:f>
        <x:v>Sí</x:v>
      </x:c>
      <x:c r="W687" s="41" t="str">
        <x:f>IF(AND(E687&gt;M687,F687&gt;N687),"Sí","No")</x:f>
        <x:v>Sí</x:v>
      </x:c>
      <x:c r="X687" s="41" t="str">
        <x:f>IF(L687&gt;=H687,"Weekly","No weekly")</x:f>
        <x:v>Weekly</x:v>
      </x:c>
      <x:c r="Y687" s="41" t="n">
        <x:f>IFERROR(I687-E687,"")</x:f>
        <x:v>-0.1348869999999991</x:v>
      </x:c>
      <x:c r="Z687" s="41" t="n">
        <x:f>IFERROR(J687-F687,"")</x:f>
        <x:v>2.440003000000001</x:v>
      </x:c>
      <x:c r="AA687" s="41" t="n">
        <x:v>11477</x:v>
      </x:c>
      <x:c r="AB687" s="41" t="n">
        <x:v>5370</x:v>
      </x:c>
    </x:row>
    <x:row r="688">
      <x:c r="A688" s="41" t="str">
        <x:v>HYP_REFINE_AUTO002_TOPN_6_V1_DDGRID_LONG_R12_C22_E72_CR40_REDD_RECOVERED_DD10_SL20</x:v>
      </x:c>
      <x:c r="B688" s="41" t="str">
        <x:v>dd_guard_grid</x:v>
      </x:c>
      <x:c r="C688" s="41" t="str">
        <x:v>1999-01-04</x:v>
      </x:c>
      <x:c r="D688" s="41" t="str">
        <x:v>2026-05-22</x:v>
      </x:c>
      <x:c r="E688" s="41" t="n">
        <x:v>11.960822</x:v>
      </x:c>
      <x:c r="F688" s="41" t="n">
        <x:v>-32.350607</x:v>
      </x:c>
      <x:c r="G688" s="41" t="n">
        <x:v>2104.733046</x:v>
      </x:c>
      <x:c r="H688" s="41" t="n">
        <x:f>IFERROR(E688/ABS(F688),"")</x:f>
        <x:v>0.3697248091820967</x:v>
      </x:c>
      <x:c r="I688" s="41" t="n">
        <x:v>13.320563</x:v>
      </x:c>
      <x:c r="J688" s="41" t="n">
        <x:v>-29.395184</x:v>
      </x:c>
      <x:c r="K688" s="41" t="n">
        <x:v>2968.257567</x:v>
      </x:c>
      <x:c r="L688" s="41" t="n">
        <x:f>IFERROR(I688/ABS(J688),"")</x:f>
        <x:v>0.4531546051897481</x:v>
      </x:c>
      <x:c r="M688" s="41" t="n">
        <x:v>6.802475</x:v>
      </x:c>
      <x:c r="N688" s="41" t="n">
        <x:v>-56.473669</x:v>
      </x:c>
      <x:c r="O688" s="41" t="n">
        <x:v>506.057416</x:v>
      </x:c>
      <x:c r="P688" s="41" t="n">
        <x:f>IFERROR(M688/ABS(N688),"")</x:f>
        <x:v>0.12045392340278087</x:v>
      </x:c>
      <x:c r="Q688" s="41" t="str">
        <x:f>IF(L688&gt;=MAX(H688,P688),"Weekly",IF(H688&gt;=MAX(L688,P688),"No weekly","SPY"))</x:f>
        <x:v>Weekly</x:v>
      </x:c>
      <x:c r="R688" s="41" t="n">
        <x:f>IFERROR(L688-P688,"")</x:f>
        <x:v>0.3327006817869672</x:v>
      </x:c>
      <x:c r="S688" s="41" t="n">
        <x:f>IFERROR(H688-P688,"")</x:f>
        <x:v>0.24927088577931583</x:v>
      </x:c>
      <x:c r="T688" s="41" t="n">
        <x:f>IFERROR(I688-M688,"")</x:f>
        <x:v>6.518088</x:v>
      </x:c>
      <x:c r="U688" s="41" t="n">
        <x:f>IFERROR(E688-M688,"")</x:f>
        <x:v>5.158347</x:v>
      </x:c>
      <x:c r="V688" s="41" t="str">
        <x:f>IF(AND(I688&gt;M688,J688&gt;N688),"Sí","No")</x:f>
        <x:v>Sí</x:v>
      </x:c>
      <x:c r="W688" s="41" t="str">
        <x:f>IF(AND(E688&gt;M688,F688&gt;N688),"Sí","No")</x:f>
        <x:v>Sí</x:v>
      </x:c>
      <x:c r="X688" s="41" t="str">
        <x:f>IF(L688&gt;=H688,"Weekly","No weekly")</x:f>
        <x:v>Weekly</x:v>
      </x:c>
      <x:c r="Y688" s="41" t="n">
        <x:f>IFERROR(I688-E688,"")</x:f>
        <x:v>1.3597409999999996</x:v>
      </x:c>
      <x:c r="Z688" s="41" t="n">
        <x:f>IFERROR(J688-F688,"")</x:f>
        <x:v>2.955422999999996</x:v>
      </x:c>
      <x:c r="AA688" s="41" t="n">
        <x:v>11583</x:v>
      </x:c>
      <x:c r="AB688" s="41" t="n">
        <x:v>5612</x:v>
      </x:c>
    </x:row>
    <x:row r="689">
      <x:c r="A689" s="41" t="str">
        <x:v>HYP_REFINE_AUTO002_TOPN_6_V1_DDGRID_LONG_R12_C22_E72_CR40_REDD_RECOVERED_DD6_SL18</x:v>
      </x:c>
      <x:c r="B689" s="41" t="str">
        <x:v>dd_guard_grid</x:v>
      </x:c>
      <x:c r="C689" s="41" t="str">
        <x:v>1999-01-04</x:v>
      </x:c>
      <x:c r="D689" s="41" t="str">
        <x:v>2026-05-22</x:v>
      </x:c>
      <x:c r="E689" s="41" t="n">
        <x:v>11.865701</x:v>
      </x:c>
      <x:c r="F689" s="41" t="n">
        <x:v>-31.618695</x:v>
      </x:c>
      <x:c r="G689" s="41" t="n">
        <x:v>2054.020246</x:v>
      </x:c>
      <x:c r="H689" s="41" t="n">
        <x:f>IFERROR(E689/ABS(F689),"")</x:f>
        <x:v>0.3752748492624379</x:v>
      </x:c>
      <x:c r="I689" s="41" t="n">
        <x:v>11.278139</x:v>
      </x:c>
      <x:c r="J689" s="41" t="n">
        <x:v>-29.375561</x:v>
      </x:c>
      <x:c r="K689" s="41" t="n">
        <x:v>1764.801255</x:v>
      </x:c>
      <x:c r="L689" s="41" t="n">
        <x:f>IFERROR(I689/ABS(J689),"")</x:f>
        <x:v>0.3839293145754731</x:v>
      </x:c>
      <x:c r="M689" s="41" t="n">
        <x:v>6.802475</x:v>
      </x:c>
      <x:c r="N689" s="41" t="n">
        <x:v>-56.473669</x:v>
      </x:c>
      <x:c r="O689" s="41" t="n">
        <x:v>506.057416</x:v>
      </x:c>
      <x:c r="P689" s="41" t="n">
        <x:f>IFERROR(M689/ABS(N689),"")</x:f>
        <x:v>0.12045392340278087</x:v>
      </x:c>
      <x:c r="Q689" s="41" t="str">
        <x:f>IF(L689&gt;=MAX(H689,P689),"Weekly",IF(H689&gt;=MAX(L689,P689),"No weekly","SPY"))</x:f>
        <x:v>Weekly</x:v>
      </x:c>
      <x:c r="R689" s="41" t="n">
        <x:f>IFERROR(L689-P689,"")</x:f>
        <x:v>0.2634753911726922</x:v>
      </x:c>
      <x:c r="S689" s="41" t="n">
        <x:f>IFERROR(H689-P689,"")</x:f>
        <x:v>0.25482092585965704</x:v>
      </x:c>
      <x:c r="T689" s="41" t="n">
        <x:f>IFERROR(I689-M689,"")</x:f>
        <x:v>4.475663999999999</x:v>
      </x:c>
      <x:c r="U689" s="41" t="n">
        <x:f>IFERROR(E689-M689,"")</x:f>
        <x:v>5.063225999999999</x:v>
      </x:c>
      <x:c r="V689" s="41" t="str">
        <x:f>IF(AND(I689&gt;M689,J689&gt;N689),"Sí","No")</x:f>
        <x:v>Sí</x:v>
      </x:c>
      <x:c r="W689" s="41" t="str">
        <x:f>IF(AND(E689&gt;M689,F689&gt;N689),"Sí","No")</x:f>
        <x:v>Sí</x:v>
      </x:c>
      <x:c r="X689" s="41" t="str">
        <x:f>IF(L689&gt;=H689,"Weekly","No weekly")</x:f>
        <x:v>Weekly</x:v>
      </x:c>
      <x:c r="Y689" s="41" t="n">
        <x:f>IFERROR(I689-E689,"")</x:f>
        <x:v>-0.5875620000000001</x:v>
      </x:c>
      <x:c r="Z689" s="41" t="n">
        <x:f>IFERROR(J689-F689,"")</x:f>
        <x:v>2.2431339999999977</x:v>
      </x:c>
      <x:c r="AA689" s="41" t="n">
        <x:v>12303</x:v>
      </x:c>
      <x:c r="AB689" s="41" t="n">
        <x:v>6103</x:v>
      </x:c>
    </x:row>
    <x:row r="690">
      <x:c r="A690" s="41" t="str">
        <x:v>HYP_REFINE_AUTO002_TOPN_6_V1_DDGRID_LONG_R12_C22_E72_CR40_REDD_RECOVERED_DD6_SL20</x:v>
      </x:c>
      <x:c r="B690" s="41" t="str">
        <x:v>dd_guard_grid</x:v>
      </x:c>
      <x:c r="C690" s="41" t="str">
        <x:v>1999-01-04</x:v>
      </x:c>
      <x:c r="D690" s="41" t="str">
        <x:v>2026-05-22</x:v>
      </x:c>
      <x:c r="E690" s="41" t="n">
        <x:v>13.056855</x:v>
      </x:c>
      <x:c r="F690" s="41" t="n">
        <x:v>-32.289936</x:v>
      </x:c>
      <x:c r="G690" s="41" t="n">
        <x:v>2778.654867</x:v>
      </x:c>
      <x:c r="H690" s="41" t="n">
        <x:f>IFERROR(E690/ABS(F690),"")</x:f>
        <x:v>0.4043629878981489</x:v>
      </x:c>
      <x:c r="I690" s="41" t="n">
        <x:v>12.905477</x:v>
      </x:c>
      <x:c r="J690" s="41" t="n">
        <x:v>-28.993562</x:v>
      </x:c>
      <x:c r="K690" s="41" t="n">
        <x:v>2674.970354</x:v>
      </x:c>
      <x:c r="L690" s="41" t="n">
        <x:f>IFERROR(I690/ABS(J690),"")</x:f>
        <x:v>0.44511526386443995</x:v>
      </x:c>
      <x:c r="M690" s="41" t="n">
        <x:v>6.802475</x:v>
      </x:c>
      <x:c r="N690" s="41" t="n">
        <x:v>-56.473669</x:v>
      </x:c>
      <x:c r="O690" s="41" t="n">
        <x:v>506.057416</x:v>
      </x:c>
      <x:c r="P690" s="41" t="n">
        <x:f>IFERROR(M690/ABS(N690),"")</x:f>
        <x:v>0.12045392340278087</x:v>
      </x:c>
      <x:c r="Q690" s="41" t="str">
        <x:f>IF(L690&gt;=MAX(H690,P690),"Weekly",IF(H690&gt;=MAX(L690,P690),"No weekly","SPY"))</x:f>
        <x:v>Weekly</x:v>
      </x:c>
      <x:c r="R690" s="41" t="n">
        <x:f>IFERROR(L690-P690,"")</x:f>
        <x:v>0.32466134046165906</x:v>
      </x:c>
      <x:c r="S690" s="41" t="n">
        <x:f>IFERROR(H690-P690,"")</x:f>
        <x:v>0.283909064495368</x:v>
      </x:c>
      <x:c r="T690" s="41" t="n">
        <x:f>IFERROR(I690-M690,"")</x:f>
        <x:v>6.103001999999999</x:v>
      </x:c>
      <x:c r="U690" s="41" t="n">
        <x:f>IFERROR(E690-M690,"")</x:f>
        <x:v>6.25438</x:v>
      </x:c>
      <x:c r="V690" s="41" t="str">
        <x:f>IF(AND(I690&gt;M690,J690&gt;N690),"Sí","No")</x:f>
        <x:v>Sí</x:v>
      </x:c>
      <x:c r="W690" s="41" t="str">
        <x:f>IF(AND(E690&gt;M690,F690&gt;N690),"Sí","No")</x:f>
        <x:v>Sí</x:v>
      </x:c>
      <x:c r="X690" s="41" t="str">
        <x:f>IF(L690&gt;=H690,"Weekly","No weekly")</x:f>
        <x:v>Weekly</x:v>
      </x:c>
      <x:c r="Y690" s="41" t="n">
        <x:f>IFERROR(I690-E690,"")</x:f>
        <x:v>-0.15137800000000112</x:v>
      </x:c>
      <x:c r="Z690" s="41" t="n">
        <x:f>IFERROR(J690-F690,"")</x:f>
        <x:v>3.2963739999999966</x:v>
      </x:c>
      <x:c r="AA690" s="41" t="n">
        <x:v>12104</x:v>
      </x:c>
      <x:c r="AB690" s="41" t="n">
        <x:v>6099</x:v>
      </x:c>
    </x:row>
    <x:row r="691">
      <x:c r="A691" s="41" t="str">
        <x:v>HYP_REFINE_AUTO002_TOPN_6_V1_DDGRID_LONG_R12_C22_E72_CR40_REDD_RECOVERED_DD7_SL18</x:v>
      </x:c>
      <x:c r="B691" s="41" t="str">
        <x:v>dd_guard_grid</x:v>
      </x:c>
      <x:c r="C691" s="41" t="str">
        <x:v>1999-01-04</x:v>
      </x:c>
      <x:c r="D691" s="41" t="str">
        <x:v>2026-05-22</x:v>
      </x:c>
      <x:c r="E691" s="41" t="n">
        <x:v>13.134007</x:v>
      </x:c>
      <x:c r="F691" s="41" t="n">
        <x:v>-31.680847</x:v>
      </x:c>
      <x:c r="G691" s="41" t="n">
        <x:v>2832.925233</x:v>
      </x:c>
      <x:c r="H691" s="41" t="n">
        <x:f>IFERROR(E691/ABS(F691),"")</x:f>
        <x:v>0.4145724702373014</x:v>
      </x:c>
      <x:c r="I691" s="41" t="n">
        <x:v>11.969369</x:v>
      </x:c>
      <x:c r="J691" s="41" t="n">
        <x:v>-29.375561</x:v>
      </x:c>
      <x:c r="K691" s="41" t="n">
        <x:v>2109.345494</x:v>
      </x:c>
      <x:c r="L691" s="41" t="n">
        <x:f>IFERROR(I691/ABS(J691),"")</x:f>
        <x:v>0.4074600992301049</x:v>
      </x:c>
      <x:c r="M691" s="41" t="n">
        <x:v>6.802475</x:v>
      </x:c>
      <x:c r="N691" s="41" t="n">
        <x:v>-56.473669</x:v>
      </x:c>
      <x:c r="O691" s="41" t="n">
        <x:v>506.057416</x:v>
      </x:c>
      <x:c r="P691" s="41" t="n">
        <x:f>IFERROR(M691/ABS(N691),"")</x:f>
        <x:v>0.12045392340278087</x:v>
      </x:c>
      <x:c r="Q691" s="41" t="str">
        <x:f>IF(L691&gt;=MAX(H691,P691),"Weekly",IF(H691&gt;=MAX(L691,P691),"No weekly","SPY"))</x:f>
        <x:v>No weekly</x:v>
      </x:c>
      <x:c r="R691" s="41" t="n">
        <x:f>IFERROR(L691-P691,"")</x:f>
        <x:v>0.287006175827324</x:v>
      </x:c>
      <x:c r="S691" s="41" t="n">
        <x:f>IFERROR(H691-P691,"")</x:f>
        <x:v>0.29411854683452054</x:v>
      </x:c>
      <x:c r="T691" s="41" t="n">
        <x:f>IFERROR(I691-M691,"")</x:f>
        <x:v>5.166894</x:v>
      </x:c>
      <x:c r="U691" s="41" t="n">
        <x:f>IFERROR(E691-M691,"")</x:f>
        <x:v>6.331532</x:v>
      </x:c>
      <x:c r="V691" s="41" t="str">
        <x:f>IF(AND(I691&gt;M691,J691&gt;N691),"Sí","No")</x:f>
        <x:v>Sí</x:v>
      </x:c>
      <x:c r="W691" s="41" t="str">
        <x:f>IF(AND(E691&gt;M691,F691&gt;N691),"Sí","No")</x:f>
        <x:v>Sí</x:v>
      </x:c>
      <x:c r="X691" s="41" t="str">
        <x:f>IF(L691&gt;=H691,"Weekly","No weekly")</x:f>
        <x:v>No weekly</x:v>
      </x:c>
      <x:c r="Y691" s="41" t="n">
        <x:f>IFERROR(I691-E691,"")</x:f>
        <x:v>-1.164638</x:v>
      </x:c>
      <x:c r="Z691" s="41" t="n">
        <x:f>IFERROR(J691-F691,"")</x:f>
        <x:v>2.305285999999999</x:v>
      </x:c>
      <x:c r="AA691" s="41" t="n">
        <x:v>11972</x:v>
      </x:c>
      <x:c r="AB691" s="41" t="n">
        <x:v>5847</x:v>
      </x:c>
    </x:row>
    <x:row r="692">
      <x:c r="A692" s="41" t="str">
        <x:v>HYP_REFINE_AUTO002_TOPN_6_V1_DDGRID_LONG_R12_C22_E72_CR40_REDD_RECOVERED_DD7_SL20</x:v>
      </x:c>
      <x:c r="B692" s="41" t="str">
        <x:v>dd_guard_grid</x:v>
      </x:c>
      <x:c r="C692" s="41" t="str">
        <x:v>1999-01-04</x:v>
      </x:c>
      <x:c r="D692" s="41" t="str">
        <x:v>2026-05-22</x:v>
      </x:c>
      <x:c r="E692" s="41" t="n">
        <x:v>13.522126</x:v>
      </x:c>
      <x:c r="F692" s="41" t="n">
        <x:v>-32.280539</x:v>
      </x:c>
      <x:c r="G692" s="41" t="n">
        <x:v>3121.234284</x:v>
      </x:c>
      <x:c r="H692" s="41" t="n">
        <x:f>IFERROR(E692/ABS(F692),"")</x:f>
        <x:v>0.4188940587392299</x:v>
      </x:c>
      <x:c r="I692" s="41" t="n">
        <x:v>13.177356</x:v>
      </x:c>
      <x:c r="J692" s="41" t="n">
        <x:v>-28.993562</x:v>
      </x:c>
      <x:c r="K692" s="41" t="n">
        <x:v>2863.849403</x:v>
      </x:c>
      <x:c r="L692" s="41" t="n">
        <x:f>IFERROR(I692/ABS(J692),"")</x:f>
        <x:v>0.454492483538242</x:v>
      </x:c>
      <x:c r="M692" s="41" t="n">
        <x:v>6.802475</x:v>
      </x:c>
      <x:c r="N692" s="41" t="n">
        <x:v>-56.473669</x:v>
      </x:c>
      <x:c r="O692" s="41" t="n">
        <x:v>506.057416</x:v>
      </x:c>
      <x:c r="P692" s="41" t="n">
        <x:f>IFERROR(M692/ABS(N692),"")</x:f>
        <x:v>0.12045392340278087</x:v>
      </x:c>
      <x:c r="Q692" s="41" t="str">
        <x:f>IF(L692&gt;=MAX(H692,P692),"Weekly",IF(H692&gt;=MAX(L692,P692),"No weekly","SPY"))</x:f>
        <x:v>Weekly</x:v>
      </x:c>
      <x:c r="R692" s="41" t="n">
        <x:f>IFERROR(L692-P692,"")</x:f>
        <x:v>0.3340385601354611</x:v>
      </x:c>
      <x:c r="S692" s="41" t="n">
        <x:f>IFERROR(H692-P692,"")</x:f>
        <x:v>0.29844013533644903</x:v>
      </x:c>
      <x:c r="T692" s="41" t="n">
        <x:f>IFERROR(I692-M692,"")</x:f>
        <x:v>6.374880999999999</x:v>
      </x:c>
      <x:c r="U692" s="41" t="n">
        <x:f>IFERROR(E692-M692,"")</x:f>
        <x:v>6.719651</x:v>
      </x:c>
      <x:c r="V692" s="41" t="str">
        <x:f>IF(AND(I692&gt;M692,J692&gt;N692),"Sí","No")</x:f>
        <x:v>Sí</x:v>
      </x:c>
      <x:c r="W692" s="41" t="str">
        <x:f>IF(AND(E692&gt;M692,F692&gt;N692),"Sí","No")</x:f>
        <x:v>Sí</x:v>
      </x:c>
      <x:c r="X692" s="41" t="str">
        <x:f>IF(L692&gt;=H692,"Weekly","No weekly")</x:f>
        <x:v>Weekly</x:v>
      </x:c>
      <x:c r="Y692" s="41" t="n">
        <x:f>IFERROR(I692-E692,"")</x:f>
        <x:v>-0.34477000000000046</x:v>
      </x:c>
      <x:c r="Z692" s="41" t="n">
        <x:f>IFERROR(J692-F692,"")</x:f>
        <x:v>3.2869769999999967</x:v>
      </x:c>
      <x:c r="AA692" s="41" t="n">
        <x:v>11963</x:v>
      </x:c>
      <x:c r="AB692" s="41" t="n">
        <x:v>5732</x:v>
      </x:c>
    </x:row>
    <x:row r="693">
      <x:c r="A693" s="41" t="str">
        <x:v>HYP_REFINE_AUTO002_TOPN_6_V1_DDGRID_LONG_R12_C22_E72_CR40_REDD_RECOVERED_DD7_SL22</x:v>
      </x:c>
      <x:c r="B693" s="41" t="str">
        <x:v>dd_guard_grid</x:v>
      </x:c>
      <x:c r="C693" s="41" t="str">
        <x:v>1999-01-04</x:v>
      </x:c>
      <x:c r="D693" s="41" t="str">
        <x:v>2026-05-22</x:v>
      </x:c>
      <x:c r="E693" s="41" t="n">
        <x:v>13.50683</x:v>
      </x:c>
      <x:c r="F693" s="41" t="n">
        <x:v>-33.158489</x:v>
      </x:c>
      <x:c r="G693" s="41" t="n">
        <x:v>3109.3724</x:v>
      </x:c>
      <x:c r="H693" s="41" t="n">
        <x:f>IFERROR(E693/ABS(F693),"")</x:f>
        <x:v>0.40734154080422663</x:v>
      </x:c>
      <x:c r="I693" s="41" t="n">
        <x:v>12.331643</x:v>
      </x:c>
      <x:c r="J693" s="41" t="n">
        <x:v>-28.860218</x:v>
      </x:c>
      <x:c r="K693" s="41" t="n">
        <x:v>2313.639452</x:v>
      </x:c>
      <x:c r="L693" s="41" t="n">
        <x:f>IFERROR(I693/ABS(J693),"")</x:f>
        <x:v>0.427288629628508</x:v>
      </x:c>
      <x:c r="M693" s="41" t="n">
        <x:v>6.802475</x:v>
      </x:c>
      <x:c r="N693" s="41" t="n">
        <x:v>-56.473669</x:v>
      </x:c>
      <x:c r="O693" s="41" t="n">
        <x:v>506.057416</x:v>
      </x:c>
      <x:c r="P693" s="41" t="n">
        <x:f>IFERROR(M693/ABS(N693),"")</x:f>
        <x:v>0.12045392340278087</x:v>
      </x:c>
      <x:c r="Q693" s="41" t="str">
        <x:f>IF(L693&gt;=MAX(H693,P693),"Weekly",IF(H693&gt;=MAX(L693,P693),"No weekly","SPY"))</x:f>
        <x:v>Weekly</x:v>
      </x:c>
      <x:c r="R693" s="41" t="n">
        <x:f>IFERROR(L693-P693,"")</x:f>
        <x:v>0.3068347062257271</x:v>
      </x:c>
      <x:c r="S693" s="41" t="n">
        <x:f>IFERROR(H693-P693,"")</x:f>
        <x:v>0.28688761740144575</x:v>
      </x:c>
      <x:c r="T693" s="41" t="n">
        <x:f>IFERROR(I693-M693,"")</x:f>
        <x:v>5.529167999999999</x:v>
      </x:c>
      <x:c r="U693" s="41" t="n">
        <x:f>IFERROR(E693-M693,"")</x:f>
        <x:v>6.7043550000000005</x:v>
      </x:c>
      <x:c r="V693" s="41" t="str">
        <x:f>IF(AND(I693&gt;M693,J693&gt;N693),"Sí","No")</x:f>
        <x:v>Sí</x:v>
      </x:c>
      <x:c r="W693" s="41" t="str">
        <x:f>IF(AND(E693&gt;M693,F693&gt;N693),"Sí","No")</x:f>
        <x:v>Sí</x:v>
      </x:c>
      <x:c r="X693" s="41" t="str">
        <x:f>IF(L693&gt;=H693,"Weekly","No weekly")</x:f>
        <x:v>Weekly</x:v>
      </x:c>
      <x:c r="Y693" s="41" t="n">
        <x:f>IFERROR(I693-E693,"")</x:f>
        <x:v>-1.175187000000001</x:v>
      </x:c>
      <x:c r="Z693" s="41" t="n">
        <x:f>IFERROR(J693-F693,"")</x:f>
        <x:v>4.298271000000003</x:v>
      </x:c>
      <x:c r="AA693" s="41" t="n">
        <x:v>12227</x:v>
      </x:c>
      <x:c r="AB693" s="41" t="n">
        <x:v>5665</x:v>
      </x:c>
    </x:row>
    <x:row r="694">
      <x:c r="A694" s="41" t="str">
        <x:v>HYP_REFINE_AUTO002_TOPN_6_V1_DDGRID_LONG_R12_C22_E72_CR40_REDD_RECOVERED_DD7_SL24</x:v>
      </x:c>
      <x:c r="B694" s="41" t="str">
        <x:v>dd_guard_grid</x:v>
      </x:c>
      <x:c r="C694" s="41" t="str">
        <x:v>1999-01-04</x:v>
      </x:c>
      <x:c r="D694" s="41" t="str">
        <x:v>2026-05-22</x:v>
      </x:c>
      <x:c r="E694" s="41" t="n">
        <x:v>11.236338</x:v>
      </x:c>
      <x:c r="F694" s="41" t="n">
        <x:v>-33.604945</x:v>
      </x:c>
      <x:c r="G694" s="41" t="n">
        <x:v>1745.71735</x:v>
      </x:c>
      <x:c r="H694" s="41" t="n">
        <x:f>IFERROR(E694/ABS(F694),"")</x:f>
        <x:v>0.33436561196573894</x:v>
      </x:c>
      <x:c r="I694" s="41" t="n">
        <x:v>12.616831</x:v>
      </x:c>
      <x:c r="J694" s="41" t="n">
        <x:v>-29.559499</x:v>
      </x:c>
      <x:c r="K694" s="41" t="n">
        <x:v>2487.14872</x:v>
      </x:c>
      <x:c r="L694" s="41" t="n">
        <x:f>IFERROR(I694/ABS(J694),"")</x:f>
        <x:v>0.4268283099114772</x:v>
      </x:c>
      <x:c r="M694" s="41" t="n">
        <x:v>6.802475</x:v>
      </x:c>
      <x:c r="N694" s="41" t="n">
        <x:v>-56.473669</x:v>
      </x:c>
      <x:c r="O694" s="41" t="n">
        <x:v>506.057416</x:v>
      </x:c>
      <x:c r="P694" s="41" t="n">
        <x:f>IFERROR(M694/ABS(N694),"")</x:f>
        <x:v>0.12045392340278087</x:v>
      </x:c>
      <x:c r="Q694" s="41" t="str">
        <x:f>IF(L694&gt;=MAX(H694,P694),"Weekly",IF(H694&gt;=MAX(L694,P694),"No weekly","SPY"))</x:f>
        <x:v>Weekly</x:v>
      </x:c>
      <x:c r="R694" s="41" t="n">
        <x:f>IFERROR(L694-P694,"")</x:f>
        <x:v>0.3063743865086963</x:v>
      </x:c>
      <x:c r="S694" s="41" t="n">
        <x:f>IFERROR(H694-P694,"")</x:f>
        <x:v>0.21391168856295806</x:v>
      </x:c>
      <x:c r="T694" s="41" t="n">
        <x:f>IFERROR(I694-M694,"")</x:f>
        <x:v>5.814355999999999</x:v>
      </x:c>
      <x:c r="U694" s="41" t="n">
        <x:f>IFERROR(E694-M694,"")</x:f>
        <x:v>4.433863</x:v>
      </x:c>
      <x:c r="V694" s="41" t="str">
        <x:f>IF(AND(I694&gt;M694,J694&gt;N694),"Sí","No")</x:f>
        <x:v>Sí</x:v>
      </x:c>
      <x:c r="W694" s="41" t="str">
        <x:f>IF(AND(E694&gt;M694,F694&gt;N694),"Sí","No")</x:f>
        <x:v>Sí</x:v>
      </x:c>
      <x:c r="X694" s="41" t="str">
        <x:f>IF(L694&gt;=H694,"Weekly","No weekly")</x:f>
        <x:v>Weekly</x:v>
      </x:c>
      <x:c r="Y694" s="41" t="n">
        <x:f>IFERROR(I694-E694,"")</x:f>
        <x:v>1.3804929999999995</x:v>
      </x:c>
      <x:c r="Z694" s="41" t="n">
        <x:f>IFERROR(J694-F694,"")</x:f>
        <x:v>4.045446000000002</x:v>
      </x:c>
      <x:c r="AA694" s="41" t="n">
        <x:v>12291</x:v>
      </x:c>
      <x:c r="AB694" s="41" t="n">
        <x:v>5985</x:v>
      </x:c>
    </x:row>
    <x:row r="695">
      <x:c r="A695" s="41" t="str">
        <x:v>HYP_REFINE_AUTO002_TOPN_6_V1_DDGRID_LONG_R12_C22_E72_CR40_REDD_RECOVERED_DD7_SLNONE</x:v>
      </x:c>
      <x:c r="B695" s="41" t="str">
        <x:v>dd_guard_grid</x:v>
      </x:c>
      <x:c r="C695" s="41" t="str">
        <x:v>1999-01-04</x:v>
      </x:c>
      <x:c r="D695" s="41" t="str">
        <x:v>2026-05-22</x:v>
      </x:c>
      <x:c r="E695" s="41" t="n">
        <x:v>12.441445</x:v>
      </x:c>
      <x:c r="F695" s="41" t="n">
        <x:v>-33.639479</x:v>
      </x:c>
      <x:c r="G695" s="41" t="n">
        <x:v>2379.07344</x:v>
      </x:c>
      <x:c r="H695" s="41" t="n">
        <x:f>IFERROR(E695/ABS(F695),"")</x:f>
        <x:v>0.3698465425103641</x:v>
      </x:c>
      <x:c r="I695" s="41" t="n">
        <x:v>13.029628</x:v>
      </x:c>
      <x:c r="J695" s="41" t="n">
        <x:v>-28.386995</x:v>
      </x:c>
      <x:c r="K695" s="41" t="n">
        <x:v>2759.734975</x:v>
      </x:c>
      <x:c r="L695" s="41" t="n">
        <x:f>IFERROR(I695/ABS(J695),"")</x:f>
        <x:v>0.45899990470988566</x:v>
      </x:c>
      <x:c r="M695" s="41" t="n">
        <x:v>6.802475</x:v>
      </x:c>
      <x:c r="N695" s="41" t="n">
        <x:v>-56.473669</x:v>
      </x:c>
      <x:c r="O695" s="41" t="n">
        <x:v>506.057416</x:v>
      </x:c>
      <x:c r="P695" s="41" t="n">
        <x:f>IFERROR(M695/ABS(N695),"")</x:f>
        <x:v>0.12045392340278087</x:v>
      </x:c>
      <x:c r="Q695" s="41" t="str">
        <x:f>IF(L695&gt;=MAX(H695,P695),"Weekly",IF(H695&gt;=MAX(L695,P695),"No weekly","SPY"))</x:f>
        <x:v>Weekly</x:v>
      </x:c>
      <x:c r="R695" s="41" t="n">
        <x:f>IFERROR(L695-P695,"")</x:f>
        <x:v>0.3385459813071048</x:v>
      </x:c>
      <x:c r="S695" s="41" t="n">
        <x:f>IFERROR(H695-P695,"")</x:f>
        <x:v>0.2493926191075832</x:v>
      </x:c>
      <x:c r="T695" s="41" t="n">
        <x:f>IFERROR(I695-M695,"")</x:f>
        <x:v>6.227153</x:v>
      </x:c>
      <x:c r="U695" s="41" t="n">
        <x:f>IFERROR(E695-M695,"")</x:f>
        <x:v>5.63897</x:v>
      </x:c>
      <x:c r="V695" s="41" t="str">
        <x:f>IF(AND(I695&gt;M695,J695&gt;N695),"Sí","No")</x:f>
        <x:v>Sí</x:v>
      </x:c>
      <x:c r="W695" s="41" t="str">
        <x:f>IF(AND(E695&gt;M695,F695&gt;N695),"Sí","No")</x:f>
        <x:v>Sí</x:v>
      </x:c>
      <x:c r="X695" s="41" t="str">
        <x:f>IF(L695&gt;=H695,"Weekly","No weekly")</x:f>
        <x:v>Weekly</x:v>
      </x:c>
      <x:c r="Y695" s="41" t="n">
        <x:f>IFERROR(I695-E695,"")</x:f>
        <x:v>0.5881830000000008</x:v>
      </x:c>
      <x:c r="Z695" s="41" t="n">
        <x:f>IFERROR(J695-F695,"")</x:f>
        <x:v>5.252484000000003</x:v>
      </x:c>
      <x:c r="AA695" s="41" t="n">
        <x:v>12265</x:v>
      </x:c>
      <x:c r="AB695" s="41" t="n">
        <x:v>6407</x:v>
      </x:c>
    </x:row>
    <x:row r="696">
      <x:c r="A696" s="41" t="str">
        <x:v>HYP_REFINE_AUTO002_TOPN_6_V1_DDGRID_LONG_R12_C22_E72_CR40_REDD_RECOVERED_DD8_SL18</x:v>
      </x:c>
      <x:c r="B696" s="41" t="str">
        <x:v>dd_guard_grid</x:v>
      </x:c>
      <x:c r="C696" s="41" t="str">
        <x:v>1999-01-04</x:v>
      </x:c>
      <x:c r="D696" s="41" t="str">
        <x:v>2026-05-22</x:v>
      </x:c>
      <x:c r="E696" s="41" t="n">
        <x:v>13.213338</x:v>
      </x:c>
      <x:c r="F696" s="41" t="n">
        <x:v>-31.681999</x:v>
      </x:c>
      <x:c r="G696" s="41" t="n">
        <x:v>2889.756221</x:v>
      </x:c>
      <x:c r="H696" s="41" t="n">
        <x:f>IFERROR(E696/ABS(F696),"")</x:f>
        <x:v>0.41706137292662626</x:v>
      </x:c>
      <x:c r="I696" s="41" t="n">
        <x:v>12.262527</x:v>
      </x:c>
      <x:c r="J696" s="41" t="n">
        <x:v>-29.375561</x:v>
      </x:c>
      <x:c r="K696" s="41" t="n">
        <x:v>2273.308643</x:v>
      </x:c>
      <x:c r="L696" s="41" t="n">
        <x:f>IFERROR(I696/ABS(J696),"")</x:f>
        <x:v>0.4174397554484151</x:v>
      </x:c>
      <x:c r="M696" s="41" t="n">
        <x:v>6.802475</x:v>
      </x:c>
      <x:c r="N696" s="41" t="n">
        <x:v>-56.473669</x:v>
      </x:c>
      <x:c r="O696" s="41" t="n">
        <x:v>506.057416</x:v>
      </x:c>
      <x:c r="P696" s="41" t="n">
        <x:f>IFERROR(M696/ABS(N696),"")</x:f>
        <x:v>0.12045392340278087</x:v>
      </x:c>
      <x:c r="Q696" s="41" t="str">
        <x:f>IF(L696&gt;=MAX(H696,P696),"Weekly",IF(H696&gt;=MAX(L696,P696),"No weekly","SPY"))</x:f>
        <x:v>Weekly</x:v>
      </x:c>
      <x:c r="R696" s="41" t="n">
        <x:f>IFERROR(L696-P696,"")</x:f>
        <x:v>0.2969858320456342</x:v>
      </x:c>
      <x:c r="S696" s="41" t="n">
        <x:f>IFERROR(H696-P696,"")</x:f>
        <x:v>0.2966074495238454</x:v>
      </x:c>
      <x:c r="T696" s="41" t="n">
        <x:f>IFERROR(I696-M696,"")</x:f>
        <x:v>5.460052</x:v>
      </x:c>
      <x:c r="U696" s="41" t="n">
        <x:f>IFERROR(E696-M696,"")</x:f>
        <x:v>6.410863</x:v>
      </x:c>
      <x:c r="V696" s="41" t="str">
        <x:f>IF(AND(I696&gt;M696,J696&gt;N696),"Sí","No")</x:f>
        <x:v>Sí</x:v>
      </x:c>
      <x:c r="W696" s="41" t="str">
        <x:f>IF(AND(E696&gt;M696,F696&gt;N696),"Sí","No")</x:f>
        <x:v>Sí</x:v>
      </x:c>
      <x:c r="X696" s="41" t="str">
        <x:f>IF(L696&gt;=H696,"Weekly","No weekly")</x:f>
        <x:v>Weekly</x:v>
      </x:c>
      <x:c r="Y696" s="41" t="n">
        <x:f>IFERROR(I696-E696,"")</x:f>
        <x:v>-0.9508109999999999</x:v>
      </x:c>
      <x:c r="Z696" s="41" t="n">
        <x:f>IFERROR(J696-F696,"")</x:f>
        <x:v>2.306438</x:v>
      </x:c>
      <x:c r="AA696" s="41" t="n">
        <x:v>11850</x:v>
      </x:c>
      <x:c r="AB696" s="41" t="n">
        <x:v>5669</x:v>
      </x:c>
    </x:row>
    <x:row r="697">
      <x:c r="A697" s="41" t="str">
        <x:v>HYP_REFINE_AUTO002_TOPN_6_V1_DDGRID_LONG_R12_C22_E72_CR40_REDD_RECOVERED_DD8_SL20</x:v>
      </x:c>
      <x:c r="B697" s="41" t="str">
        <x:v>dd_guard_grid</x:v>
      </x:c>
      <x:c r="C697" s="41" t="str">
        <x:v>1999-01-04</x:v>
      </x:c>
      <x:c r="D697" s="41" t="str">
        <x:v>2026-05-22</x:v>
      </x:c>
      <x:c r="E697" s="41" t="n">
        <x:v>12.255773</x:v>
      </x:c>
      <x:c r="F697" s="41" t="n">
        <x:v>-32.360236</x:v>
      </x:c>
      <x:c r="G697" s="41" t="n">
        <x:v>2269.402446</x:v>
      </x:c>
      <x:c r="H697" s="41" t="n">
        <x:f>IFERROR(E697/ABS(F697),"")</x:f>
        <x:v>0.3787294072886242</x:v>
      </x:c>
      <x:c r="I697" s="41" t="n">
        <x:v>13.435197</x:v>
      </x:c>
      <x:c r="J697" s="41" t="n">
        <x:v>-28.993562</x:v>
      </x:c>
      <x:c r="K697" s="41" t="n">
        <x:v>3054.378955</x:v>
      </x:c>
      <x:c r="L697" s="41" t="n">
        <x:f>IFERROR(I697/ABS(J697),"")</x:f>
        <x:v>0.46338552675935435</x:v>
      </x:c>
      <x:c r="M697" s="41" t="n">
        <x:v>6.802475</x:v>
      </x:c>
      <x:c r="N697" s="41" t="n">
        <x:v>-56.473669</x:v>
      </x:c>
      <x:c r="O697" s="41" t="n">
        <x:v>506.057416</x:v>
      </x:c>
      <x:c r="P697" s="41" t="n">
        <x:f>IFERROR(M697/ABS(N697),"")</x:f>
        <x:v>0.12045392340278087</x:v>
      </x:c>
      <x:c r="Q697" s="41" t="str">
        <x:f>IF(L697&gt;=MAX(H697,P697),"Weekly",IF(H697&gt;=MAX(L697,P697),"No weekly","SPY"))</x:f>
        <x:v>Weekly</x:v>
      </x:c>
      <x:c r="R697" s="41" t="n">
        <x:f>IFERROR(L697-P697,"")</x:f>
        <x:v>0.34293160335657347</x:v>
      </x:c>
      <x:c r="S697" s="41" t="n">
        <x:f>IFERROR(H697-P697,"")</x:f>
        <x:v>0.2582754838858433</x:v>
      </x:c>
      <x:c r="T697" s="41" t="n">
        <x:f>IFERROR(I697-M697,"")</x:f>
        <x:v>6.632722</x:v>
      </x:c>
      <x:c r="U697" s="41" t="n">
        <x:f>IFERROR(E697-M697,"")</x:f>
        <x:v>5.453297999999999</x:v>
      </x:c>
      <x:c r="V697" s="41" t="str">
        <x:f>IF(AND(I697&gt;M697,J697&gt;N697),"Sí","No")</x:f>
        <x:v>Sí</x:v>
      </x:c>
      <x:c r="W697" s="41" t="str">
        <x:f>IF(AND(E697&gt;M697,F697&gt;N697),"Sí","No")</x:f>
        <x:v>Sí</x:v>
      </x:c>
      <x:c r="X697" s="41" t="str">
        <x:f>IF(L697&gt;=H697,"Weekly","No weekly")</x:f>
        <x:v>Weekly</x:v>
      </x:c>
      <x:c r="Y697" s="41" t="n">
        <x:f>IFERROR(I697-E697,"")</x:f>
        <x:v>1.179424000000001</x:v>
      </x:c>
      <x:c r="Z697" s="41" t="n">
        <x:f>IFERROR(J697-F697,"")</x:f>
        <x:v>3.3666739999999997</x:v>
      </x:c>
      <x:c r="AA697" s="41" t="n">
        <x:v>11754</x:v>
      </x:c>
      <x:c r="AB697" s="41" t="n">
        <x:v>5888</x:v>
      </x:c>
    </x:row>
    <x:row r="698">
      <x:c r="A698" s="41" t="str">
        <x:v>HYP_REFINE_AUTO002_TOPN_6_V1_DDGRID_LONG_R12_C22_E72_CR40_REDD_RECOVERED_DD8_SL22</x:v>
      </x:c>
      <x:c r="B698" s="41" t="str">
        <x:v>dd_guard_grid</x:v>
      </x:c>
      <x:c r="C698" s="41" t="str">
        <x:v>1999-01-04</x:v>
      </x:c>
      <x:c r="D698" s="41" t="str">
        <x:v>2026-05-22</x:v>
      </x:c>
      <x:c r="E698" s="41" t="n">
        <x:v>12.098156</x:v>
      </x:c>
      <x:c r="F698" s="41" t="n">
        <x:v>-33.158489</x:v>
      </x:c>
      <x:c r="G698" s="41" t="n">
        <x:v>2179.985442</x:v>
      </x:c>
      <x:c r="H698" s="41" t="n">
        <x:f>IFERROR(E698/ABS(F698),"")</x:f>
        <x:v>0.36485848314740754</x:v>
      </x:c>
      <x:c r="I698" s="41" t="n">
        <x:v>12.784283</x:v>
      </x:c>
      <x:c r="J698" s="41" t="n">
        <x:v>-28.860218</x:v>
      </x:c>
      <x:c r="K698" s="41" t="n">
        <x:v>2594.562668</x:v>
      </x:c>
      <x:c r="L698" s="41" t="n">
        <x:f>IFERROR(I698/ABS(J698),"")</x:f>
        <x:v>0.4429725028411081</x:v>
      </x:c>
      <x:c r="M698" s="41" t="n">
        <x:v>6.802475</x:v>
      </x:c>
      <x:c r="N698" s="41" t="n">
        <x:v>-56.473669</x:v>
      </x:c>
      <x:c r="O698" s="41" t="n">
        <x:v>506.057416</x:v>
      </x:c>
      <x:c r="P698" s="41" t="n">
        <x:f>IFERROR(M698/ABS(N698),"")</x:f>
        <x:v>0.12045392340278087</x:v>
      </x:c>
      <x:c r="Q698" s="41" t="str">
        <x:f>IF(L698&gt;=MAX(H698,P698),"Weekly",IF(H698&gt;=MAX(L698,P698),"No weekly","SPY"))</x:f>
        <x:v>Weekly</x:v>
      </x:c>
      <x:c r="R698" s="41" t="n">
        <x:f>IFERROR(L698-P698,"")</x:f>
        <x:v>0.32251857943832724</x:v>
      </x:c>
      <x:c r="S698" s="41" t="n">
        <x:f>IFERROR(H698-P698,"")</x:f>
        <x:v>0.24440455974462666</x:v>
      </x:c>
      <x:c r="T698" s="41" t="n">
        <x:f>IFERROR(I698-M698,"")</x:f>
        <x:v>5.981808</x:v>
      </x:c>
      <x:c r="U698" s="41" t="n">
        <x:f>IFERROR(E698-M698,"")</x:f>
        <x:v>5.295680999999999</x:v>
      </x:c>
      <x:c r="V698" s="41" t="str">
        <x:f>IF(AND(I698&gt;M698,J698&gt;N698),"Sí","No")</x:f>
        <x:v>Sí</x:v>
      </x:c>
      <x:c r="W698" s="41" t="str">
        <x:f>IF(AND(E698&gt;M698,F698&gt;N698),"Sí","No")</x:f>
        <x:v>Sí</x:v>
      </x:c>
      <x:c r="X698" s="41" t="str">
        <x:f>IF(L698&gt;=H698,"Weekly","No weekly")</x:f>
        <x:v>Weekly</x:v>
      </x:c>
      <x:c r="Y698" s="41" t="n">
        <x:f>IFERROR(I698-E698,"")</x:f>
        <x:v>0.6861270000000008</x:v>
      </x:c>
      <x:c r="Z698" s="41" t="n">
        <x:f>IFERROR(J698-F698,"")</x:f>
        <x:v>4.298271000000003</x:v>
      </x:c>
      <x:c r="AA698" s="41" t="n">
        <x:v>12043</x:v>
      </x:c>
      <x:c r="AB698" s="41" t="n">
        <x:v>5763</x:v>
      </x:c>
    </x:row>
    <x:row r="699">
      <x:c r="A699" s="41" t="str">
        <x:v>HYP_REFINE_AUTO002_TOPN_6_V1_DDGRID_LONG_R12_C22_E72_CR40_REDD_RECOVERED_DD8_SL24</x:v>
      </x:c>
      <x:c r="B699" s="41" t="str">
        <x:v>dd_guard_grid</x:v>
      </x:c>
      <x:c r="C699" s="41" t="str">
        <x:v>1999-01-04</x:v>
      </x:c>
      <x:c r="D699" s="41" t="str">
        <x:v>2026-05-22</x:v>
      </x:c>
      <x:c r="E699" s="41" t="n">
        <x:v>12.840288</x:v>
      </x:c>
      <x:c r="F699" s="41" t="n">
        <x:v>-33.604945</x:v>
      </x:c>
      <x:c r="G699" s="41" t="n">
        <x:v>2631.436627</x:v>
      </x:c>
      <x:c r="H699" s="41" t="n">
        <x:f>IFERROR(E699/ABS(F699),"")</x:f>
        <x:v>0.3820951946209107</x:v>
      </x:c>
      <x:c r="I699" s="41" t="n">
        <x:v>12.988766</x:v>
      </x:c>
      <x:c r="J699" s="41" t="n">
        <x:v>-29.559499</x:v>
      </x:c>
      <x:c r="K699" s="41" t="n">
        <x:v>2731.56422</x:v>
      </x:c>
      <x:c r="L699" s="41" t="n">
        <x:f>IFERROR(I699/ABS(J699),"")</x:f>
        <x:v>0.43941089799932</x:v>
      </x:c>
      <x:c r="M699" s="41" t="n">
        <x:v>6.802475</x:v>
      </x:c>
      <x:c r="N699" s="41" t="n">
        <x:v>-56.473669</x:v>
      </x:c>
      <x:c r="O699" s="41" t="n">
        <x:v>506.057416</x:v>
      </x:c>
      <x:c r="P699" s="41" t="n">
        <x:f>IFERROR(M699/ABS(N699),"")</x:f>
        <x:v>0.12045392340278087</x:v>
      </x:c>
      <x:c r="Q699" s="41" t="str">
        <x:f>IF(L699&gt;=MAX(H699,P699),"Weekly",IF(H699&gt;=MAX(L699,P699),"No weekly","SPY"))</x:f>
        <x:v>Weekly</x:v>
      </x:c>
      <x:c r="R699" s="41" t="n">
        <x:f>IFERROR(L699-P699,"")</x:f>
        <x:v>0.3189569745965391</x:v>
      </x:c>
      <x:c r="S699" s="41" t="n">
        <x:f>IFERROR(H699-P699,"")</x:f>
        <x:v>0.2616412712181298</x:v>
      </x:c>
      <x:c r="T699" s="41" t="n">
        <x:f>IFERROR(I699-M699,"")</x:f>
        <x:v>6.186291</x:v>
      </x:c>
      <x:c r="U699" s="41" t="n">
        <x:f>IFERROR(E699-M699,"")</x:f>
        <x:v>6.037812999999999</x:v>
      </x:c>
      <x:c r="V699" s="41" t="str">
        <x:f>IF(AND(I699&gt;M699,J699&gt;N699),"Sí","No")</x:f>
        <x:v>Sí</x:v>
      </x:c>
      <x:c r="W699" s="41" t="str">
        <x:f>IF(AND(E699&gt;M699,F699&gt;N699),"Sí","No")</x:f>
        <x:v>Sí</x:v>
      </x:c>
      <x:c r="X699" s="41" t="str">
        <x:f>IF(L699&gt;=H699,"Weekly","No weekly")</x:f>
        <x:v>Weekly</x:v>
      </x:c>
      <x:c r="Y699" s="41" t="n">
        <x:f>IFERROR(I699-E699,"")</x:f>
        <x:v>0.14847800000000078</x:v>
      </x:c>
      <x:c r="Z699" s="41" t="n">
        <x:f>IFERROR(J699-F699,"")</x:f>
        <x:v>4.045446000000002</x:v>
      </x:c>
      <x:c r="AA699" s="41" t="n">
        <x:v>12113</x:v>
      </x:c>
      <x:c r="AB699" s="41" t="n">
        <x:v>5622</x:v>
      </x:c>
    </x:row>
    <x:row r="700">
      <x:c r="A700" s="41" t="str">
        <x:v>HYP_REFINE_AUTO002_TOPN_6_V1_DDGRID_LONG_R12_C22_E72_CR40_REDD_RECOVERED_DD8_SLNONE</x:v>
      </x:c>
      <x:c r="B700" s="41" t="str">
        <x:v>dd_guard_grid</x:v>
      </x:c>
      <x:c r="C700" s="41" t="str">
        <x:v>1999-01-04</x:v>
      </x:c>
      <x:c r="D700" s="41" t="str">
        <x:v>2026-05-22</x:v>
      </x:c>
      <x:c r="E700" s="41" t="n">
        <x:v>12.503601</x:v>
      </x:c>
      <x:c r="F700" s="41" t="n">
        <x:v>-33.639479</x:v>
      </x:c>
      <x:c r="G700" s="41" t="n">
        <x:v>2416.867386</x:v>
      </x:c>
      <x:c r="H700" s="41" t="n">
        <x:f>IFERROR(E700/ABS(F700),"")</x:f>
        <x:v>0.37169425245854726</x:v>
      </x:c>
      <x:c r="I700" s="41" t="n">
        <x:v>13.554134</x:v>
      </x:c>
      <x:c r="J700" s="41" t="n">
        <x:v>-28.386995</x:v>
      </x:c>
      <x:c r="K700" s="41" t="n">
        <x:v>3146.193557</x:v>
      </x:c>
      <x:c r="L700" s="41" t="n">
        <x:f>IFERROR(I700/ABS(J700),"")</x:f>
        <x:v>0.47747688686315687</x:v>
      </x:c>
      <x:c r="M700" s="41" t="n">
        <x:v>6.802475</x:v>
      </x:c>
      <x:c r="N700" s="41" t="n">
        <x:v>-56.473669</x:v>
      </x:c>
      <x:c r="O700" s="41" t="n">
        <x:v>506.057416</x:v>
      </x:c>
      <x:c r="P700" s="41" t="n">
        <x:f>IFERROR(M700/ABS(N700),"")</x:f>
        <x:v>0.12045392340278087</x:v>
      </x:c>
      <x:c r="Q700" s="41" t="str">
        <x:f>IF(L700&gt;=MAX(H700,P700),"Weekly",IF(H700&gt;=MAX(L700,P700),"No weekly","SPY"))</x:f>
        <x:v>Weekly</x:v>
      </x:c>
      <x:c r="R700" s="41" t="n">
        <x:f>IFERROR(L700-P700,"")</x:f>
        <x:v>0.357022963460376</x:v>
      </x:c>
      <x:c r="S700" s="41" t="n">
        <x:f>IFERROR(H700-P700,"")</x:f>
        <x:v>0.2512403290557664</x:v>
      </x:c>
      <x:c r="T700" s="41" t="n">
        <x:f>IFERROR(I700-M700,"")</x:f>
        <x:v>6.751658999999999</x:v>
      </x:c>
      <x:c r="U700" s="41" t="n">
        <x:f>IFERROR(E700-M700,"")</x:f>
        <x:v>5.7011259999999995</x:v>
      </x:c>
      <x:c r="V700" s="41" t="str">
        <x:f>IF(AND(I700&gt;M700,J700&gt;N700),"Sí","No")</x:f>
        <x:v>Sí</x:v>
      </x:c>
      <x:c r="W700" s="41" t="str">
        <x:f>IF(AND(E700&gt;M700,F700&gt;N700),"Sí","No")</x:f>
        <x:v>Sí</x:v>
      </x:c>
      <x:c r="X700" s="41" t="str">
        <x:f>IF(L700&gt;=H700,"Weekly","No weekly")</x:f>
        <x:v>Weekly</x:v>
      </x:c>
      <x:c r="Y700" s="41" t="n">
        <x:f>IFERROR(I700-E700,"")</x:f>
        <x:v>1.0505329999999997</x:v>
      </x:c>
      <x:c r="Z700" s="41" t="n">
        <x:f>IFERROR(J700-F700,"")</x:f>
        <x:v>5.252484000000003</x:v>
      </x:c>
      <x:c r="AA700" s="41" t="n">
        <x:v>11858</x:v>
      </x:c>
      <x:c r="AB700" s="41" t="n">
        <x:v>6179</x:v>
      </x:c>
    </x:row>
    <x:row r="701">
      <x:c r="A701" s="41" t="str">
        <x:v>HYP_REFINE_AUTO002_TOPN_6_V1_DDGRID_LONG_R12_C22_E72_CR40_REDD_RECOVERED_DD9_SL18</x:v>
      </x:c>
      <x:c r="B701" s="41" t="str">
        <x:v>dd_guard_grid</x:v>
      </x:c>
      <x:c r="C701" s="41" t="str">
        <x:v>1999-01-04</x:v>
      </x:c>
      <x:c r="D701" s="41" t="str">
        <x:v>2026-05-22</x:v>
      </x:c>
      <x:c r="E701" s="41" t="n">
        <x:v>12.89686</x:v>
      </x:c>
      <x:c r="F701" s="41" t="n">
        <x:v>-31.678816</x:v>
      </x:c>
      <x:c r="G701" s="41" t="n">
        <x:v>2669.17734</x:v>
      </x:c>
      <x:c r="H701" s="41" t="n">
        <x:f>IFERROR(E701/ABS(F701),"")</x:f>
        <x:v>0.407113068872271</x:v>
      </x:c>
      <x:c r="I701" s="41" t="n">
        <x:v>12.15502</x:v>
      </x:c>
      <x:c r="J701" s="41" t="n">
        <x:v>-29.375561</x:v>
      </x:c>
      <x:c r="K701" s="41" t="n">
        <x:v>2211.862974</x:v>
      </x:c>
      <x:c r="L701" s="41" t="n">
        <x:f>IFERROR(I701/ABS(J701),"")</x:f>
        <x:v>0.4137800125757598</x:v>
      </x:c>
      <x:c r="M701" s="41" t="n">
        <x:v>6.802475</x:v>
      </x:c>
      <x:c r="N701" s="41" t="n">
        <x:v>-56.473669</x:v>
      </x:c>
      <x:c r="O701" s="41" t="n">
        <x:v>506.057416</x:v>
      </x:c>
      <x:c r="P701" s="41" t="n">
        <x:f>IFERROR(M701/ABS(N701),"")</x:f>
        <x:v>0.12045392340278087</x:v>
      </x:c>
      <x:c r="Q701" s="41" t="str">
        <x:f>IF(L701&gt;=MAX(H701,P701),"Weekly",IF(H701&gt;=MAX(L701,P701),"No weekly","SPY"))</x:f>
        <x:v>Weekly</x:v>
      </x:c>
      <x:c r="R701" s="41" t="n">
        <x:f>IFERROR(L701-P701,"")</x:f>
        <x:v>0.2933260891729789</x:v>
      </x:c>
      <x:c r="S701" s="41" t="n">
        <x:f>IFERROR(H701-P701,"")</x:f>
        <x:v>0.2866591454694901</x:v>
      </x:c>
      <x:c r="T701" s="41" t="n">
        <x:f>IFERROR(I701-M701,"")</x:f>
        <x:v>5.352545</x:v>
      </x:c>
      <x:c r="U701" s="41" t="n">
        <x:f>IFERROR(E701-M701,"")</x:f>
        <x:v>6.094385</x:v>
      </x:c>
      <x:c r="V701" s="41" t="str">
        <x:f>IF(AND(I701&gt;M701,J701&gt;N701),"Sí","No")</x:f>
        <x:v>Sí</x:v>
      </x:c>
      <x:c r="W701" s="41" t="str">
        <x:f>IF(AND(E701&gt;M701,F701&gt;N701),"Sí","No")</x:f>
        <x:v>Sí</x:v>
      </x:c>
      <x:c r="X701" s="41" t="str">
        <x:f>IF(L701&gt;=H701,"Weekly","No weekly")</x:f>
        <x:v>Weekly</x:v>
      </x:c>
      <x:c r="Y701" s="41" t="n">
        <x:f>IFERROR(I701-E701,"")</x:f>
        <x:v>-0.7418399999999998</x:v>
      </x:c>
      <x:c r="Z701" s="41" t="n">
        <x:f>IFERROR(J701-F701,"")</x:f>
        <x:v>2.303255</x:v>
      </x:c>
      <x:c r="AA701" s="41" t="n">
        <x:v>11644</x:v>
      </x:c>
      <x:c r="AB701" s="41" t="n">
        <x:v>5504</x:v>
      </x:c>
    </x:row>
    <x:row r="702">
      <x:c r="A702" s="41" t="str">
        <x:v>HYP_REFINE_AUTO002_TOPN_6_V1_DDGRID_LONG_R12_C22_E72_CR40_REDD_RECOVERED_DD9_SL20</x:v>
      </x:c>
      <x:c r="B702" s="41" t="str">
        <x:v>dd_guard_grid</x:v>
      </x:c>
      <x:c r="C702" s="41" t="str">
        <x:v>1999-01-04</x:v>
      </x:c>
      <x:c r="D702" s="41" t="str">
        <x:v>2026-05-22</x:v>
      </x:c>
      <x:c r="E702" s="41" t="n">
        <x:v>12.014243</x:v>
      </x:c>
      <x:c r="F702" s="41" t="n">
        <x:v>-32.362247</x:v>
      </x:c>
      <x:c r="G702" s="41" t="n">
        <x:v>2133.716507</x:v>
      </x:c>
      <x:c r="H702" s="41" t="n">
        <x:f>IFERROR(E702/ABS(F702),"")</x:f>
        <x:v>0.3712425469096753</x:v>
      </x:c>
      <x:c r="I702" s="41" t="n">
        <x:v>13.334366</x:v>
      </x:c>
      <x:c r="J702" s="41" t="n">
        <x:v>-28.993562</x:v>
      </x:c>
      <x:c r="K702" s="41" t="n">
        <x:v>2978.506059</x:v>
      </x:c>
      <x:c r="L702" s="41" t="n">
        <x:f>IFERROR(I702/ABS(J702),"")</x:f>
        <x:v>0.4599078236747868</x:v>
      </x:c>
      <x:c r="M702" s="41" t="n">
        <x:v>6.802475</x:v>
      </x:c>
      <x:c r="N702" s="41" t="n">
        <x:v>-56.473669</x:v>
      </x:c>
      <x:c r="O702" s="41" t="n">
        <x:v>506.057416</x:v>
      </x:c>
      <x:c r="P702" s="41" t="n">
        <x:f>IFERROR(M702/ABS(N702),"")</x:f>
        <x:v>0.12045392340278087</x:v>
      </x:c>
      <x:c r="Q702" s="41" t="str">
        <x:f>IF(L702&gt;=MAX(H702,P702),"Weekly",IF(H702&gt;=MAX(L702,P702),"No weekly","SPY"))</x:f>
        <x:v>Weekly</x:v>
      </x:c>
      <x:c r="R702" s="41" t="n">
        <x:f>IFERROR(L702-P702,"")</x:f>
        <x:v>0.3394539002720059</x:v>
      </x:c>
      <x:c r="S702" s="41" t="n">
        <x:f>IFERROR(H702-P702,"")</x:f>
        <x:v>0.2507886235068944</x:v>
      </x:c>
      <x:c r="T702" s="41" t="n">
        <x:f>IFERROR(I702-M702,"")</x:f>
        <x:v>6.531890999999999</x:v>
      </x:c>
      <x:c r="U702" s="41" t="n">
        <x:f>IFERROR(E702-M702,"")</x:f>
        <x:v>5.211768</x:v>
      </x:c>
      <x:c r="V702" s="41" t="str">
        <x:f>IF(AND(I702&gt;M702,J702&gt;N702),"Sí","No")</x:f>
        <x:v>Sí</x:v>
      </x:c>
      <x:c r="W702" s="41" t="str">
        <x:f>IF(AND(E702&gt;M702,F702&gt;N702),"Sí","No")</x:f>
        <x:v>Sí</x:v>
      </x:c>
      <x:c r="X702" s="41" t="str">
        <x:f>IF(L702&gt;=H702,"Weekly","No weekly")</x:f>
        <x:v>Weekly</x:v>
      </x:c>
      <x:c r="Y702" s="41" t="n">
        <x:f>IFERROR(I702-E702,"")</x:f>
        <x:v>1.3201229999999988</x:v>
      </x:c>
      <x:c r="Z702" s="41" t="n">
        <x:f>IFERROR(J702-F702,"")</x:f>
        <x:v>3.368685000000003</x:v>
      </x:c>
      <x:c r="AA702" s="41" t="n">
        <x:v>11458</x:v>
      </x:c>
      <x:c r="AB702" s="41" t="n">
        <x:v>5763</x:v>
      </x:c>
    </x:row>
    <x:row r="703">
      <x:c r="A703" s="41" t="str">
        <x:v>HYP_REFINE_AUTO002_TOPN_6_V1_DDGRID_LONG_R12_C22_E72_CR42_REDD_RECOVERED_DD7_SL18</x:v>
      </x:c>
      <x:c r="B703" s="41" t="str">
        <x:v>dd_guard_grid</x:v>
      </x:c>
      <x:c r="C703" s="41" t="str">
        <x:v>1999-01-04</x:v>
      </x:c>
      <x:c r="D703" s="41" t="str">
        <x:v>2026-05-22</x:v>
      </x:c>
      <x:c r="E703" s="41" t="n">
        <x:v>11.78503</x:v>
      </x:c>
      <x:c r="F703" s="41" t="n">
        <x:v>-32.098318</x:v>
      </x:c>
      <x:c r="G703" s="41" t="n">
        <x:v>2011.893577</x:v>
      </x:c>
      <x:c r="H703" s="41" t="n">
        <x:f>IFERROR(E703/ABS(F703),"")</x:f>
        <x:v>0.36715412938459896</x:v>
      </x:c>
      <x:c r="I703" s="41" t="n">
        <x:v>12.300451</x:v>
      </x:c>
      <x:c r="J703" s="41" t="n">
        <x:v>-29.418758</x:v>
      </x:c>
      <x:c r="K703" s="41" t="n">
        <x:v>2295.357594</x:v>
      </x:c>
      <x:c r="L703" s="41" t="n">
        <x:f>IFERROR(I703/ABS(J703),"")</x:f>
        <x:v>0.4181159177420067</x:v>
      </x:c>
      <x:c r="M703" s="41" t="n">
        <x:v>6.802475</x:v>
      </x:c>
      <x:c r="N703" s="41" t="n">
        <x:v>-56.473669</x:v>
      </x:c>
      <x:c r="O703" s="41" t="n">
        <x:v>506.057416</x:v>
      </x:c>
      <x:c r="P703" s="41" t="n">
        <x:f>IFERROR(M703/ABS(N703),"")</x:f>
        <x:v>0.12045392340278087</x:v>
      </x:c>
      <x:c r="Q703" s="41" t="str">
        <x:f>IF(L703&gt;=MAX(H703,P703),"Weekly",IF(H703&gt;=MAX(L703,P703),"No weekly","SPY"))</x:f>
        <x:v>Weekly</x:v>
      </x:c>
      <x:c r="R703" s="41" t="n">
        <x:f>IFERROR(L703-P703,"")</x:f>
        <x:v>0.2976619943392258</x:v>
      </x:c>
      <x:c r="S703" s="41" t="n">
        <x:f>IFERROR(H703-P703,"")</x:f>
        <x:v>0.24670020598181808</x:v>
      </x:c>
      <x:c r="T703" s="41" t="n">
        <x:f>IFERROR(I703-M703,"")</x:f>
        <x:v>5.497976</x:v>
      </x:c>
      <x:c r="U703" s="41" t="n">
        <x:f>IFERROR(E703-M703,"")</x:f>
        <x:v>4.9825550000000005</x:v>
      </x:c>
      <x:c r="V703" s="41" t="str">
        <x:f>IF(AND(I703&gt;M703,J703&gt;N703),"Sí","No")</x:f>
        <x:v>Sí</x:v>
      </x:c>
      <x:c r="W703" s="41" t="str">
        <x:f>IF(AND(E703&gt;M703,F703&gt;N703),"Sí","No")</x:f>
        <x:v>Sí</x:v>
      </x:c>
      <x:c r="X703" s="41" t="str">
        <x:f>IF(L703&gt;=H703,"Weekly","No weekly")</x:f>
        <x:v>Weekly</x:v>
      </x:c>
      <x:c r="Y703" s="41" t="n">
        <x:f>IFERROR(I703-E703,"")</x:f>
        <x:v>0.5154209999999999</x:v>
      </x:c>
      <x:c r="Z703" s="41" t="n">
        <x:f>IFERROR(J703-F703,"")</x:f>
        <x:v>2.6795599999999986</x:v>
      </x:c>
      <x:c r="AA703" s="41" t="n">
        <x:v>11856</x:v>
      </x:c>
      <x:c r="AB703" s="41" t="n">
        <x:v>5910</x:v>
      </x:c>
    </x:row>
    <x:row r="704">
      <x:c r="A704" s="41" t="str">
        <x:v>HYP_REFINE_AUTO002_TOPN_6_V1_DDGRID_LONG_R12_C22_E72_CR42_REDD_RECOVERED_DD8_SL20</x:v>
      </x:c>
      <x:c r="B704" s="41" t="str">
        <x:v>dd_guard_grid</x:v>
      </x:c>
      <x:c r="C704" s="41" t="str">
        <x:v>1999-01-04</x:v>
      </x:c>
      <x:c r="D704" s="41" t="str">
        <x:v>2026-05-22</x:v>
      </x:c>
      <x:c r="E704" s="41" t="n">
        <x:v>12.311831</x:v>
      </x:c>
      <x:c r="F704" s="41" t="n">
        <x:v>-32.857607</x:v>
      </x:c>
      <x:c r="G704" s="41" t="n">
        <x:v>2302.01183</x:v>
      </x:c>
      <x:c r="H704" s="41" t="n">
        <x:f>IFERROR(E704/ABS(F704),"")</x:f>
        <x:v>0.3747026069183918</x:v>
      </x:c>
      <x:c r="I704" s="41" t="n">
        <x:v>13.193008</x:v>
      </x:c>
      <x:c r="J704" s="41" t="n">
        <x:v>-29.736243</x:v>
      </x:c>
      <x:c r="K704" s="41" t="n">
        <x:v>2875.091546</x:v>
      </x:c>
      <x:c r="L704" s="41" t="n">
        <x:f>IFERROR(I704/ABS(J704),"")</x:f>
        <x:v>0.4436676146344378</x:v>
      </x:c>
      <x:c r="M704" s="41" t="n">
        <x:v>6.802475</x:v>
      </x:c>
      <x:c r="N704" s="41" t="n">
        <x:v>-56.473669</x:v>
      </x:c>
      <x:c r="O704" s="41" t="n">
        <x:v>506.057416</x:v>
      </x:c>
      <x:c r="P704" s="41" t="n">
        <x:f>IFERROR(M704/ABS(N704),"")</x:f>
        <x:v>0.12045392340278087</x:v>
      </x:c>
      <x:c r="Q704" s="41" t="str">
        <x:f>IF(L704&gt;=MAX(H704,P704),"Weekly",IF(H704&gt;=MAX(L704,P704),"No weekly","SPY"))</x:f>
        <x:v>Weekly</x:v>
      </x:c>
      <x:c r="R704" s="41" t="n">
        <x:f>IFERROR(L704-P704,"")</x:f>
        <x:v>0.32321369123165694</x:v>
      </x:c>
      <x:c r="S704" s="41" t="n">
        <x:f>IFERROR(H704-P704,"")</x:f>
        <x:v>0.2542486835156109</x:v>
      </x:c>
      <x:c r="T704" s="41" t="n">
        <x:f>IFERROR(I704-M704,"")</x:f>
        <x:v>6.3905330000000005</x:v>
      </x:c>
      <x:c r="U704" s="41" t="n">
        <x:f>IFERROR(E704-M704,"")</x:f>
        <x:v>5.5093559999999995</x:v>
      </x:c>
      <x:c r="V704" s="41" t="str">
        <x:f>IF(AND(I704&gt;M704,J704&gt;N704),"Sí","No")</x:f>
        <x:v>Sí</x:v>
      </x:c>
      <x:c r="W704" s="41" t="str">
        <x:f>IF(AND(E704&gt;M704,F704&gt;N704),"Sí","No")</x:f>
        <x:v>Sí</x:v>
      </x:c>
      <x:c r="X704" s="41" t="str">
        <x:f>IF(L704&gt;=H704,"Weekly","No weekly")</x:f>
        <x:v>Weekly</x:v>
      </x:c>
      <x:c r="Y704" s="41" t="n">
        <x:f>IFERROR(I704-E704,"")</x:f>
        <x:v>0.881177000000001</x:v>
      </x:c>
      <x:c r="Z704" s="41" t="n">
        <x:f>IFERROR(J704-F704,"")</x:f>
        <x:v>3.121364</x:v>
      </x:c>
      <x:c r="AA704" s="41" t="n">
        <x:v>11884</x:v>
      </x:c>
      <x:c r="AB704" s="41" t="n">
        <x:v>5672</x:v>
      </x:c>
    </x:row>
    <x:row r="705">
      <x:c r="A705" s="41" t="str">
        <x:v>HYP_REFINE_AUTO002_TOPN_6_V1_DDGRID_LONG_R12_C22_E72_CR45_REDD_RECOVERED_DD7_SL20</x:v>
      </x:c>
      <x:c r="B705" s="41" t="str">
        <x:v>dd_guard_grid</x:v>
      </x:c>
      <x:c r="C705" s="41" t="str">
        <x:v>1999-01-04</x:v>
      </x:c>
      <x:c r="D705" s="41" t="str">
        <x:v>2026-05-22</x:v>
      </x:c>
      <x:c r="E705" s="41" t="n">
        <x:v>13.682514</x:v>
      </x:c>
      <x:c r="F705" s="41" t="n">
        <x:v>-33.908203</x:v>
      </x:c>
      <x:c r="G705" s="41" t="n">
        <x:v>3248.18555</x:v>
      </x:c>
      <x:c r="H705" s="41" t="n">
        <x:f>IFERROR(E705/ABS(F705),"")</x:f>
        <x:v>0.4035163408689042</x:v>
      </x:c>
      <x:c r="I705" s="41" t="n">
        <x:v>13.830706</x:v>
      </x:c>
      <x:c r="J705" s="41" t="n">
        <x:v>-29.384735</x:v>
      </x:c>
      <x:c r="K705" s="41" t="n">
        <x:v>3369.757964</x:v>
      </x:c>
      <x:c r="L705" s="41" t="n">
        <x:f>IFERROR(I705/ABS(J705),"")</x:f>
        <x:v>0.47067656046583367</x:v>
      </x:c>
      <x:c r="M705" s="41" t="n">
        <x:v>6.802475</x:v>
      </x:c>
      <x:c r="N705" s="41" t="n">
        <x:v>-56.473669</x:v>
      </x:c>
      <x:c r="O705" s="41" t="n">
        <x:v>506.057416</x:v>
      </x:c>
      <x:c r="P705" s="41" t="n">
        <x:f>IFERROR(M705/ABS(N705),"")</x:f>
        <x:v>0.12045392340278087</x:v>
      </x:c>
      <x:c r="Q705" s="41" t="str">
        <x:f>IF(L705&gt;=MAX(H705,P705),"Weekly",IF(H705&gt;=MAX(L705,P705),"No weekly","SPY"))</x:f>
        <x:v>Weekly</x:v>
      </x:c>
      <x:c r="R705" s="41" t="n">
        <x:f>IFERROR(L705-P705,"")</x:f>
        <x:v>0.3502226370630528</x:v>
      </x:c>
      <x:c r="S705" s="41" t="n">
        <x:f>IFERROR(H705-P705,"")</x:f>
        <x:v>0.2830624174661233</x:v>
      </x:c>
      <x:c r="T705" s="41" t="n">
        <x:f>IFERROR(I705-M705,"")</x:f>
        <x:v>7.028230999999999</x:v>
      </x:c>
      <x:c r="U705" s="41" t="n">
        <x:f>IFERROR(E705-M705,"")</x:f>
        <x:v>6.880038999999999</x:v>
      </x:c>
      <x:c r="V705" s="41" t="str">
        <x:f>IF(AND(I705&gt;M705,J705&gt;N705),"Sí","No")</x:f>
        <x:v>Sí</x:v>
      </x:c>
      <x:c r="W705" s="41" t="str">
        <x:f>IF(AND(E705&gt;M705,F705&gt;N705),"Sí","No")</x:f>
        <x:v>Sí</x:v>
      </x:c>
      <x:c r="X705" s="41" t="str">
        <x:f>IF(L705&gt;=H705,"Weekly","No weekly")</x:f>
        <x:v>Weekly</x:v>
      </x:c>
      <x:c r="Y705" s="41" t="n">
        <x:f>IFERROR(I705-E705,"")</x:f>
        <x:v>0.14819199999999988</x:v>
      </x:c>
      <x:c r="Z705" s="41" t="n">
        <x:f>IFERROR(J705-F705,"")</x:f>
        <x:v>4.523468000000001</x:v>
      </x:c>
      <x:c r="AA705" s="41" t="n">
        <x:v>11295</x:v>
      </x:c>
      <x:c r="AB705" s="41" t="n">
        <x:v>5605</x:v>
      </x:c>
    </x:row>
    <x:row r="706">
      <x:c r="A706" s="41" t="str">
        <x:v>HYP_REFINE_AUTO002_TOPN_6_V1_DDGRID_LONG_R12_C22_E72_CR45_REDD_RECOVERED_DD8_SL18</x:v>
      </x:c>
      <x:c r="B706" s="41" t="str">
        <x:v>dd_guard_grid</x:v>
      </x:c>
      <x:c r="C706" s="41" t="str">
        <x:v>1999-01-04</x:v>
      </x:c>
      <x:c r="D706" s="41" t="str">
        <x:v>2026-05-22</x:v>
      </x:c>
      <x:c r="E706" s="41" t="n">
        <x:v>13.413641</x:v>
      </x:c>
      <x:c r="F706" s="41" t="n">
        <x:v>-32.845964</x:v>
      </x:c>
      <x:c r="G706" s="41" t="n">
        <x:v>3038.008879</x:v>
      </x:c>
      <x:c r="H706" s="41" t="n">
        <x:f>IFERROR(E706/ABS(F706),"")</x:f>
        <x:v>0.4083801894199238</x:v>
      </x:c>
      <x:c r="I706" s="41" t="n">
        <x:v>13.460879</x:v>
      </x:c>
      <x:c r="J706" s="41" t="n">
        <x:v>-29.70652</x:v>
      </x:c>
      <x:c r="K706" s="41" t="n">
        <x:v>3073.990433</x:v>
      </x:c>
      <x:c r="L706" s="41" t="n">
        <x:f>IFERROR(I706/ABS(J706),"")</x:f>
        <x:v>0.4531287744239312</x:v>
      </x:c>
      <x:c r="M706" s="41" t="n">
        <x:v>6.802475</x:v>
      </x:c>
      <x:c r="N706" s="41" t="n">
        <x:v>-56.473669</x:v>
      </x:c>
      <x:c r="O706" s="41" t="n">
        <x:v>506.057416</x:v>
      </x:c>
      <x:c r="P706" s="41" t="n">
        <x:f>IFERROR(M706/ABS(N706),"")</x:f>
        <x:v>0.12045392340278087</x:v>
      </x:c>
      <x:c r="Q706" s="41" t="str">
        <x:f>IF(L706&gt;=MAX(H706,P706),"Weekly",IF(H706&gt;=MAX(L706,P706),"No weekly","SPY"))</x:f>
        <x:v>Weekly</x:v>
      </x:c>
      <x:c r="R706" s="41" t="n">
        <x:f>IFERROR(L706-P706,"")</x:f>
        <x:v>0.3326748510211503</x:v>
      </x:c>
      <x:c r="S706" s="41" t="n">
        <x:f>IFERROR(H706-P706,"")</x:f>
        <x:v>0.28792626601714294</x:v>
      </x:c>
      <x:c r="T706" s="41" t="n">
        <x:f>IFERROR(I706-M706,"")</x:f>
        <x:v>6.658404</x:v>
      </x:c>
      <x:c r="U706" s="41" t="n">
        <x:f>IFERROR(E706-M706,"")</x:f>
        <x:v>6.611166</x:v>
      </x:c>
      <x:c r="V706" s="41" t="str">
        <x:f>IF(AND(I706&gt;M706,J706&gt;N706),"Sí","No")</x:f>
        <x:v>Sí</x:v>
      </x:c>
      <x:c r="W706" s="41" t="str">
        <x:f>IF(AND(E706&gt;M706,F706&gt;N706),"Sí","No")</x:f>
        <x:v>Sí</x:v>
      </x:c>
      <x:c r="X706" s="41" t="str">
        <x:f>IF(L706&gt;=H706,"Weekly","No weekly")</x:f>
        <x:v>Weekly</x:v>
      </x:c>
      <x:c r="Y706" s="41" t="n">
        <x:f>IFERROR(I706-E706,"")</x:f>
        <x:v>0.04723800000000011</x:v>
      </x:c>
      <x:c r="Z706" s="41" t="n">
        <x:f>IFERROR(J706-F706,"")</x:f>
        <x:v>3.139444000000001</x:v>
      </x:c>
      <x:c r="AA706" s="41" t="n">
        <x:v>11366</x:v>
      </x:c>
      <x:c r="AB706" s="41" t="n">
        <x:v>5349</x:v>
      </x:c>
    </x:row>
    <x:row r="707">
      <x:c r="A707" s="41" t="str">
        <x:v>HYP_REFINE_AUTO002_TOPN_6_V1_DDGRID_LONG_R12_C22_E72_CR45_REDD_RECOVERED_DD8_SL20</x:v>
      </x:c>
      <x:c r="B707" s="41" t="str">
        <x:v>dd_guard_grid</x:v>
      </x:c>
      <x:c r="C707" s="41" t="str">
        <x:v>1999-01-04</x:v>
      </x:c>
      <x:c r="D707" s="41" t="str">
        <x:v>2026-05-22</x:v>
      </x:c>
      <x:c r="E707" s="41" t="n">
        <x:v>12.653751</x:v>
      </x:c>
      <x:c r="F707" s="41" t="n">
        <x:v>-33.908203</x:v>
      </x:c>
      <x:c r="G707" s="41" t="n">
        <x:v>2510.470916</x:v>
      </x:c>
      <x:c r="H707" s="41" t="n">
        <x:f>IFERROR(E707/ABS(F707),"")</x:f>
        <x:v>0.3731766911977022</x:v>
      </x:c>
      <x:c r="I707" s="41" t="n">
        <x:v>13.827747</x:v>
      </x:c>
      <x:c r="J707" s="41" t="n">
        <x:v>-29.384735</x:v>
      </x:c>
      <x:c r="K707" s="41" t="n">
        <x:v>3367.289864</x:v>
      </x:c>
      <x:c r="L707" s="41" t="n">
        <x:f>IFERROR(I707/ABS(J707),"")</x:f>
        <x:v>0.47057586192286577</x:v>
      </x:c>
      <x:c r="M707" s="41" t="n">
        <x:v>6.802475</x:v>
      </x:c>
      <x:c r="N707" s="41" t="n">
        <x:v>-56.473669</x:v>
      </x:c>
      <x:c r="O707" s="41" t="n">
        <x:v>506.057416</x:v>
      </x:c>
      <x:c r="P707" s="41" t="n">
        <x:f>IFERROR(M707/ABS(N707),"")</x:f>
        <x:v>0.12045392340278087</x:v>
      </x:c>
      <x:c r="Q707" s="41" t="str">
        <x:f>IF(L707&gt;=MAX(H707,P707),"Weekly",IF(H707&gt;=MAX(L707,P707),"No weekly","SPY"))</x:f>
        <x:v>Weekly</x:v>
      </x:c>
      <x:c r="R707" s="41" t="n">
        <x:f>IFERROR(L707-P707,"")</x:f>
        <x:v>0.3501219385200849</x:v>
      </x:c>
      <x:c r="S707" s="41" t="n">
        <x:f>IFERROR(H707-P707,"")</x:f>
        <x:v>0.2527227677949213</x:v>
      </x:c>
      <x:c r="T707" s="41" t="n">
        <x:f>IFERROR(I707-M707,"")</x:f>
        <x:v>7.025272</x:v>
      </x:c>
      <x:c r="U707" s="41" t="n">
        <x:f>IFERROR(E707-M707,"")</x:f>
        <x:v>5.8512759999999995</x:v>
      </x:c>
      <x:c r="V707" s="41" t="str">
        <x:f>IF(AND(I707&gt;M707,J707&gt;N707),"Sí","No")</x:f>
        <x:v>Sí</x:v>
      </x:c>
      <x:c r="W707" s="41" t="str">
        <x:f>IF(AND(E707&gt;M707,F707&gt;N707),"Sí","No")</x:f>
        <x:v>Sí</x:v>
      </x:c>
      <x:c r="X707" s="41" t="str">
        <x:f>IF(L707&gt;=H707,"Weekly","No weekly")</x:f>
        <x:v>Weekly</x:v>
      </x:c>
      <x:c r="Y707" s="41" t="n">
        <x:f>IFERROR(I707-E707,"")</x:f>
        <x:v>1.1739960000000007</x:v>
      </x:c>
      <x:c r="Z707" s="41" t="n">
        <x:f>IFERROR(J707-F707,"")</x:f>
        <x:v>4.523468000000001</x:v>
      </x:c>
      <x:c r="AA707" s="41" t="n">
        <x:v>11338</x:v>
      </x:c>
      <x:c r="AB707" s="41" t="n">
        <x:v>5798</x:v>
      </x:c>
    </x:row>
    <x:row r="708">
      <x:c r="A708" s="41" t="str">
        <x:v>HYP_REFINE_AUTO002_TOPN_6_V1_DDGRID_LONG_R12_C22_E72_CR45_REDD_RECOVERED_DD8_SL22</x:v>
      </x:c>
      <x:c r="B708" s="41" t="str">
        <x:v>dd_guard_grid</x:v>
      </x:c>
      <x:c r="C708" s="41" t="str">
        <x:v>1999-01-04</x:v>
      </x:c>
      <x:c r="D708" s="41" t="str">
        <x:v>2026-05-22</x:v>
      </x:c>
      <x:c r="E708" s="41" t="n">
        <x:v>12.489162</x:v>
      </x:c>
      <x:c r="F708" s="41" t="n">
        <x:v>-33.834946</x:v>
      </x:c>
      <x:c r="G708" s="41" t="n">
        <x:v>2408.038656</x:v>
      </x:c>
      <x:c r="H708" s="41" t="n">
        <x:f>IFERROR(E708/ABS(F708),"")</x:f>
        <x:v>0.36912019898007226</x:v>
      </x:c>
      <x:c r="I708" s="41" t="n">
        <x:v>13.777816</x:v>
      </x:c>
      <x:c r="J708" s="41" t="n">
        <x:v>-29.256397</x:v>
      </x:c>
      <x:c r="K708" s="41" t="n">
        <x:v>3325.888836</x:v>
      </x:c>
      <x:c r="L708" s="41" t="n">
        <x:f>IFERROR(I708/ABS(J708),"")</x:f>
        <x:v>0.4709334508962262</x:v>
      </x:c>
      <x:c r="M708" s="41" t="n">
        <x:v>6.802475</x:v>
      </x:c>
      <x:c r="N708" s="41" t="n">
        <x:v>-56.473669</x:v>
      </x:c>
      <x:c r="O708" s="41" t="n">
        <x:v>506.057416</x:v>
      </x:c>
      <x:c r="P708" s="41" t="n">
        <x:f>IFERROR(M708/ABS(N708),"")</x:f>
        <x:v>0.12045392340278087</x:v>
      </x:c>
      <x:c r="Q708" s="41" t="str">
        <x:f>IF(L708&gt;=MAX(H708,P708),"Weekly",IF(H708&gt;=MAX(L708,P708),"No weekly","SPY"))</x:f>
        <x:v>Weekly</x:v>
      </x:c>
      <x:c r="R708" s="41" t="n">
        <x:f>IFERROR(L708-P708,"")</x:f>
        <x:v>0.3504795274934453</x:v>
      </x:c>
      <x:c r="S708" s="41" t="n">
        <x:f>IFERROR(H708-P708,"")</x:f>
        <x:v>0.24866627557729137</x:v>
      </x:c>
      <x:c r="T708" s="41" t="n">
        <x:f>IFERROR(I708-M708,"")</x:f>
        <x:v>6.975340999999999</x:v>
      </x:c>
      <x:c r="U708" s="41" t="n">
        <x:f>IFERROR(E708-M708,"")</x:f>
        <x:v>5.686687</x:v>
      </x:c>
      <x:c r="V708" s="41" t="str">
        <x:f>IF(AND(I708&gt;M708,J708&gt;N708),"Sí","No")</x:f>
        <x:v>Sí</x:v>
      </x:c>
      <x:c r="W708" s="41" t="str">
        <x:f>IF(AND(E708&gt;M708,F708&gt;N708),"Sí","No")</x:f>
        <x:v>Sí</x:v>
      </x:c>
      <x:c r="X708" s="41" t="str">
        <x:f>IF(L708&gt;=H708,"Weekly","No weekly")</x:f>
        <x:v>Weekly</x:v>
      </x:c>
      <x:c r="Y708" s="41" t="n">
        <x:f>IFERROR(I708-E708,"")</x:f>
        <x:v>1.2886539999999993</x:v>
      </x:c>
      <x:c r="Z708" s="41" t="n">
        <x:f>IFERROR(J708-F708,"")</x:f>
        <x:v>4.578549000000002</x:v>
      </x:c>
      <x:c r="AA708" s="41" t="n">
        <x:v>11594</x:v>
      </x:c>
      <x:c r="AB708" s="41" t="n">
        <x:v>5652</x:v>
      </x:c>
    </x:row>
    <x:row r="709">
      <x:c r="A709" s="41" t="str">
        <x:v>HYP_REFINE_AUTO002_TOPN_6_V1_DDGRID_LONG_R12_C22_E72_CR45_REDD_RECOVERED_DD9_SL20</x:v>
      </x:c>
      <x:c r="B709" s="41" t="str">
        <x:v>dd_guard_grid</x:v>
      </x:c>
      <x:c r="C709" s="41" t="str">
        <x:v>1999-01-04</x:v>
      </x:c>
      <x:c r="D709" s="41" t="str">
        <x:v>2026-05-22</x:v>
      </x:c>
      <x:c r="E709" s="41" t="n">
        <x:v>12.370555</x:v>
      </x:c>
      <x:c r="F709" s="41" t="n">
        <x:v>-33.908203</x:v>
      </x:c>
      <x:c r="G709" s="41" t="n">
        <x:v>2336.635778</x:v>
      </x:c>
      <x:c r="H709" s="41" t="n">
        <x:f>IFERROR(E709/ABS(F709),"")</x:f>
        <x:v>0.3648248478399165</x:v>
      </x:c>
      <x:c r="I709" s="41" t="n">
        <x:v>13.455832</x:v>
      </x:c>
      <x:c r="J709" s="41" t="n">
        <x:v>-29.384735</x:v>
      </x:c>
      <x:c r="K709" s="41" t="n">
        <x:v>3070.127263</x:v>
      </x:c>
      <x:c r="L709" s="41" t="n">
        <x:f>IFERROR(I709/ABS(J709),"")</x:f>
        <x:v>0.4579191202507016</x:v>
      </x:c>
      <x:c r="M709" s="41" t="n">
        <x:v>6.802475</x:v>
      </x:c>
      <x:c r="N709" s="41" t="n">
        <x:v>-56.473669</x:v>
      </x:c>
      <x:c r="O709" s="41" t="n">
        <x:v>506.057416</x:v>
      </x:c>
      <x:c r="P709" s="41" t="n">
        <x:f>IFERROR(M709/ABS(N709),"")</x:f>
        <x:v>0.12045392340278087</x:v>
      </x:c>
      <x:c r="Q709" s="41" t="str">
        <x:f>IF(L709&gt;=MAX(H709,P709),"Weekly",IF(H709&gt;=MAX(L709,P709),"No weekly","SPY"))</x:f>
        <x:v>Weekly</x:v>
      </x:c>
      <x:c r="R709" s="41" t="n">
        <x:f>IFERROR(L709-P709,"")</x:f>
        <x:v>0.3374651968479207</x:v>
      </x:c>
      <x:c r="S709" s="41" t="n">
        <x:f>IFERROR(H709-P709,"")</x:f>
        <x:v>0.2443709244371356</x:v>
      </x:c>
      <x:c r="T709" s="41" t="n">
        <x:f>IFERROR(I709-M709,"")</x:f>
        <x:v>6.653356999999999</x:v>
      </x:c>
      <x:c r="U709" s="41" t="n">
        <x:f>IFERROR(E709-M709,"")</x:f>
        <x:v>5.568079999999999</x:v>
      </x:c>
      <x:c r="V709" s="41" t="str">
        <x:f>IF(AND(I709&gt;M709,J709&gt;N709),"Sí","No")</x:f>
        <x:v>Sí</x:v>
      </x:c>
      <x:c r="W709" s="41" t="str">
        <x:f>IF(AND(E709&gt;M709,F709&gt;N709),"Sí","No")</x:f>
        <x:v>Sí</x:v>
      </x:c>
      <x:c r="X709" s="41" t="str">
        <x:f>IF(L709&gt;=H709,"Weekly","No weekly")</x:f>
        <x:v>Weekly</x:v>
      </x:c>
      <x:c r="Y709" s="41" t="n">
        <x:f>IFERROR(I709-E709,"")</x:f>
        <x:v>1.0852769999999996</x:v>
      </x:c>
      <x:c r="Z709" s="41" t="n">
        <x:f>IFERROR(J709-F709,"")</x:f>
        <x:v>4.523468000000001</x:v>
      </x:c>
      <x:c r="AA709" s="41" t="n">
        <x:v>11303</x:v>
      </x:c>
      <x:c r="AB709" s="41" t="n">
        <x:v>5652</x:v>
      </x:c>
    </x:row>
    <x:row r="710">
      <x:c r="A710" s="41" t="str">
        <x:v>HYP_REFINE_AUTO002_TOPN_6_V1_DDGRID_LONG_R12_C22_E75_CR30_REDD_RECOVERED_DD7_SL18</x:v>
      </x:c>
      <x:c r="B710" s="41" t="str">
        <x:v>dd_guard_grid</x:v>
      </x:c>
      <x:c r="C710" s="41" t="str">
        <x:v>1999-01-04</x:v>
      </x:c>
      <x:c r="D710" s="41" t="str">
        <x:v>2026-05-22</x:v>
      </x:c>
      <x:c r="E710" s="41" t="n">
        <x:v>11.501584</x:v>
      </x:c>
      <x:c r="F710" s="41" t="n">
        <x:v>-30.301819</x:v>
      </x:c>
      <x:c r="G710" s="41" t="n">
        <x:v>1870.08159</x:v>
      </x:c>
      <x:c r="H710" s="41" t="n">
        <x:f>IFERROR(E710/ABS(F710),"")</x:f>
        <x:v>0.379567444449457</x:v>
      </x:c>
      <x:c r="I710" s="41" t="n">
        <x:v>11.390878</x:v>
      </x:c>
      <x:c r="J710" s="41" t="n">
        <x:v>-28.718974</x:v>
      </x:c>
      <x:c r="K710" s="41" t="n">
        <x:v>1817.224024</x:v>
      </x:c>
      <x:c r="L710" s="41" t="n">
        <x:f>IFERROR(I710/ABS(J710),"")</x:f>
        <x:v>0.39663248415490054</x:v>
      </x:c>
      <x:c r="M710" s="41" t="n">
        <x:v>6.802475</x:v>
      </x:c>
      <x:c r="N710" s="41" t="n">
        <x:v>-56.473669</x:v>
      </x:c>
      <x:c r="O710" s="41" t="n">
        <x:v>506.057416</x:v>
      </x:c>
      <x:c r="P710" s="41" t="n">
        <x:f>IFERROR(M710/ABS(N710),"")</x:f>
        <x:v>0.12045392340278087</x:v>
      </x:c>
      <x:c r="Q710" s="41" t="str">
        <x:f>IF(L710&gt;=MAX(H710,P710),"Weekly",IF(H710&gt;=MAX(L710,P710),"No weekly","SPY"))</x:f>
        <x:v>Weekly</x:v>
      </x:c>
      <x:c r="R710" s="41" t="n">
        <x:f>IFERROR(L710-P710,"")</x:f>
        <x:v>0.27617856075211966</x:v>
      </x:c>
      <x:c r="S710" s="41" t="n">
        <x:f>IFERROR(H710-P710,"")</x:f>
        <x:v>0.2591135210466761</x:v>
      </x:c>
      <x:c r="T710" s="41" t="n">
        <x:f>IFERROR(I710-M710,"")</x:f>
        <x:v>4.5884030000000005</x:v>
      </x:c>
      <x:c r="U710" s="41" t="n">
        <x:f>IFERROR(E710-M710,"")</x:f>
        <x:v>4.699108999999999</x:v>
      </x:c>
      <x:c r="V710" s="41" t="str">
        <x:f>IF(AND(I710&gt;M710,J710&gt;N710),"Sí","No")</x:f>
        <x:v>Sí</x:v>
      </x:c>
      <x:c r="W710" s="41" t="str">
        <x:f>IF(AND(E710&gt;M710,F710&gt;N710),"Sí","No")</x:f>
        <x:v>Sí</x:v>
      </x:c>
      <x:c r="X710" s="41" t="str">
        <x:f>IF(L710&gt;=H710,"Weekly","No weekly")</x:f>
        <x:v>Weekly</x:v>
      </x:c>
      <x:c r="Y710" s="41" t="n">
        <x:f>IFERROR(I710-E710,"")</x:f>
        <x:v>-0.11070599999999864</x:v>
      </x:c>
      <x:c r="Z710" s="41" t="n">
        <x:f>IFERROR(J710-F710,"")</x:f>
        <x:v>1.582844999999999</x:v>
      </x:c>
      <x:c r="AA710" s="41" t="n">
        <x:v>12393</x:v>
      </x:c>
      <x:c r="AB710" s="41" t="n">
        <x:v>6381</x:v>
      </x:c>
    </x:row>
    <x:row r="711">
      <x:c r="A711" s="41" t="str">
        <x:v>HYP_REFINE_AUTO002_TOPN_6_V1_DDGRID_LONG_R12_C22_E75_CR30_REDD_RECOVERED_DD8_SL20</x:v>
      </x:c>
      <x:c r="B711" s="41" t="str">
        <x:v>dd_guard_grid</x:v>
      </x:c>
      <x:c r="C711" s="41" t="str">
        <x:v>1999-01-04</x:v>
      </x:c>
      <x:c r="D711" s="41" t="str">
        <x:v>2026-05-22</x:v>
      </x:c>
      <x:c r="E711" s="41" t="n">
        <x:v>10.610673</x:v>
      </x:c>
      <x:c r="F711" s="41" t="n">
        <x:v>-31.234614</x:v>
      </x:c>
      <x:c r="G711" s="41" t="n">
        <x:v>1481.602909</x:v>
      </x:c>
      <x:c r="H711" s="41" t="n">
        <x:f>IFERROR(E711/ABS(F711),"")</x:f>
        <x:v>0.33970879230330814</x:v>
      </x:c>
      <x:c r="I711" s="41" t="n">
        <x:v>11.37639</x:v>
      </x:c>
      <x:c r="J711" s="41" t="n">
        <x:v>-29.591798</x:v>
      </x:c>
      <x:c r="K711" s="41" t="n">
        <x:v>1810.408632</x:v>
      </x:c>
      <x:c r="L711" s="41" t="n">
        <x:f>IFERROR(I711/ABS(J711),"")</x:f>
        <x:v>0.3844440273619062</x:v>
      </x:c>
      <x:c r="M711" s="41" t="n">
        <x:v>6.802475</x:v>
      </x:c>
      <x:c r="N711" s="41" t="n">
        <x:v>-56.473669</x:v>
      </x:c>
      <x:c r="O711" s="41" t="n">
        <x:v>506.057416</x:v>
      </x:c>
      <x:c r="P711" s="41" t="n">
        <x:f>IFERROR(M711/ABS(N711),"")</x:f>
        <x:v>0.12045392340278087</x:v>
      </x:c>
      <x:c r="Q711" s="41" t="str">
        <x:f>IF(L711&gt;=MAX(H711,P711),"Weekly",IF(H711&gt;=MAX(L711,P711),"No weekly","SPY"))</x:f>
        <x:v>Weekly</x:v>
      </x:c>
      <x:c r="R711" s="41" t="n">
        <x:f>IFERROR(L711-P711,"")</x:f>
        <x:v>0.2639901039591253</x:v>
      </x:c>
      <x:c r="S711" s="41" t="n">
        <x:f>IFERROR(H711-P711,"")</x:f>
        <x:v>0.21925486890052726</x:v>
      </x:c>
      <x:c r="T711" s="41" t="n">
        <x:f>IFERROR(I711-M711,"")</x:f>
        <x:v>4.573915</x:v>
      </x:c>
      <x:c r="U711" s="41" t="n">
        <x:f>IFERROR(E711-M711,"")</x:f>
        <x:v>3.808198</x:v>
      </x:c>
      <x:c r="V711" s="41" t="str">
        <x:f>IF(AND(I711&gt;M711,J711&gt;N711),"Sí","No")</x:f>
        <x:v>Sí</x:v>
      </x:c>
      <x:c r="W711" s="41" t="str">
        <x:f>IF(AND(E711&gt;M711,F711&gt;N711),"Sí","No")</x:f>
        <x:v>Sí</x:v>
      </x:c>
      <x:c r="X711" s="41" t="str">
        <x:f>IF(L711&gt;=H711,"Weekly","No weekly")</x:f>
        <x:v>Weekly</x:v>
      </x:c>
      <x:c r="Y711" s="41" t="n">
        <x:f>IFERROR(I711-E711,"")</x:f>
        <x:v>0.7657170000000004</x:v>
      </x:c>
      <x:c r="Z711" s="41" t="n">
        <x:f>IFERROR(J711-F711,"")</x:f>
        <x:v>1.6428159999999998</x:v>
      </x:c>
      <x:c r="AA711" s="41" t="n">
        <x:v>12432</x:v>
      </x:c>
      <x:c r="AB711" s="41" t="n">
        <x:v>6493</x:v>
      </x:c>
    </x:row>
    <x:row r="712">
      <x:c r="A712" s="41" t="str">
        <x:v>HYP_REFINE_AUTO002_TOPN_6_V1_DDGRID_LONG_R12_C22_E75_CR33_REDD_RECOVERED_DD7_SL18</x:v>
      </x:c>
      <x:c r="B712" s="41" t="str">
        <x:v>dd_guard_grid</x:v>
      </x:c>
      <x:c r="C712" s="41" t="str">
        <x:v>1999-01-04</x:v>
      </x:c>
      <x:c r="D712" s="41" t="str">
        <x:v>2026-05-22</x:v>
      </x:c>
      <x:c r="E712" s="41" t="n">
        <x:v>10.82522</x:v>
      </x:c>
      <x:c r="F712" s="41" t="n">
        <x:v>-30.505889</x:v>
      </x:c>
      <x:c r="G712" s="41" t="n">
        <x:v>1567.778211</x:v>
      </x:c>
      <x:c r="H712" s="41" t="n">
        <x:f>IFERROR(E712/ABS(F712),"")</x:f>
        <x:v>0.3548567294662352</x:v>
      </x:c>
      <x:c r="I712" s="41" t="n">
        <x:v>11.53554</x:v>
      </x:c>
      <x:c r="J712" s="41" t="n">
        <x:v>-29.004365</x:v>
      </x:c>
      <x:c r="K712" s="41" t="n">
        <x:v>1886.57391</x:v>
      </x:c>
      <x:c r="L712" s="41" t="n">
        <x:f>IFERROR(I712/ABS(J712),"")</x:f>
        <x:v>0.3977173780567166</x:v>
      </x:c>
      <x:c r="M712" s="41" t="n">
        <x:v>6.802475</x:v>
      </x:c>
      <x:c r="N712" s="41" t="n">
        <x:v>-56.473669</x:v>
      </x:c>
      <x:c r="O712" s="41" t="n">
        <x:v>506.057416</x:v>
      </x:c>
      <x:c r="P712" s="41" t="n">
        <x:f>IFERROR(M712/ABS(N712),"")</x:f>
        <x:v>0.12045392340278087</x:v>
      </x:c>
      <x:c r="Q712" s="41" t="str">
        <x:f>IF(L712&gt;=MAX(H712,P712),"Weekly",IF(H712&gt;=MAX(L712,P712),"No weekly","SPY"))</x:f>
        <x:v>Weekly</x:v>
      </x:c>
      <x:c r="R712" s="41" t="n">
        <x:f>IFERROR(L712-P712,"")</x:f>
        <x:v>0.2772634546539357</x:v>
      </x:c>
      <x:c r="S712" s="41" t="n">
        <x:f>IFERROR(H712-P712,"")</x:f>
        <x:v>0.23440280606345432</x:v>
      </x:c>
      <x:c r="T712" s="41" t="n">
        <x:f>IFERROR(I712-M712,"")</x:f>
        <x:v>4.733064999999999</x:v>
      </x:c>
      <x:c r="U712" s="41" t="n">
        <x:f>IFERROR(E712-M712,"")</x:f>
        <x:v>4.022745</x:v>
      </x:c>
      <x:c r="V712" s="41" t="str">
        <x:f>IF(AND(I712&gt;M712,J712&gt;N712),"Sí","No")</x:f>
        <x:v>Sí</x:v>
      </x:c>
      <x:c r="W712" s="41" t="str">
        <x:f>IF(AND(E712&gt;M712,F712&gt;N712),"Sí","No")</x:f>
        <x:v>Sí</x:v>
      </x:c>
      <x:c r="X712" s="41" t="str">
        <x:f>IF(L712&gt;=H712,"Weekly","No weekly")</x:f>
        <x:v>Weekly</x:v>
      </x:c>
      <x:c r="Y712" s="41" t="n">
        <x:f>IFERROR(I712-E712,"")</x:f>
        <x:v>0.7103199999999994</x:v>
      </x:c>
      <x:c r="Z712" s="41" t="n">
        <x:f>IFERROR(J712-F712,"")</x:f>
        <x:v>1.5015239999999999</x:v>
      </x:c>
      <x:c r="AA712" s="41" t="n">
        <x:v>12333</x:v>
      </x:c>
      <x:c r="AB712" s="41" t="n">
        <x:v>5818</x:v>
      </x:c>
    </x:row>
    <x:row r="713">
      <x:c r="A713" s="41" t="str">
        <x:v>HYP_REFINE_AUTO002_TOPN_6_V1_DDGRID_LONG_R12_C22_E75_CR33_REDD_RECOVERED_DD7_SL20</x:v>
      </x:c>
      <x:c r="B713" s="41" t="str">
        <x:v>dd_guard_grid</x:v>
      </x:c>
      <x:c r="C713" s="41" t="str">
        <x:v>1999-01-04</x:v>
      </x:c>
      <x:c r="D713" s="41" t="str">
        <x:v>2026-05-22</x:v>
      </x:c>
      <x:c r="E713" s="41" t="n">
        <x:v>12.080456</x:v>
      </x:c>
      <x:c r="F713" s="41" t="n">
        <x:v>-31.579607</x:v>
      </x:c>
      <x:c r="G713" s="41" t="n">
        <x:v>2170.149434</x:v>
      </x:c>
      <x:c r="H713" s="41" t="n">
        <x:f>IFERROR(E713/ABS(F713),"")</x:f>
        <x:v>0.38253978271483874</x:v>
      </x:c>
      <x:c r="I713" s="41" t="n">
        <x:v>11.603061</x:v>
      </x:c>
      <x:c r="J713" s="41" t="n">
        <x:v>-29.57039</x:v>
      </x:c>
      <x:c r="K713" s="41" t="n">
        <x:v>1919.76404</x:v>
      </x:c>
      <x:c r="L713" s="41" t="n">
        <x:f>IFERROR(I713/ABS(J713),"")</x:f>
        <x:v>0.3923878244419502</x:v>
      </x:c>
      <x:c r="M713" s="41" t="n">
        <x:v>6.802475</x:v>
      </x:c>
      <x:c r="N713" s="41" t="n">
        <x:v>-56.473669</x:v>
      </x:c>
      <x:c r="O713" s="41" t="n">
        <x:v>506.057416</x:v>
      </x:c>
      <x:c r="P713" s="41" t="n">
        <x:f>IFERROR(M713/ABS(N713),"")</x:f>
        <x:v>0.12045392340278087</x:v>
      </x:c>
      <x:c r="Q713" s="41" t="str">
        <x:f>IF(L713&gt;=MAX(H713,P713),"Weekly",IF(H713&gt;=MAX(L713,P713),"No weekly","SPY"))</x:f>
        <x:v>Weekly</x:v>
      </x:c>
      <x:c r="R713" s="41" t="n">
        <x:f>IFERROR(L713-P713,"")</x:f>
        <x:v>0.2719339010391693</x:v>
      </x:c>
      <x:c r="S713" s="41" t="n">
        <x:f>IFERROR(H713-P713,"")</x:f>
        <x:v>0.26208585931205786</x:v>
      </x:c>
      <x:c r="T713" s="41" t="n">
        <x:f>IFERROR(I713-M713,"")</x:f>
        <x:v>4.800586</x:v>
      </x:c>
      <x:c r="U713" s="41" t="n">
        <x:f>IFERROR(E713-M713,"")</x:f>
        <x:v>5.277981</x:v>
      </x:c>
      <x:c r="V713" s="41" t="str">
        <x:f>IF(AND(I713&gt;M713,J713&gt;N713),"Sí","No")</x:f>
        <x:v>Sí</x:v>
      </x:c>
      <x:c r="W713" s="41" t="str">
        <x:f>IF(AND(E713&gt;M713,F713&gt;N713),"Sí","No")</x:f>
        <x:v>Sí</x:v>
      </x:c>
      <x:c r="X713" s="41" t="str">
        <x:f>IF(L713&gt;=H713,"Weekly","No weekly")</x:f>
        <x:v>Weekly</x:v>
      </x:c>
      <x:c r="Y713" s="41" t="n">
        <x:f>IFERROR(I713-E713,"")</x:f>
        <x:v>-0.47739499999999957</x:v>
      </x:c>
      <x:c r="Z713" s="41" t="n">
        <x:f>IFERROR(J713-F713,"")</x:f>
        <x:v>2.0092169999999996</x:v>
      </x:c>
      <x:c r="AA713" s="41" t="n">
        <x:v>12535</x:v>
      </x:c>
      <x:c r="AB713" s="41" t="n">
        <x:v>6293</x:v>
      </x:c>
    </x:row>
    <x:row r="714">
      <x:c r="A714" s="41" t="str">
        <x:v>HYP_REFINE_AUTO002_TOPN_6_V1_DDGRID_LONG_R12_C22_E75_CR33_REDD_RECOVERED_DD8_SL18</x:v>
      </x:c>
      <x:c r="B714" s="41" t="str">
        <x:v>dd_guard_grid</x:v>
      </x:c>
      <x:c r="C714" s="41" t="str">
        <x:v>1999-01-04</x:v>
      </x:c>
      <x:c r="D714" s="41" t="str">
        <x:v>2026-05-22</x:v>
      </x:c>
      <x:c r="E714" s="41" t="n">
        <x:v>10.379273</x:v>
      </x:c>
      <x:c r="F714" s="41" t="n">
        <x:v>-30.505889</x:v>
      </x:c>
      <x:c r="G714" s="41" t="n">
        <x:v>1393.470254</x:v>
      </x:c>
      <x:c r="H714" s="41" t="n">
        <x:f>IFERROR(E714/ABS(F714),"")</x:f>
        <x:v>0.3402383388990893</x:v>
      </x:c>
      <x:c r="I714" s="41" t="n">
        <x:v>11.813291</x:v>
      </x:c>
      <x:c r="J714" s="41" t="n">
        <x:v>-29.004365</x:v>
      </x:c>
      <x:c r="K714" s="41" t="n">
        <x:v>2026.560698</x:v>
      </x:c>
      <x:c r="L714" s="41" t="n">
        <x:f>IFERROR(I714/ABS(J714),"")</x:f>
        <x:v>0.40729355736627915</x:v>
      </x:c>
      <x:c r="M714" s="41" t="n">
        <x:v>6.802475</x:v>
      </x:c>
      <x:c r="N714" s="41" t="n">
        <x:v>-56.473669</x:v>
      </x:c>
      <x:c r="O714" s="41" t="n">
        <x:v>506.057416</x:v>
      </x:c>
      <x:c r="P714" s="41" t="n">
        <x:f>IFERROR(M714/ABS(N714),"")</x:f>
        <x:v>0.12045392340278087</x:v>
      </x:c>
      <x:c r="Q714" s="41" t="str">
        <x:f>IF(L714&gt;=MAX(H714,P714),"Weekly",IF(H714&gt;=MAX(L714,P714),"No weekly","SPY"))</x:f>
        <x:v>Weekly</x:v>
      </x:c>
      <x:c r="R714" s="41" t="n">
        <x:f>IFERROR(L714-P714,"")</x:f>
        <x:v>0.28683963396349826</x:v>
      </x:c>
      <x:c r="S714" s="41" t="n">
        <x:f>IFERROR(H714-P714,"")</x:f>
        <x:v>0.2197844154963084</x:v>
      </x:c>
      <x:c r="T714" s="41" t="n">
        <x:f>IFERROR(I714-M714,"")</x:f>
        <x:v>5.010815999999999</x:v>
      </x:c>
      <x:c r="U714" s="41" t="n">
        <x:f>IFERROR(E714-M714,"")</x:f>
        <x:v>3.5767979999999993</x:v>
      </x:c>
      <x:c r="V714" s="41" t="str">
        <x:f>IF(AND(I714&gt;M714,J714&gt;N714),"Sí","No")</x:f>
        <x:v>Sí</x:v>
      </x:c>
      <x:c r="W714" s="41" t="str">
        <x:f>IF(AND(E714&gt;M714,F714&gt;N714),"Sí","No")</x:f>
        <x:v>Sí</x:v>
      </x:c>
      <x:c r="X714" s="41" t="str">
        <x:f>IF(L714&gt;=H714,"Weekly","No weekly")</x:f>
        <x:v>Weekly</x:v>
      </x:c>
      <x:c r="Y714" s="41" t="n">
        <x:f>IFERROR(I714-E714,"")</x:f>
        <x:v>1.434018</x:v>
      </x:c>
      <x:c r="Z714" s="41" t="n">
        <x:f>IFERROR(J714-F714,"")</x:f>
        <x:v>1.5015239999999999</x:v>
      </x:c>
      <x:c r="AA714" s="41" t="n">
        <x:v>12142</x:v>
      </x:c>
      <x:c r="AB714" s="41" t="n">
        <x:v>6199</x:v>
      </x:c>
    </x:row>
    <x:row r="715">
      <x:c r="A715" s="41" t="str">
        <x:v>HYP_REFINE_AUTO002_TOPN_6_V1_DDGRID_LONG_R12_C22_E75_CR33_REDD_RECOVERED_DD8_SL20</x:v>
      </x:c>
      <x:c r="B715" s="41" t="str">
        <x:v>dd_guard_grid</x:v>
      </x:c>
      <x:c r="C715" s="41" t="str">
        <x:v>1999-01-04</x:v>
      </x:c>
      <x:c r="D715" s="41" t="str">
        <x:v>2026-05-22</x:v>
      </x:c>
      <x:c r="E715" s="41" t="n">
        <x:v>12.071727</x:v>
      </x:c>
      <x:c r="F715" s="41" t="n">
        <x:v>-31.579607</x:v>
      </x:c>
      <x:c r="G715" s="41" t="n">
        <x:v>2165.31405</x:v>
      </x:c>
      <x:c r="H715" s="41" t="n">
        <x:f>IFERROR(E715/ABS(F715),"")</x:f>
        <x:v>0.38226337015530304</x:v>
      </x:c>
      <x:c r="I715" s="41" t="n">
        <x:v>11.78276</x:v>
      </x:c>
      <x:c r="J715" s="41" t="n">
        <x:v>-29.57039</x:v>
      </x:c>
      <x:c r="K715" s="41" t="n">
        <x:v>2010.720169</x:v>
      </x:c>
      <x:c r="L715" s="41" t="n">
        <x:f>IFERROR(I715/ABS(J715),"")</x:f>
        <x:v>0.39846481564835634</x:v>
      </x:c>
      <x:c r="M715" s="41" t="n">
        <x:v>6.802475</x:v>
      </x:c>
      <x:c r="N715" s="41" t="n">
        <x:v>-56.473669</x:v>
      </x:c>
      <x:c r="O715" s="41" t="n">
        <x:v>506.057416</x:v>
      </x:c>
      <x:c r="P715" s="41" t="n">
        <x:f>IFERROR(M715/ABS(N715),"")</x:f>
        <x:v>0.12045392340278087</x:v>
      </x:c>
      <x:c r="Q715" s="41" t="str">
        <x:f>IF(L715&gt;=MAX(H715,P715),"Weekly",IF(H715&gt;=MAX(L715,P715),"No weekly","SPY"))</x:f>
        <x:v>Weekly</x:v>
      </x:c>
      <x:c r="R715" s="41" t="n">
        <x:f>IFERROR(L715-P715,"")</x:f>
        <x:v>0.27801089224557546</x:v>
      </x:c>
      <x:c r="S715" s="41" t="n">
        <x:f>IFERROR(H715-P715,"")</x:f>
        <x:v>0.26180944675252216</x:v>
      </x:c>
      <x:c r="T715" s="41" t="n">
        <x:f>IFERROR(I715-M715,"")</x:f>
        <x:v>4.980284999999999</x:v>
      </x:c>
      <x:c r="U715" s="41" t="n">
        <x:f>IFERROR(E715-M715,"")</x:f>
        <x:v>5.269251999999999</x:v>
      </x:c>
      <x:c r="V715" s="41" t="str">
        <x:f>IF(AND(I715&gt;M715,J715&gt;N715),"Sí","No")</x:f>
        <x:v>Sí</x:v>
      </x:c>
      <x:c r="W715" s="41" t="str">
        <x:f>IF(AND(E715&gt;M715,F715&gt;N715),"Sí","No")</x:f>
        <x:v>Sí</x:v>
      </x:c>
      <x:c r="X715" s="41" t="str">
        <x:f>IF(L715&gt;=H715,"Weekly","No weekly")</x:f>
        <x:v>Weekly</x:v>
      </x:c>
      <x:c r="Y715" s="41" t="n">
        <x:f>IFERROR(I715-E715,"")</x:f>
        <x:v>-0.28896699999999953</x:v>
      </x:c>
      <x:c r="Z715" s="41" t="n">
        <x:f>IFERROR(J715-F715,"")</x:f>
        <x:v>2.0092169999999996</x:v>
      </x:c>
      <x:c r="AA715" s="41" t="n">
        <x:v>12338</x:v>
      </x:c>
      <x:c r="AB715" s="41" t="n">
        <x:v>6141</x:v>
      </x:c>
    </x:row>
    <x:row r="716">
      <x:c r="A716" s="41" t="str">
        <x:v>HYP_REFINE_AUTO002_TOPN_6_V1_DDGRID_LONG_R12_C22_E75_CR33_REDD_RECOVERED_DD8_SL22</x:v>
      </x:c>
      <x:c r="B716" s="41" t="str">
        <x:v>dd_guard_grid</x:v>
      </x:c>
      <x:c r="C716" s="41" t="str">
        <x:v>1999-01-04</x:v>
      </x:c>
      <x:c r="D716" s="41" t="str">
        <x:v>2026-05-22</x:v>
      </x:c>
      <x:c r="E716" s="41" t="n">
        <x:v>11.095356</x:v>
      </x:c>
      <x:c r="F716" s="41" t="n">
        <x:v>-32.522179</x:v>
      </x:c>
      <x:c r="G716" s="41" t="n">
        <x:v>1682.730344</x:v>
      </x:c>
      <x:c r="H716" s="41" t="n">
        <x:f>IFERROR(E716/ABS(F716),"")</x:f>
        <x:v>0.3411627492733497</x:v>
      </x:c>
      <x:c r="I716" s="41" t="n">
        <x:v>12.333781</x:v>
      </x:c>
      <x:c r="J716" s="41" t="n">
        <x:v>-28.771966</x:v>
      </x:c>
      <x:c r="K716" s="41" t="n">
        <x:v>2314.897522</x:v>
      </x:c>
      <x:c r="L716" s="41" t="n">
        <x:f>IFERROR(I716/ABS(J716),"")</x:f>
        <x:v>0.42867355675312563</x:v>
      </x:c>
      <x:c r="M716" s="41" t="n">
        <x:v>6.802475</x:v>
      </x:c>
      <x:c r="N716" s="41" t="n">
        <x:v>-56.473669</x:v>
      </x:c>
      <x:c r="O716" s="41" t="n">
        <x:v>506.057416</x:v>
      </x:c>
      <x:c r="P716" s="41" t="n">
        <x:f>IFERROR(M716/ABS(N716),"")</x:f>
        <x:v>0.12045392340278087</x:v>
      </x:c>
      <x:c r="Q716" s="41" t="str">
        <x:f>IF(L716&gt;=MAX(H716,P716),"Weekly",IF(H716&gt;=MAX(L716,P716),"No weekly","SPY"))</x:f>
        <x:v>Weekly</x:v>
      </x:c>
      <x:c r="R716" s="41" t="n">
        <x:f>IFERROR(L716-P716,"")</x:f>
        <x:v>0.30821963335034475</x:v>
      </x:c>
      <x:c r="S716" s="41" t="n">
        <x:f>IFERROR(H716-P716,"")</x:f>
        <x:v>0.22070882587056884</x:v>
      </x:c>
      <x:c r="T716" s="41" t="n">
        <x:f>IFERROR(I716-M716,"")</x:f>
        <x:v>5.531306</x:v>
      </x:c>
      <x:c r="U716" s="41" t="n">
        <x:f>IFERROR(E716-M716,"")</x:f>
        <x:v>4.292881</x:v>
      </x:c>
      <x:c r="V716" s="41" t="str">
        <x:f>IF(AND(I716&gt;M716,J716&gt;N716),"Sí","No")</x:f>
        <x:v>Sí</x:v>
      </x:c>
      <x:c r="W716" s="41" t="str">
        <x:f>IF(AND(E716&gt;M716,F716&gt;N716),"Sí","No")</x:f>
        <x:v>Sí</x:v>
      </x:c>
      <x:c r="X716" s="41" t="str">
        <x:f>IF(L716&gt;=H716,"Weekly","No weekly")</x:f>
        <x:v>Weekly</x:v>
      </x:c>
      <x:c r="Y716" s="41" t="n">
        <x:f>IFERROR(I716-E716,"")</x:f>
        <x:v>1.2384249999999994</x:v>
      </x:c>
      <x:c r="Z716" s="41" t="n">
        <x:f>IFERROR(J716-F716,"")</x:f>
        <x:v>3.7502130000000022</x:v>
      </x:c>
      <x:c r="AA716" s="41" t="n">
        <x:v>12162</x:v>
      </x:c>
      <x:c r="AB716" s="41" t="n">
        <x:v>6204</x:v>
      </x:c>
    </x:row>
    <x:row r="717">
      <x:c r="A717" s="41" t="str">
        <x:v>HYP_REFINE_AUTO002_TOPN_6_V1_DDGRID_LONG_R12_C22_E75_CR33_REDD_RECOVERED_DD8_SLNONE</x:v>
      </x:c>
      <x:c r="B717" s="41" t="str">
        <x:v>dd_guard_grid</x:v>
      </x:c>
      <x:c r="C717" s="41" t="str">
        <x:v>1999-01-04</x:v>
      </x:c>
      <x:c r="D717" s="41" t="str">
        <x:v>2026-05-22</x:v>
      </x:c>
      <x:c r="E717" s="41" t="n">
        <x:v>11.897753</x:v>
      </x:c>
      <x:c r="F717" s="41" t="n">
        <x:v>-32.573487</x:v>
      </x:c>
      <x:c r="G717" s="41" t="n">
        <x:v>2070.981444</x:v>
      </x:c>
      <x:c r="H717" s="41" t="n">
        <x:f>IFERROR(E717/ABS(F717),"")</x:f>
        <x:v>0.36525880695548496</x:v>
      </x:c>
      <x:c r="I717" s="41" t="n">
        <x:v>13.092628</x:v>
      </x:c>
      <x:c r="J717" s="41" t="n">
        <x:v>-28.747291</x:v>
      </x:c>
      <x:c r="K717" s="41" t="n">
        <x:v>2803.696733</x:v>
      </x:c>
      <x:c r="L717" s="41" t="n">
        <x:f>IFERROR(I717/ABS(J717),"")</x:f>
        <x:v>0.45543867072553024</x:v>
      </x:c>
      <x:c r="M717" s="41" t="n">
        <x:v>6.802475</x:v>
      </x:c>
      <x:c r="N717" s="41" t="n">
        <x:v>-56.473669</x:v>
      </x:c>
      <x:c r="O717" s="41" t="n">
        <x:v>506.057416</x:v>
      </x:c>
      <x:c r="P717" s="41" t="n">
        <x:f>IFERROR(M717/ABS(N717),"")</x:f>
        <x:v>0.12045392340278087</x:v>
      </x:c>
      <x:c r="Q717" s="41" t="str">
        <x:f>IF(L717&gt;=MAX(H717,P717),"Weekly",IF(H717&gt;=MAX(L717,P717),"No weekly","SPY"))</x:f>
        <x:v>Weekly</x:v>
      </x:c>
      <x:c r="R717" s="41" t="n">
        <x:f>IFERROR(L717-P717,"")</x:f>
        <x:v>0.33498474732274935</x:v>
      </x:c>
      <x:c r="S717" s="41" t="n">
        <x:f>IFERROR(H717-P717,"")</x:f>
        <x:v>0.24480488355270408</x:v>
      </x:c>
      <x:c r="T717" s="41" t="n">
        <x:f>IFERROR(I717-M717,"")</x:f>
        <x:v>6.290152999999999</x:v>
      </x:c>
      <x:c r="U717" s="41" t="n">
        <x:f>IFERROR(E717-M717,"")</x:f>
        <x:v>5.0952779999999995</x:v>
      </x:c>
      <x:c r="V717" s="41" t="str">
        <x:f>IF(AND(I717&gt;M717,J717&gt;N717),"Sí","No")</x:f>
        <x:v>Sí</x:v>
      </x:c>
      <x:c r="W717" s="41" t="str">
        <x:f>IF(AND(E717&gt;M717,F717&gt;N717),"Sí","No")</x:f>
        <x:v>Sí</x:v>
      </x:c>
      <x:c r="X717" s="41" t="str">
        <x:f>IF(L717&gt;=H717,"Weekly","No weekly")</x:f>
        <x:v>Weekly</x:v>
      </x:c>
      <x:c r="Y717" s="41" t="n">
        <x:f>IFERROR(I717-E717,"")</x:f>
        <x:v>1.1948749999999997</x:v>
      </x:c>
      <x:c r="Z717" s="41" t="n">
        <x:f>IFERROR(J717-F717,"")</x:f>
        <x:v>3.8261959999999995</x:v>
      </x:c>
      <x:c r="AA717" s="41" t="n">
        <x:v>12297</x:v>
      </x:c>
      <x:c r="AB717" s="41" t="n">
        <x:v>6714</x:v>
      </x:c>
    </x:row>
    <x:row r="718">
      <x:c r="A718" s="41" t="str">
        <x:v>HYP_REFINE_AUTO002_TOPN_6_V1_DDGRID_LONG_R12_C22_E75_CR33_REDD_RECOVERED_DD9_SL20</x:v>
      </x:c>
      <x:c r="B718" s="41" t="str">
        <x:v>dd_guard_grid</x:v>
      </x:c>
      <x:c r="C718" s="41" t="str">
        <x:v>1999-01-04</x:v>
      </x:c>
      <x:c r="D718" s="41" t="str">
        <x:v>2026-05-22</x:v>
      </x:c>
      <x:c r="E718" s="41" t="n">
        <x:v>11.572219</x:v>
      </x:c>
      <x:c r="F718" s="41" t="n">
        <x:v>-31.579607</x:v>
      </x:c>
      <x:c r="G718" s="41" t="n">
        <x:v>1904.53799</x:v>
      </x:c>
      <x:c r="H718" s="41" t="n">
        <x:f>IFERROR(E718/ABS(F718),"")</x:f>
        <x:v>0.3664459472215725</x:v>
      </x:c>
      <x:c r="I718" s="41" t="n">
        <x:v>10.942221</x:v>
      </x:c>
      <x:c r="J718" s="41" t="n">
        <x:v>-29.57039</x:v>
      </x:c>
      <x:c r="K718" s="41" t="n">
        <x:v>1616.661188</x:v>
      </x:c>
      <x:c r="L718" s="41" t="n">
        <x:f>IFERROR(I718/ABS(J718),"")</x:f>
        <x:v>0.370039793185007</x:v>
      </x:c>
      <x:c r="M718" s="41" t="n">
        <x:v>6.802475</x:v>
      </x:c>
      <x:c r="N718" s="41" t="n">
        <x:v>-56.473669</x:v>
      </x:c>
      <x:c r="O718" s="41" t="n">
        <x:v>506.057416</x:v>
      </x:c>
      <x:c r="P718" s="41" t="n">
        <x:f>IFERROR(M718/ABS(N718),"")</x:f>
        <x:v>0.12045392340278087</x:v>
      </x:c>
      <x:c r="Q718" s="41" t="str">
        <x:f>IF(L718&gt;=MAX(H718,P718),"Weekly",IF(H718&gt;=MAX(L718,P718),"No weekly","SPY"))</x:f>
        <x:v>Weekly</x:v>
      </x:c>
      <x:c r="R718" s="41" t="n">
        <x:f>IFERROR(L718-P718,"")</x:f>
        <x:v>0.24958586978222613</x:v>
      </x:c>
      <x:c r="S718" s="41" t="n">
        <x:f>IFERROR(H718-P718,"")</x:f>
        <x:v>0.2459920238187916</x:v>
      </x:c>
      <x:c r="T718" s="41" t="n">
        <x:f>IFERROR(I718-M718,"")</x:f>
        <x:v>4.139746</x:v>
      </x:c>
      <x:c r="U718" s="41" t="n">
        <x:f>IFERROR(E718-M718,"")</x:f>
        <x:v>4.769744</x:v>
      </x:c>
      <x:c r="V718" s="41" t="str">
        <x:f>IF(AND(I718&gt;M718,J718&gt;N718),"Sí","No")</x:f>
        <x:v>Sí</x:v>
      </x:c>
      <x:c r="W718" s="41" t="str">
        <x:f>IF(AND(E718&gt;M718,F718&gt;N718),"Sí","No")</x:f>
        <x:v>Sí</x:v>
      </x:c>
      <x:c r="X718" s="41" t="str">
        <x:f>IF(L718&gt;=H718,"Weekly","No weekly")</x:f>
        <x:v>Weekly</x:v>
      </x:c>
      <x:c r="Y718" s="41" t="n">
        <x:f>IFERROR(I718-E718,"")</x:f>
        <x:v>-0.6299980000000005</x:v>
      </x:c>
      <x:c r="Z718" s="41" t="n">
        <x:f>IFERROR(J718-F718,"")</x:f>
        <x:v>2.0092169999999996</x:v>
      </x:c>
      <x:c r="AA718" s="41" t="n">
        <x:v>12632</x:v>
      </x:c>
      <x:c r="AB718" s="41" t="n">
        <x:v>5966</x:v>
      </x:c>
    </x:row>
    <x:row r="719">
      <x:c r="A719" s="41" t="str">
        <x:v>HYP_REFINE_AUTO002_TOPN_6_V1_DDGRID_LONG_R12_C22_E75_CR36_REDD_RECOVERED_DD10_SL20</x:v>
      </x:c>
      <x:c r="B719" s="41" t="str">
        <x:v>dd_guard_grid</x:v>
      </x:c>
      <x:c r="C719" s="41" t="str">
        <x:v>1999-01-04</x:v>
      </x:c>
      <x:c r="D719" s="41" t="str">
        <x:v>2026-05-22</x:v>
      </x:c>
      <x:c r="E719" s="41" t="n">
        <x:v>11.631247</x:v>
      </x:c>
      <x:c r="F719" s="41" t="n">
        <x:v>-32.035625</x:v>
      </x:c>
      <x:c r="G719" s="41" t="n">
        <x:v>1933.776462</x:v>
      </x:c>
      <x:c r="H719" s="41" t="n">
        <x:f>IFERROR(E719/ABS(F719),"")</x:f>
        <x:v>0.3630722672025284</x:v>
      </x:c>
      <x:c r="I719" s="41" t="n">
        <x:v>12.361471</x:v>
      </x:c>
      <x:c r="J719" s="41" t="n">
        <x:v>-29.110166</x:v>
      </x:c>
      <x:c r="K719" s="41" t="n">
        <x:v>2331.248387</x:v>
      </x:c>
      <x:c r="L719" s="41" t="n">
        <x:f>IFERROR(I719/ABS(J719),"")</x:f>
        <x:v>0.42464446956434393</x:v>
      </x:c>
      <x:c r="M719" s="41" t="n">
        <x:v>6.802475</x:v>
      </x:c>
      <x:c r="N719" s="41" t="n">
        <x:v>-56.473669</x:v>
      </x:c>
      <x:c r="O719" s="41" t="n">
        <x:v>506.057416</x:v>
      </x:c>
      <x:c r="P719" s="41" t="n">
        <x:f>IFERROR(M719/ABS(N719),"")</x:f>
        <x:v>0.12045392340278087</x:v>
      </x:c>
      <x:c r="Q719" s="41" t="str">
        <x:f>IF(L719&gt;=MAX(H719,P719),"Weekly",IF(H719&gt;=MAX(L719,P719),"No weekly","SPY"))</x:f>
        <x:v>Weekly</x:v>
      </x:c>
      <x:c r="R719" s="41" t="n">
        <x:f>IFERROR(L719-P719,"")</x:f>
        <x:v>0.30419054616156305</x:v>
      </x:c>
      <x:c r="S719" s="41" t="n">
        <x:f>IFERROR(H719-P719,"")</x:f>
        <x:v>0.2426183437997475</x:v>
      </x:c>
      <x:c r="T719" s="41" t="n">
        <x:f>IFERROR(I719-M719,"")</x:f>
        <x:v>5.558996</x:v>
      </x:c>
      <x:c r="U719" s="41" t="n">
        <x:f>IFERROR(E719-M719,"")</x:f>
        <x:v>4.828772</x:v>
      </x:c>
      <x:c r="V719" s="41" t="str">
        <x:f>IF(AND(I719&gt;M719,J719&gt;N719),"Sí","No")</x:f>
        <x:v>Sí</x:v>
      </x:c>
      <x:c r="W719" s="41" t="str">
        <x:f>IF(AND(E719&gt;M719,F719&gt;N719),"Sí","No")</x:f>
        <x:v>Sí</x:v>
      </x:c>
      <x:c r="X719" s="41" t="str">
        <x:f>IF(L719&gt;=H719,"Weekly","No weekly")</x:f>
        <x:v>Weekly</x:v>
      </x:c>
      <x:c r="Y719" s="41" t="n">
        <x:f>IFERROR(I719-E719,"")</x:f>
        <x:v>0.7302239999999998</x:v>
      </x:c>
      <x:c r="Z719" s="41" t="n">
        <x:f>IFERROR(J719-F719,"")</x:f>
        <x:v>2.9254590000000036</x:v>
      </x:c>
      <x:c r="AA719" s="41" t="n">
        <x:v>11617</x:v>
      </x:c>
      <x:c r="AB719" s="41" t="n">
        <x:v>5773</x:v>
      </x:c>
    </x:row>
    <x:row r="720">
      <x:c r="A720" s="41" t="str">
        <x:v>HYP_REFINE_AUTO002_TOPN_6_V1_DDGRID_LONG_R12_C22_E75_CR36_REDD_RECOVERED_DD6_SL20</x:v>
      </x:c>
      <x:c r="B720" s="41" t="str">
        <x:v>dd_guard_grid</x:v>
      </x:c>
      <x:c r="C720" s="41" t="str">
        <x:v>1999-01-04</x:v>
      </x:c>
      <x:c r="D720" s="41" t="str">
        <x:v>2026-05-22</x:v>
      </x:c>
      <x:c r="E720" s="41" t="n">
        <x:v>12.440758</x:v>
      </x:c>
      <x:c r="F720" s="41" t="n">
        <x:v>-32.035625</x:v>
      </x:c>
      <x:c r="G720" s="41" t="n">
        <x:v>2378.658408</x:v>
      </x:c>
      <x:c r="H720" s="41" t="n">
        <x:f>IFERROR(E720/ABS(F720),"")</x:f>
        <x:v>0.3883413543516007</x:v>
      </x:c>
      <x:c r="I720" s="41" t="n">
        <x:v>11.595069</x:v>
      </x:c>
      <x:c r="J720" s="41" t="n">
        <x:v>-29.110166</x:v>
      </x:c>
      <x:c r="K720" s="41" t="n">
        <x:v>1915.807989</x:v>
      </x:c>
      <x:c r="L720" s="41" t="n">
        <x:f>IFERROR(I720/ABS(J720),"")</x:f>
        <x:v>0.398316828560854</x:v>
      </x:c>
      <x:c r="M720" s="41" t="n">
        <x:v>6.802475</x:v>
      </x:c>
      <x:c r="N720" s="41" t="n">
        <x:v>-56.473669</x:v>
      </x:c>
      <x:c r="O720" s="41" t="n">
        <x:v>506.057416</x:v>
      </x:c>
      <x:c r="P720" s="41" t="n">
        <x:f>IFERROR(M720/ABS(N720),"")</x:f>
        <x:v>0.12045392340278087</x:v>
      </x:c>
      <x:c r="Q720" s="41" t="str">
        <x:f>IF(L720&gt;=MAX(H720,P720),"Weekly",IF(H720&gt;=MAX(L720,P720),"No weekly","SPY"))</x:f>
        <x:v>Weekly</x:v>
      </x:c>
      <x:c r="R720" s="41" t="n">
        <x:f>IFERROR(L720-P720,"")</x:f>
        <x:v>0.2778629051580731</x:v>
      </x:c>
      <x:c r="S720" s="41" t="n">
        <x:f>IFERROR(H720-P720,"")</x:f>
        <x:v>0.26788743094881984</x:v>
      </x:c>
      <x:c r="T720" s="41" t="n">
        <x:f>IFERROR(I720-M720,"")</x:f>
        <x:v>4.792594</x:v>
      </x:c>
      <x:c r="U720" s="41" t="n">
        <x:f>IFERROR(E720-M720,"")</x:f>
        <x:v>5.638283</x:v>
      </x:c>
      <x:c r="V720" s="41" t="str">
        <x:f>IF(AND(I720&gt;M720,J720&gt;N720),"Sí","No")</x:f>
        <x:v>Sí</x:v>
      </x:c>
      <x:c r="W720" s="41" t="str">
        <x:f>IF(AND(E720&gt;M720,F720&gt;N720),"Sí","No")</x:f>
        <x:v>Sí</x:v>
      </x:c>
      <x:c r="X720" s="41" t="str">
        <x:f>IF(L720&gt;=H720,"Weekly","No weekly")</x:f>
        <x:v>Weekly</x:v>
      </x:c>
      <x:c r="Y720" s="41" t="n">
        <x:f>IFERROR(I720-E720,"")</x:f>
        <x:v>-0.8456890000000001</x:v>
      </x:c>
      <x:c r="Z720" s="41" t="n">
        <x:f>IFERROR(J720-F720,"")</x:f>
        <x:v>2.9254590000000036</x:v>
      </x:c>
      <x:c r="AA720" s="41" t="n">
        <x:v>12470</x:v>
      </x:c>
      <x:c r="AB720" s="41" t="n">
        <x:v>6558</x:v>
      </x:c>
    </x:row>
    <x:row r="721">
      <x:c r="A721" s="41" t="str">
        <x:v>HYP_REFINE_AUTO002_TOPN_6_V1_DDGRID_LONG_R12_C22_E75_CR36_REDD_RECOVERED_DD7_SL18</x:v>
      </x:c>
      <x:c r="B721" s="41" t="str">
        <x:v>dd_guard_grid</x:v>
      </x:c>
      <x:c r="C721" s="41" t="str">
        <x:v>1999-01-04</x:v>
      </x:c>
      <x:c r="D721" s="41" t="str">
        <x:v>2026-05-22</x:v>
      </x:c>
      <x:c r="E721" s="41" t="n">
        <x:v>11.571137</x:v>
      </x:c>
      <x:c r="F721" s="41" t="n">
        <x:v>-30.808229</x:v>
      </x:c>
      <x:c r="G721" s="41" t="n">
        <x:v>1904.005428</x:v>
      </x:c>
      <x:c r="H721" s="41" t="n">
        <x:f>IFERROR(E721/ABS(F721),"")</x:f>
        <x:v>0.3755859189439289</x:v>
      </x:c>
      <x:c r="I721" s="41" t="n">
        <x:v>11.666798</x:v>
      </x:c>
      <x:c r="J721" s="41" t="n">
        <x:v>-29.289911</x:v>
      </x:c>
      <x:c r="K721" s="41" t="n">
        <x:v>1951.584053</x:v>
      </x:c>
      <x:c r="L721" s="41" t="n">
        <x:f>IFERROR(I721/ABS(J721),"")</x:f>
        <x:v>0.3983213878662861</x:v>
      </x:c>
      <x:c r="M721" s="41" t="n">
        <x:v>6.802475</x:v>
      </x:c>
      <x:c r="N721" s="41" t="n">
        <x:v>-56.473669</x:v>
      </x:c>
      <x:c r="O721" s="41" t="n">
        <x:v>506.057416</x:v>
      </x:c>
      <x:c r="P721" s="41" t="n">
        <x:f>IFERROR(M721/ABS(N721),"")</x:f>
        <x:v>0.12045392340278087</x:v>
      </x:c>
      <x:c r="Q721" s="41" t="str">
        <x:f>IF(L721&gt;=MAX(H721,P721),"Weekly",IF(H721&gt;=MAX(L721,P721),"No weekly","SPY"))</x:f>
        <x:v>Weekly</x:v>
      </x:c>
      <x:c r="R721" s="41" t="n">
        <x:f>IFERROR(L721-P721,"")</x:f>
        <x:v>0.27786746446350524</x:v>
      </x:c>
      <x:c r="S721" s="41" t="n">
        <x:f>IFERROR(H721-P721,"")</x:f>
        <x:v>0.255131995541148</x:v>
      </x:c>
      <x:c r="T721" s="41" t="n">
        <x:f>IFERROR(I721-M721,"")</x:f>
        <x:v>4.864323</x:v>
      </x:c>
      <x:c r="U721" s="41" t="n">
        <x:f>IFERROR(E721-M721,"")</x:f>
        <x:v>4.768662</x:v>
      </x:c>
      <x:c r="V721" s="41" t="str">
        <x:f>IF(AND(I721&gt;M721,J721&gt;N721),"Sí","No")</x:f>
        <x:v>Sí</x:v>
      </x:c>
      <x:c r="W721" s="41" t="str">
        <x:f>IF(AND(E721&gt;M721,F721&gt;N721),"Sí","No")</x:f>
        <x:v>Sí</x:v>
      </x:c>
      <x:c r="X721" s="41" t="str">
        <x:f>IF(L721&gt;=H721,"Weekly","No weekly")</x:f>
        <x:v>Weekly</x:v>
      </x:c>
      <x:c r="Y721" s="41" t="n">
        <x:f>IFERROR(I721-E721,"")</x:f>
        <x:v>0.09566099999999977</x:v>
      </x:c>
      <x:c r="Z721" s="41" t="n">
        <x:f>IFERROR(J721-F721,"")</x:f>
        <x:v>1.5183180000000007</x:v>
      </x:c>
      <x:c r="AA721" s="41" t="n">
        <x:v>12219</x:v>
      </x:c>
      <x:c r="AB721" s="41" t="n">
        <x:v>6169</x:v>
      </x:c>
    </x:row>
    <x:row r="722">
      <x:c r="A722" s="41" t="str">
        <x:v>HYP_REFINE_AUTO002_TOPN_6_V1_DDGRID_LONG_R12_C22_E75_CR36_REDD_RECOVERED_DD7_SL20</x:v>
      </x:c>
      <x:c r="B722" s="41" t="str">
        <x:v>dd_guard_grid</x:v>
      </x:c>
      <x:c r="C722" s="41" t="str">
        <x:v>1999-01-04</x:v>
      </x:c>
      <x:c r="D722" s="41" t="str">
        <x:v>2026-05-22</x:v>
      </x:c>
      <x:c r="E722" s="41" t="n">
        <x:v>12.215092</x:v>
      </x:c>
      <x:c r="F722" s="41" t="n">
        <x:v>-32.035625</x:v>
      </x:c>
      <x:c r="G722" s="41" t="n">
        <x:v>2246.006026</x:v>
      </x:c>
      <x:c r="H722" s="41" t="n">
        <x:f>IFERROR(E722/ABS(F722),"")</x:f>
        <x:v>0.3812971340499834</x:v>
      </x:c>
      <x:c r="I722" s="41" t="n">
        <x:v>11.885705</x:v>
      </x:c>
      <x:c r="J722" s="41" t="n">
        <x:v>-29.110166</x:v>
      </x:c>
      <x:c r="K722" s="41" t="n">
        <x:v>2064.591144</x:v>
      </x:c>
      <x:c r="L722" s="41" t="n">
        <x:f>IFERROR(I722/ABS(J722),"")</x:f>
        <x:v>0.4083008320873196</x:v>
      </x:c>
      <x:c r="M722" s="41" t="n">
        <x:v>6.802475</x:v>
      </x:c>
      <x:c r="N722" s="41" t="n">
        <x:v>-56.473669</x:v>
      </x:c>
      <x:c r="O722" s="41" t="n">
        <x:v>506.057416</x:v>
      </x:c>
      <x:c r="P722" s="41" t="n">
        <x:f>IFERROR(M722/ABS(N722),"")</x:f>
        <x:v>0.12045392340278087</x:v>
      </x:c>
      <x:c r="Q722" s="41" t="str">
        <x:f>IF(L722&gt;=MAX(H722,P722),"Weekly",IF(H722&gt;=MAX(L722,P722),"No weekly","SPY"))</x:f>
        <x:v>Weekly</x:v>
      </x:c>
      <x:c r="R722" s="41" t="n">
        <x:f>IFERROR(L722-P722,"")</x:f>
        <x:v>0.2878469086845387</x:v>
      </x:c>
      <x:c r="S722" s="41" t="n">
        <x:f>IFERROR(H722-P722,"")</x:f>
        <x:v>0.2608432106472025</x:v>
      </x:c>
      <x:c r="T722" s="41" t="n">
        <x:f>IFERROR(I722-M722,"")</x:f>
        <x:v>5.0832299999999995</x:v>
      </x:c>
      <x:c r="U722" s="41" t="n">
        <x:f>IFERROR(E722-M722,"")</x:f>
        <x:v>5.412617</x:v>
      </x:c>
      <x:c r="V722" s="41" t="str">
        <x:f>IF(AND(I722&gt;M722,J722&gt;N722),"Sí","No")</x:f>
        <x:v>Sí</x:v>
      </x:c>
      <x:c r="W722" s="41" t="str">
        <x:f>IF(AND(E722&gt;M722,F722&gt;N722),"Sí","No")</x:f>
        <x:v>Sí</x:v>
      </x:c>
      <x:c r="X722" s="41" t="str">
        <x:f>IF(L722&gt;=H722,"Weekly","No weekly")</x:f>
        <x:v>Weekly</x:v>
      </x:c>
      <x:c r="Y722" s="41" t="n">
        <x:f>IFERROR(I722-E722,"")</x:f>
        <x:v>-0.32938700000000054</x:v>
      </x:c>
      <x:c r="Z722" s="41" t="n">
        <x:f>IFERROR(J722-F722,"")</x:f>
        <x:v>2.9254590000000036</x:v>
      </x:c>
      <x:c r="AA722" s="41" t="n">
        <x:v>12267</x:v>
      </x:c>
      <x:c r="AB722" s="41" t="n">
        <x:v>6336</x:v>
      </x:c>
    </x:row>
    <x:row r="723">
      <x:c r="A723" s="41" t="str">
        <x:v>HYP_REFINE_AUTO002_TOPN_6_V1_DDGRID_LONG_R12_C22_E75_CR36_REDD_RECOVERED_DD7_SL22</x:v>
      </x:c>
      <x:c r="B723" s="41" t="str">
        <x:v>dd_guard_grid</x:v>
      </x:c>
      <x:c r="C723" s="41" t="str">
        <x:v>1999-01-04</x:v>
      </x:c>
      <x:c r="D723" s="41" t="str">
        <x:v>2026-05-22</x:v>
      </x:c>
      <x:c r="E723" s="41" t="n">
        <x:v>12.081711</x:v>
      </x:c>
      <x:c r="F723" s="41" t="n">
        <x:v>-32.572506</x:v>
      </x:c>
      <x:c r="G723" s="41" t="n">
        <x:v>2170.845352</x:v>
      </x:c>
      <x:c r="H723" s="41" t="n">
        <x:f>IFERROR(E723/ABS(F723),"")</x:f>
        <x:v>0.37091745412526755</x:v>
      </x:c>
      <x:c r="I723" s="41" t="n">
        <x:v>11.851306</x:v>
      </x:c>
      <x:c r="J723" s="41" t="n">
        <x:v>-29.006938</x:v>
      </x:c>
      <x:c r="K723" s="41" t="n">
        <x:v>2046.44419</x:v>
      </x:c>
      <x:c r="L723" s="41" t="n">
        <x:f>IFERROR(I723/ABS(J723),"")</x:f>
        <x:v>0.4085679777713869</x:v>
      </x:c>
      <x:c r="M723" s="41" t="n">
        <x:v>6.802475</x:v>
      </x:c>
      <x:c r="N723" s="41" t="n">
        <x:v>-56.473669</x:v>
      </x:c>
      <x:c r="O723" s="41" t="n">
        <x:v>506.057416</x:v>
      </x:c>
      <x:c r="P723" s="41" t="n">
        <x:f>IFERROR(M723/ABS(N723),"")</x:f>
        <x:v>0.12045392340278087</x:v>
      </x:c>
      <x:c r="Q723" s="41" t="str">
        <x:f>IF(L723&gt;=MAX(H723,P723),"Weekly",IF(H723&gt;=MAX(L723,P723),"No weekly","SPY"))</x:f>
        <x:v>Weekly</x:v>
      </x:c>
      <x:c r="R723" s="41" t="n">
        <x:f>IFERROR(L723-P723,"")</x:f>
        <x:v>0.28811405436860604</x:v>
      </x:c>
      <x:c r="S723" s="41" t="n">
        <x:f>IFERROR(H723-P723,"")</x:f>
        <x:v>0.25046353072248667</x:v>
      </x:c>
      <x:c r="T723" s="41" t="n">
        <x:f>IFERROR(I723-M723,"")</x:f>
        <x:v>5.048830999999999</x:v>
      </x:c>
      <x:c r="U723" s="41" t="n">
        <x:f>IFERROR(E723-M723,"")</x:f>
        <x:v>5.279236</x:v>
      </x:c>
      <x:c r="V723" s="41" t="str">
        <x:f>IF(AND(I723&gt;M723,J723&gt;N723),"Sí","No")</x:f>
        <x:v>Sí</x:v>
      </x:c>
      <x:c r="W723" s="41" t="str">
        <x:f>IF(AND(E723&gt;M723,F723&gt;N723),"Sí","No")</x:f>
        <x:v>Sí</x:v>
      </x:c>
      <x:c r="X723" s="41" t="str">
        <x:f>IF(L723&gt;=H723,"Weekly","No weekly")</x:f>
        <x:v>Weekly</x:v>
      </x:c>
      <x:c r="Y723" s="41" t="n">
        <x:f>IFERROR(I723-E723,"")</x:f>
        <x:v>-0.23040500000000108</x:v>
      </x:c>
      <x:c r="Z723" s="41" t="n">
        <x:f>IFERROR(J723-F723,"")</x:f>
        <x:v>3.5655679999999954</x:v>
      </x:c>
      <x:c r="AA723" s="41" t="n">
        <x:v>12451</x:v>
      </x:c>
      <x:c r="AB723" s="41" t="n">
        <x:v>6304</x:v>
      </x:c>
    </x:row>
    <x:row r="724">
      <x:c r="A724" s="41" t="str">
        <x:v>HYP_REFINE_AUTO002_TOPN_6_V1_DDGRID_LONG_R12_C22_E75_CR36_REDD_RECOVERED_DD7_SL24</x:v>
      </x:c>
      <x:c r="B724" s="41" t="str">
        <x:v>dd_guard_grid</x:v>
      </x:c>
      <x:c r="C724" s="41" t="str">
        <x:v>1999-01-04</x:v>
      </x:c>
      <x:c r="D724" s="41" t="str">
        <x:v>2026-05-22</x:v>
      </x:c>
      <x:c r="E724" s="41" t="n">
        <x:v>11.273624</x:v>
      </x:c>
      <x:c r="F724" s="41" t="n">
        <x:v>-33.397059</x:v>
      </x:c>
      <x:c r="G724" s="41" t="n">
        <x:v>1762.730941</x:v>
      </x:c>
      <x:c r="H724" s="41" t="n">
        <x:f>IFERROR(E724/ABS(F724),"")</x:f>
        <x:v>0.3375633764637779</x:v>
      </x:c>
      <x:c r="I724" s="41" t="n">
        <x:v>11.735653</x:v>
      </x:c>
      <x:c r="J724" s="41" t="n">
        <x:v>-29.129944</x:v>
      </x:c>
      <x:c r="K724" s="41" t="n">
        <x:v>1986.502099</x:v>
      </x:c>
      <x:c r="L724" s="41" t="n">
        <x:f>IFERROR(I724/ABS(J724),"")</x:f>
        <x:v>0.40287248749946103</x:v>
      </x:c>
      <x:c r="M724" s="41" t="n">
        <x:v>6.802475</x:v>
      </x:c>
      <x:c r="N724" s="41" t="n">
        <x:v>-56.473669</x:v>
      </x:c>
      <x:c r="O724" s="41" t="n">
        <x:v>506.057416</x:v>
      </x:c>
      <x:c r="P724" s="41" t="n">
        <x:f>IFERROR(M724/ABS(N724),"")</x:f>
        <x:v>0.12045392340278087</x:v>
      </x:c>
      <x:c r="Q724" s="41" t="str">
        <x:f>IF(L724&gt;=MAX(H724,P724),"Weekly",IF(H724&gt;=MAX(L724,P724),"No weekly","SPY"))</x:f>
        <x:v>Weekly</x:v>
      </x:c>
      <x:c r="R724" s="41" t="n">
        <x:f>IFERROR(L724-P724,"")</x:f>
        <x:v>0.28241856409668015</x:v>
      </x:c>
      <x:c r="S724" s="41" t="n">
        <x:f>IFERROR(H724-P724,"")</x:f>
        <x:v>0.217109453060997</x:v>
      </x:c>
      <x:c r="T724" s="41" t="n">
        <x:f>IFERROR(I724-M724,"")</x:f>
        <x:v>4.933177999999999</x:v>
      </x:c>
      <x:c r="U724" s="41" t="n">
        <x:f>IFERROR(E724-M724,"")</x:f>
        <x:v>4.471149</x:v>
      </x:c>
      <x:c r="V724" s="41" t="str">
        <x:f>IF(AND(I724&gt;M724,J724&gt;N724),"Sí","No")</x:f>
        <x:v>Sí</x:v>
      </x:c>
      <x:c r="W724" s="41" t="str">
        <x:f>IF(AND(E724&gt;M724,F724&gt;N724),"Sí","No")</x:f>
        <x:v>Sí</x:v>
      </x:c>
      <x:c r="X724" s="41" t="str">
        <x:f>IF(L724&gt;=H724,"Weekly","No weekly")</x:f>
        <x:v>Weekly</x:v>
      </x:c>
      <x:c r="Y724" s="41" t="n">
        <x:f>IFERROR(I724-E724,"")</x:f>
        <x:v>0.46202899999999936</x:v>
      </x:c>
      <x:c r="Z724" s="41" t="n">
        <x:f>IFERROR(J724-F724,"")</x:f>
        <x:v>4.267115</x:v>
      </x:c>
      <x:c r="AA724" s="41" t="n">
        <x:v>12528</x:v>
      </x:c>
      <x:c r="AB724" s="41" t="n">
        <x:v>6198</x:v>
      </x:c>
    </x:row>
    <x:row r="725">
      <x:c r="A725" s="41" t="str">
        <x:v>HYP_REFINE_AUTO002_TOPN_6_V1_DDGRID_LONG_R12_C22_E75_CR36_REDD_RECOVERED_DD7_SLNONE</x:v>
      </x:c>
      <x:c r="B725" s="41" t="str">
        <x:v>dd_guard_grid</x:v>
      </x:c>
      <x:c r="C725" s="41" t="str">
        <x:v>1999-01-04</x:v>
      </x:c>
      <x:c r="D725" s="41" t="str">
        <x:v>2026-05-22</x:v>
      </x:c>
      <x:c r="E725" s="41" t="n">
        <x:v>12.34881</x:v>
      </x:c>
      <x:c r="F725" s="41" t="n">
        <x:v>-32.933403</x:v>
      </x:c>
      <x:c r="G725" s="41" t="n">
        <x:v>2323.758865</x:v>
      </x:c>
      <x:c r="H725" s="41" t="n">
        <x:f>IFERROR(E725/ABS(F725),"")</x:f>
        <x:v>0.37496307320564476</x:v>
      </x:c>
      <x:c r="I725" s="41" t="n">
        <x:v>12.630962</x:v>
      </x:c>
      <x:c r="J725" s="41" t="n">
        <x:v>-30.967174</x:v>
      </x:c>
      <x:c r="K725" s="41" t="n">
        <x:v>2496.051783</x:v>
      </x:c>
      <x:c r="L725" s="41" t="n">
        <x:f>IFERROR(I725/ABS(J725),"")</x:f>
        <x:v>0.4078822949746722</x:v>
      </x:c>
      <x:c r="M725" s="41" t="n">
        <x:v>6.802475</x:v>
      </x:c>
      <x:c r="N725" s="41" t="n">
        <x:v>-56.473669</x:v>
      </x:c>
      <x:c r="O725" s="41" t="n">
        <x:v>506.057416</x:v>
      </x:c>
      <x:c r="P725" s="41" t="n">
        <x:f>IFERROR(M725/ABS(N725),"")</x:f>
        <x:v>0.12045392340278087</x:v>
      </x:c>
      <x:c r="Q725" s="41" t="str">
        <x:f>IF(L725&gt;=MAX(H725,P725),"Weekly",IF(H725&gt;=MAX(L725,P725),"No weekly","SPY"))</x:f>
        <x:v>Weekly</x:v>
      </x:c>
      <x:c r="R725" s="41" t="n">
        <x:f>IFERROR(L725-P725,"")</x:f>
        <x:v>0.28742837157189133</x:v>
      </x:c>
      <x:c r="S725" s="41" t="n">
        <x:f>IFERROR(H725-P725,"")</x:f>
        <x:v>0.2545091498028639</x:v>
      </x:c>
      <x:c r="T725" s="41" t="n">
        <x:f>IFERROR(I725-M725,"")</x:f>
        <x:v>5.828487</x:v>
      </x:c>
      <x:c r="U725" s="41" t="n">
        <x:f>IFERROR(E725-M725,"")</x:f>
        <x:v>5.546335</x:v>
      </x:c>
      <x:c r="V725" s="41" t="str">
        <x:f>IF(AND(I725&gt;M725,J725&gt;N725),"Sí","No")</x:f>
        <x:v>Sí</x:v>
      </x:c>
      <x:c r="W725" s="41" t="str">
        <x:f>IF(AND(E725&gt;M725,F725&gt;N725),"Sí","No")</x:f>
        <x:v>Sí</x:v>
      </x:c>
      <x:c r="X725" s="41" t="str">
        <x:f>IF(L725&gt;=H725,"Weekly","No weekly")</x:f>
        <x:v>Weekly</x:v>
      </x:c>
      <x:c r="Y725" s="41" t="n">
        <x:f>IFERROR(I725-E725,"")</x:f>
        <x:v>0.28215199999999996</x:v>
      </x:c>
      <x:c r="Z725" s="41" t="n">
        <x:f>IFERROR(J725-F725,"")</x:f>
        <x:v>1.9662289999999985</x:v>
      </x:c>
      <x:c r="AA725" s="41" t="n">
        <x:v>12582</x:v>
      </x:c>
      <x:c r="AB725" s="41" t="n">
        <x:v>6850</x:v>
      </x:c>
    </x:row>
    <x:row r="726">
      <x:c r="A726" s="41" t="str">
        <x:v>HYP_REFINE_AUTO002_TOPN_6_V1_DDGRID_LONG_R12_C22_E75_CR36_REDD_RECOVERED_DD8_SL18</x:v>
      </x:c>
      <x:c r="B726" s="41" t="str">
        <x:v>dd_guard_grid</x:v>
      </x:c>
      <x:c r="C726" s="41" t="str">
        <x:v>1999-01-04</x:v>
      </x:c>
      <x:c r="D726" s="41" t="str">
        <x:v>2026-05-22</x:v>
      </x:c>
      <x:c r="E726" s="41" t="n">
        <x:v>11.267684</x:v>
      </x:c>
      <x:c r="F726" s="41" t="n">
        <x:v>-30.808907</x:v>
      </x:c>
      <x:c r="G726" s="41" t="n">
        <x:v>1760.010138</x:v>
      </x:c>
      <x:c r="H726" s="41" t="n">
        <x:f>IFERROR(E726/ABS(F726),"")</x:f>
        <x:v>0.3657281318029231</x:v>
      </x:c>
      <x:c r="I726" s="41" t="n">
        <x:v>12.038516</x:v>
      </x:c>
      <x:c r="J726" s="41" t="n">
        <x:v>-29.289911</x:v>
      </x:c>
      <x:c r="K726" s="41" t="n">
        <x:v>2147.00654</x:v>
      </x:c>
      <x:c r="L726" s="41" t="n">
        <x:f>IFERROR(I726/ABS(J726),"")</x:f>
        <x:v>0.4110123789724045</x:v>
      </x:c>
      <x:c r="M726" s="41" t="n">
        <x:v>6.802475</x:v>
      </x:c>
      <x:c r="N726" s="41" t="n">
        <x:v>-56.473669</x:v>
      </x:c>
      <x:c r="O726" s="41" t="n">
        <x:v>506.057416</x:v>
      </x:c>
      <x:c r="P726" s="41" t="n">
        <x:f>IFERROR(M726/ABS(N726),"")</x:f>
        <x:v>0.12045392340278087</x:v>
      </x:c>
      <x:c r="Q726" s="41" t="str">
        <x:f>IF(L726&gt;=MAX(H726,P726),"Weekly",IF(H726&gt;=MAX(L726,P726),"No weekly","SPY"))</x:f>
        <x:v>Weekly</x:v>
      </x:c>
      <x:c r="R726" s="41" t="n">
        <x:f>IFERROR(L726-P726,"")</x:f>
        <x:v>0.2905584555696236</x:v>
      </x:c>
      <x:c r="S726" s="41" t="n">
        <x:f>IFERROR(H726-P726,"")</x:f>
        <x:v>0.2452742084001422</x:v>
      </x:c>
      <x:c r="T726" s="41" t="n">
        <x:f>IFERROR(I726-M726,"")</x:f>
        <x:v>5.236040999999999</x:v>
      </x:c>
      <x:c r="U726" s="41" t="n">
        <x:f>IFERROR(E726-M726,"")</x:f>
        <x:v>4.465208999999999</x:v>
      </x:c>
      <x:c r="V726" s="41" t="str">
        <x:f>IF(AND(I726&gt;M726,J726&gt;N726),"Sí","No")</x:f>
        <x:v>Sí</x:v>
      </x:c>
      <x:c r="W726" s="41" t="str">
        <x:f>IF(AND(E726&gt;M726,F726&gt;N726),"Sí","No")</x:f>
        <x:v>Sí</x:v>
      </x:c>
      <x:c r="X726" s="41" t="str">
        <x:f>IF(L726&gt;=H726,"Weekly","No weekly")</x:f>
        <x:v>Weekly</x:v>
      </x:c>
      <x:c r="Y726" s="41" t="n">
        <x:f>IFERROR(I726-E726,"")</x:f>
        <x:v>0.7708320000000004</x:v>
      </x:c>
      <x:c r="Z726" s="41" t="n">
        <x:f>IFERROR(J726-F726,"")</x:f>
        <x:v>1.5189960000000013</x:v>
      </x:c>
      <x:c r="AA726" s="41" t="n">
        <x:v>11968</x:v>
      </x:c>
      <x:c r="AB726" s="41" t="n">
        <x:v>6040</x:v>
      </x:c>
    </x:row>
    <x:row r="727">
      <x:c r="A727" s="41" t="str">
        <x:v>HYP_REFINE_AUTO002_TOPN_6_V1_DDGRID_LONG_R12_C22_E75_CR36_REDD_RECOVERED_DD8_SL20</x:v>
      </x:c>
      <x:c r="B727" s="41" t="str">
        <x:v>dd_guard_grid</x:v>
      </x:c>
      <x:c r="C727" s="41" t="str">
        <x:v>1999-01-04</x:v>
      </x:c>
      <x:c r="D727" s="41" t="str">
        <x:v>2026-05-22</x:v>
      </x:c>
      <x:c r="E727" s="41" t="n">
        <x:v>12.181509</x:v>
      </x:c>
      <x:c r="F727" s="41" t="n">
        <x:v>-32.035625</x:v>
      </x:c>
      <x:c r="G727" s="41" t="n">
        <x:v>2226.859285</x:v>
      </x:c>
      <x:c r="H727" s="41" t="n">
        <x:f>IFERROR(E727/ABS(F727),"")</x:f>
        <x:v>0.3802488323546052</x:v>
      </x:c>
      <x:c r="I727" s="41" t="n">
        <x:v>12.242636</x:v>
      </x:c>
      <x:c r="J727" s="41" t="n">
        <x:v>-29.110166</x:v>
      </x:c>
      <x:c r="K727" s="41" t="n">
        <x:v>2261.822467</x:v>
      </x:c>
      <x:c r="L727" s="41" t="n">
        <x:f>IFERROR(I727/ABS(J727),"")</x:f>
        <x:v>0.4205622187108105</x:v>
      </x:c>
      <x:c r="M727" s="41" t="n">
        <x:v>6.802475</x:v>
      </x:c>
      <x:c r="N727" s="41" t="n">
        <x:v>-56.473669</x:v>
      </x:c>
      <x:c r="O727" s="41" t="n">
        <x:v>506.057416</x:v>
      </x:c>
      <x:c r="P727" s="41" t="n">
        <x:f>IFERROR(M727/ABS(N727),"")</x:f>
        <x:v>0.12045392340278087</x:v>
      </x:c>
      <x:c r="Q727" s="41" t="str">
        <x:f>IF(L727&gt;=MAX(H727,P727),"Weekly",IF(H727&gt;=MAX(L727,P727),"No weekly","SPY"))</x:f>
        <x:v>Weekly</x:v>
      </x:c>
      <x:c r="R727" s="41" t="n">
        <x:f>IFERROR(L727-P727,"")</x:f>
        <x:v>0.3001082953080296</x:v>
      </x:c>
      <x:c r="S727" s="41" t="n">
        <x:f>IFERROR(H727-P727,"")</x:f>
        <x:v>0.25979490895182433</x:v>
      </x:c>
      <x:c r="T727" s="41" t="n">
        <x:f>IFERROR(I727-M727,"")</x:f>
        <x:v>5.440160999999999</x:v>
      </x:c>
      <x:c r="U727" s="41" t="n">
        <x:f>IFERROR(E727-M727,"")</x:f>
        <x:v>5.379034</x:v>
      </x:c>
      <x:c r="V727" s="41" t="str">
        <x:f>IF(AND(I727&gt;M727,J727&gt;N727),"Sí","No")</x:f>
        <x:v>Sí</x:v>
      </x:c>
      <x:c r="W727" s="41" t="str">
        <x:f>IF(AND(E727&gt;M727,F727&gt;N727),"Sí","No")</x:f>
        <x:v>Sí</x:v>
      </x:c>
      <x:c r="X727" s="41" t="str">
        <x:f>IF(L727&gt;=H727,"Weekly","No weekly")</x:f>
        <x:v>Weekly</x:v>
      </x:c>
      <x:c r="Y727" s="41" t="n">
        <x:f>IFERROR(I727-E727,"")</x:f>
        <x:v>0.06112699999999904</x:v>
      </x:c>
      <x:c r="Z727" s="41" t="n">
        <x:f>IFERROR(J727-F727,"")</x:f>
        <x:v>2.9254590000000036</x:v>
      </x:c>
      <x:c r="AA727" s="41" t="n">
        <x:v>12066</x:v>
      </x:c>
      <x:c r="AB727" s="41" t="n">
        <x:v>6193</x:v>
      </x:c>
    </x:row>
    <x:row r="728">
      <x:c r="A728" s="41" t="str">
        <x:v>HYP_REFINE_AUTO002_TOPN_6_V1_DDGRID_LONG_R12_C22_E75_CR36_REDD_RECOVERED_DD8_SL22</x:v>
      </x:c>
      <x:c r="B728" s="41" t="str">
        <x:v>dd_guard_grid</x:v>
      </x:c>
      <x:c r="C728" s="41" t="str">
        <x:v>1999-01-04</x:v>
      </x:c>
      <x:c r="D728" s="41" t="str">
        <x:v>2026-05-22</x:v>
      </x:c>
      <x:c r="E728" s="41" t="n">
        <x:v>12.188352</x:v>
      </x:c>
      <x:c r="F728" s="41" t="n">
        <x:v>-32.572506</x:v>
      </x:c>
      <x:c r="G728" s="41" t="n">
        <x:v>2230.748132</x:v>
      </x:c>
      <x:c r="H728" s="41" t="n">
        <x:f>IFERROR(E728/ABS(F728),"")</x:f>
        <x:v>0.3741914116156737</x:v>
      </x:c>
      <x:c r="I728" s="41" t="n">
        <x:v>12.131571</x:v>
      </x:c>
      <x:c r="J728" s="41" t="n">
        <x:v>-29.006938</x:v>
      </x:c>
      <x:c r="K728" s="41" t="n">
        <x:v>2198.666086</x:v>
      </x:c>
      <x:c r="L728" s="41" t="n">
        <x:f>IFERROR(I728/ABS(J728),"")</x:f>
        <x:v>0.4182299765662959</x:v>
      </x:c>
      <x:c r="M728" s="41" t="n">
        <x:v>6.802475</x:v>
      </x:c>
      <x:c r="N728" s="41" t="n">
        <x:v>-56.473669</x:v>
      </x:c>
      <x:c r="O728" s="41" t="n">
        <x:v>506.057416</x:v>
      </x:c>
      <x:c r="P728" s="41" t="n">
        <x:f>IFERROR(M728/ABS(N728),"")</x:f>
        <x:v>0.12045392340278087</x:v>
      </x:c>
      <x:c r="Q728" s="41" t="str">
        <x:f>IF(L728&gt;=MAX(H728,P728),"Weekly",IF(H728&gt;=MAX(L728,P728),"No weekly","SPY"))</x:f>
        <x:v>Weekly</x:v>
      </x:c>
      <x:c r="R728" s="41" t="n">
        <x:f>IFERROR(L728-P728,"")</x:f>
        <x:v>0.297776053163515</x:v>
      </x:c>
      <x:c r="S728" s="41" t="n">
        <x:f>IFERROR(H728-P728,"")</x:f>
        <x:v>0.2537374882128928</x:v>
      </x:c>
      <x:c r="T728" s="41" t="n">
        <x:f>IFERROR(I728-M728,"")</x:f>
        <x:v>5.329095999999999</x:v>
      </x:c>
      <x:c r="U728" s="41" t="n">
        <x:f>IFERROR(E728-M728,"")</x:f>
        <x:v>5.385877</x:v>
      </x:c>
      <x:c r="V728" s="41" t="str">
        <x:f>IF(AND(I728&gt;M728,J728&gt;N728),"Sí","No")</x:f>
        <x:v>Sí</x:v>
      </x:c>
      <x:c r="W728" s="41" t="str">
        <x:f>IF(AND(E728&gt;M728,F728&gt;N728),"Sí","No")</x:f>
        <x:v>Sí</x:v>
      </x:c>
      <x:c r="X728" s="41" t="str">
        <x:f>IF(L728&gt;=H728,"Weekly","No weekly")</x:f>
        <x:v>Weekly</x:v>
      </x:c>
      <x:c r="Y728" s="41" t="n">
        <x:f>IFERROR(I728-E728,"")</x:f>
        <x:v>-0.05678100000000086</x:v>
      </x:c>
      <x:c r="Z728" s="41" t="n">
        <x:f>IFERROR(J728-F728,"")</x:f>
        <x:v>3.5655679999999954</x:v>
      </x:c>
      <x:c r="AA728" s="41" t="n">
        <x:v>12306</x:v>
      </x:c>
      <x:c r="AB728" s="41" t="n">
        <x:v>6213</x:v>
      </x:c>
    </x:row>
    <x:row r="729">
      <x:c r="A729" s="41" t="str">
        <x:v>HYP_REFINE_AUTO002_TOPN_6_V1_DDGRID_LONG_R12_C22_E75_CR36_REDD_RECOVERED_DD8_SL24</x:v>
      </x:c>
      <x:c r="B729" s="41" t="str">
        <x:v>dd_guard_grid</x:v>
      </x:c>
      <x:c r="C729" s="41" t="str">
        <x:v>1999-01-04</x:v>
      </x:c>
      <x:c r="D729" s="41" t="str">
        <x:v>2026-05-22</x:v>
      </x:c>
      <x:c r="E729" s="41" t="n">
        <x:v>11.26446</x:v>
      </x:c>
      <x:c r="F729" s="41" t="n">
        <x:v>-33.397059</x:v>
      </x:c>
      <x:c r="G729" s="41" t="n">
        <x:v>1758.535393</x:v>
      </x:c>
      <x:c r="H729" s="41" t="n">
        <x:f>IFERROR(E729/ABS(F729),"")</x:f>
        <x:v>0.33728898104470817</x:v>
      </x:c>
      <x:c r="I729" s="41" t="n">
        <x:v>12.14075</x:v>
      </x:c>
      <x:c r="J729" s="41" t="n">
        <x:v>-29.129944</x:v>
      </x:c>
      <x:c r="K729" s="41" t="n">
        <x:v>2203.823417</x:v>
      </x:c>
      <x:c r="L729" s="41" t="n">
        <x:f>IFERROR(I729/ABS(J729),"")</x:f>
        <x:v>0.4167790367190545</x:v>
      </x:c>
      <x:c r="M729" s="41" t="n">
        <x:v>6.802475</x:v>
      </x:c>
      <x:c r="N729" s="41" t="n">
        <x:v>-56.473669</x:v>
      </x:c>
      <x:c r="O729" s="41" t="n">
        <x:v>506.057416</x:v>
      </x:c>
      <x:c r="P729" s="41" t="n">
        <x:f>IFERROR(M729/ABS(N729),"")</x:f>
        <x:v>0.12045392340278087</x:v>
      </x:c>
      <x:c r="Q729" s="41" t="str">
        <x:f>IF(L729&gt;=MAX(H729,P729),"Weekly",IF(H729&gt;=MAX(L729,P729),"No weekly","SPY"))</x:f>
        <x:v>Weekly</x:v>
      </x:c>
      <x:c r="R729" s="41" t="n">
        <x:f>IFERROR(L729-P729,"")</x:f>
        <x:v>0.2963251133162736</x:v>
      </x:c>
      <x:c r="S729" s="41" t="n">
        <x:f>IFERROR(H729-P729,"")</x:f>
        <x:v>0.2168350576419273</x:v>
      </x:c>
      <x:c r="T729" s="41" t="n">
        <x:f>IFERROR(I729-M729,"")</x:f>
        <x:v>5.338275</x:v>
      </x:c>
      <x:c r="U729" s="41" t="n">
        <x:f>IFERROR(E729-M729,"")</x:f>
        <x:v>4.461984999999999</x:v>
      </x:c>
      <x:c r="V729" s="41" t="str">
        <x:f>IF(AND(I729&gt;M729,J729&gt;N729),"Sí","No")</x:f>
        <x:v>Sí</x:v>
      </x:c>
      <x:c r="W729" s="41" t="str">
        <x:f>IF(AND(E729&gt;M729,F729&gt;N729),"Sí","No")</x:f>
        <x:v>Sí</x:v>
      </x:c>
      <x:c r="X729" s="41" t="str">
        <x:f>IF(L729&gt;=H729,"Weekly","No weekly")</x:f>
        <x:v>Weekly</x:v>
      </x:c>
      <x:c r="Y729" s="41" t="n">
        <x:f>IFERROR(I729-E729,"")</x:f>
        <x:v>0.8762900000000009</x:v>
      </x:c>
      <x:c r="Z729" s="41" t="n">
        <x:f>IFERROR(J729-F729,"")</x:f>
        <x:v>4.267115</x:v>
      </x:c>
      <x:c r="AA729" s="41" t="n">
        <x:v>12329</x:v>
      </x:c>
      <x:c r="AB729" s="41" t="n">
        <x:v>6052</x:v>
      </x:c>
    </x:row>
    <x:row r="730">
      <x:c r="A730" s="41" t="str">
        <x:v>HYP_REFINE_AUTO002_TOPN_6_V1_DDGRID_LONG_R12_C22_E75_CR36_REDD_RECOVERED_DD8_SLNONE</x:v>
      </x:c>
      <x:c r="B730" s="41" t="str">
        <x:v>dd_guard_grid</x:v>
      </x:c>
      <x:c r="C730" s="41" t="str">
        <x:v>1999-01-04</x:v>
      </x:c>
      <x:c r="D730" s="41" t="str">
        <x:v>2026-05-22</x:v>
      </x:c>
      <x:c r="E730" s="41" t="n">
        <x:v>12.289258</x:v>
      </x:c>
      <x:c r="F730" s="41" t="n">
        <x:v>-32.933403</x:v>
      </x:c>
      <x:c r="G730" s="41" t="n">
        <x:v>2288.829179</x:v>
      </x:c>
      <x:c r="H730" s="41" t="n">
        <x:f>IFERROR(E730/ABS(F730),"")</x:f>
        <x:v>0.3731548179214884</x:v>
      </x:c>
      <x:c r="I730" s="41" t="n">
        <x:v>12.881706</x:v>
      </x:c>
      <x:c r="J730" s="41" t="n">
        <x:v>-30.967174</x:v>
      </x:c>
      <x:c r="K730" s="41" t="n">
        <x:v>2659.018954</x:v>
      </x:c>
      <x:c r="L730" s="41" t="n">
        <x:f>IFERROR(I730/ABS(J730),"")</x:f>
        <x:v>0.41597938513859867</x:v>
      </x:c>
      <x:c r="M730" s="41" t="n">
        <x:v>6.802475</x:v>
      </x:c>
      <x:c r="N730" s="41" t="n">
        <x:v>-56.473669</x:v>
      </x:c>
      <x:c r="O730" s="41" t="n">
        <x:v>506.057416</x:v>
      </x:c>
      <x:c r="P730" s="41" t="n">
        <x:f>IFERROR(M730/ABS(N730),"")</x:f>
        <x:v>0.12045392340278087</x:v>
      </x:c>
      <x:c r="Q730" s="41" t="str">
        <x:f>IF(L730&gt;=MAX(H730,P730),"Weekly",IF(H730&gt;=MAX(L730,P730),"No weekly","SPY"))</x:f>
        <x:v>Weekly</x:v>
      </x:c>
      <x:c r="R730" s="41" t="n">
        <x:f>IFERROR(L730-P730,"")</x:f>
        <x:v>0.2955254617358178</x:v>
      </x:c>
      <x:c r="S730" s="41" t="n">
        <x:f>IFERROR(H730-P730,"")</x:f>
        <x:v>0.25270089451870753</x:v>
      </x:c>
      <x:c r="T730" s="41" t="n">
        <x:f>IFERROR(I730-M730,"")</x:f>
        <x:v>6.079230999999999</x:v>
      </x:c>
      <x:c r="U730" s="41" t="n">
        <x:f>IFERROR(E730-M730,"")</x:f>
        <x:v>5.486783</x:v>
      </x:c>
      <x:c r="V730" s="41" t="str">
        <x:f>IF(AND(I730&gt;M730,J730&gt;N730),"Sí","No")</x:f>
        <x:v>Sí</x:v>
      </x:c>
      <x:c r="W730" s="41" t="str">
        <x:f>IF(AND(E730&gt;M730,F730&gt;N730),"Sí","No")</x:f>
        <x:v>Sí</x:v>
      </x:c>
      <x:c r="X730" s="41" t="str">
        <x:f>IF(L730&gt;=H730,"Weekly","No weekly")</x:f>
        <x:v>Weekly</x:v>
      </x:c>
      <x:c r="Y730" s="41" t="n">
        <x:f>IFERROR(I730-E730,"")</x:f>
        <x:v>0.5924479999999992</x:v>
      </x:c>
      <x:c r="Z730" s="41" t="n">
        <x:f>IFERROR(J730-F730,"")</x:f>
        <x:v>1.9662289999999985</x:v>
      </x:c>
      <x:c r="AA730" s="41" t="n">
        <x:v>12348</x:v>
      </x:c>
      <x:c r="AB730" s="41" t="n">
        <x:v>6616</x:v>
      </x:c>
    </x:row>
    <x:row r="731">
      <x:c r="A731" s="41" t="str">
        <x:v>HYP_REFINE_AUTO002_TOPN_6_V1_DDGRID_LONG_R12_C22_E75_CR36_REDD_RECOVERED_DD9_SL18</x:v>
      </x:c>
      <x:c r="B731" s="41" t="str">
        <x:v>dd_guard_grid</x:v>
      </x:c>
      <x:c r="C731" s="41" t="str">
        <x:v>1999-01-04</x:v>
      </x:c>
      <x:c r="D731" s="41" t="str">
        <x:v>2026-05-22</x:v>
      </x:c>
      <x:c r="E731" s="41" t="n">
        <x:v>10.785525</x:v>
      </x:c>
      <x:c r="F731" s="41" t="n">
        <x:v>-30.807501</x:v>
      </x:c>
      <x:c r="G731" s="41" t="n">
        <x:v>1551.50064</x:v>
      </x:c>
      <x:c r="H731" s="41" t="n">
        <x:f>IFERROR(E731/ABS(F731),"")</x:f>
        <x:v>0.350094121558253</x:v>
      </x:c>
      <x:c r="I731" s="41" t="n">
        <x:v>11.824354</x:v>
      </x:c>
      <x:c r="J731" s="41" t="n">
        <x:v>-29.289911</x:v>
      </x:c>
      <x:c r="K731" s="41" t="n">
        <x:v>2032.328652</x:v>
      </x:c>
      <x:c r="L731" s="41" t="n">
        <x:f>IFERROR(I731/ABS(J731),"")</x:f>
        <x:v>0.40370057799083103</x:v>
      </x:c>
      <x:c r="M731" s="41" t="n">
        <x:v>6.802475</x:v>
      </x:c>
      <x:c r="N731" s="41" t="n">
        <x:v>-56.473669</x:v>
      </x:c>
      <x:c r="O731" s="41" t="n">
        <x:v>506.057416</x:v>
      </x:c>
      <x:c r="P731" s="41" t="n">
        <x:f>IFERROR(M731/ABS(N731),"")</x:f>
        <x:v>0.12045392340278087</x:v>
      </x:c>
      <x:c r="Q731" s="41" t="str">
        <x:f>IF(L731&gt;=MAX(H731,P731),"Weekly",IF(H731&gt;=MAX(L731,P731),"No weekly","SPY"))</x:f>
        <x:v>Weekly</x:v>
      </x:c>
      <x:c r="R731" s="41" t="n">
        <x:f>IFERROR(L731-P731,"")</x:f>
        <x:v>0.28324665458805015</x:v>
      </x:c>
      <x:c r="S731" s="41" t="n">
        <x:f>IFERROR(H731-P731,"")</x:f>
        <x:v>0.2296401981554721</x:v>
      </x:c>
      <x:c r="T731" s="41" t="n">
        <x:f>IFERROR(I731-M731,"")</x:f>
        <x:v>5.021878999999999</x:v>
      </x:c>
      <x:c r="U731" s="41" t="n">
        <x:f>IFERROR(E731-M731,"")</x:f>
        <x:v>3.9830499999999995</x:v>
      </x:c>
      <x:c r="V731" s="41" t="str">
        <x:f>IF(AND(I731&gt;M731,J731&gt;N731),"Sí","No")</x:f>
        <x:v>Sí</x:v>
      </x:c>
      <x:c r="W731" s="41" t="str">
        <x:f>IF(AND(E731&gt;M731,F731&gt;N731),"Sí","No")</x:f>
        <x:v>Sí</x:v>
      </x:c>
      <x:c r="X731" s="41" t="str">
        <x:f>IF(L731&gt;=H731,"Weekly","No weekly")</x:f>
        <x:v>Weekly</x:v>
      </x:c>
      <x:c r="Y731" s="41" t="n">
        <x:f>IFERROR(I731-E731,"")</x:f>
        <x:v>1.0388289999999998</x:v>
      </x:c>
      <x:c r="Z731" s="41" t="n">
        <x:f>IFERROR(J731-F731,"")</x:f>
        <x:v>1.5175899999999984</x:v>
      </x:c>
      <x:c r="AA731" s="41" t="n">
        <x:v>11964</x:v>
      </x:c>
      <x:c r="AB731" s="41" t="n">
        <x:v>5836</x:v>
      </x:c>
    </x:row>
    <x:row r="732">
      <x:c r="A732" s="41" t="str">
        <x:v>HYP_REFINE_AUTO002_TOPN_6_V1_DDGRID_LONG_R12_C22_E75_CR36_REDD_RECOVERED_DD9_SL20</x:v>
      </x:c>
      <x:c r="B732" s="41" t="str">
        <x:v>dd_guard_grid</x:v>
      </x:c>
      <x:c r="C732" s="41" t="str">
        <x:v>1999-01-04</x:v>
      </x:c>
      <x:c r="D732" s="41" t="str">
        <x:v>2026-05-22</x:v>
      </x:c>
      <x:c r="E732" s="41" t="n">
        <x:v>11.589679</x:v>
      </x:c>
      <x:c r="F732" s="41" t="n">
        <x:v>-32.035625</x:v>
      </x:c>
      <x:c r="G732" s="41" t="n">
        <x:v>1913.143774</x:v>
      </x:c>
      <x:c r="H732" s="41" t="n">
        <x:f>IFERROR(E732/ABS(F732),"")</x:f>
        <x:v>0.36177471174668824</x:v>
      </x:c>
      <x:c r="I732" s="41" t="n">
        <x:v>12.199812</x:v>
      </x:c>
      <x:c r="J732" s="41" t="n">
        <x:v>-29.110166</x:v>
      </x:c>
      <x:c r="K732" s="41" t="n">
        <x:v>2237.275372</x:v>
      </x:c>
      <x:c r="L732" s="41" t="n">
        <x:f>IFERROR(I732/ABS(J732),"")</x:f>
        <x:v>0.41909111751544115</x:v>
      </x:c>
      <x:c r="M732" s="41" t="n">
        <x:v>6.802475</x:v>
      </x:c>
      <x:c r="N732" s="41" t="n">
        <x:v>-56.473669</x:v>
      </x:c>
      <x:c r="O732" s="41" t="n">
        <x:v>506.057416</x:v>
      </x:c>
      <x:c r="P732" s="41" t="n">
        <x:f>IFERROR(M732/ABS(N732),"")</x:f>
        <x:v>0.12045392340278087</x:v>
      </x:c>
      <x:c r="Q732" s="41" t="str">
        <x:f>IF(L732&gt;=MAX(H732,P732),"Weekly",IF(H732&gt;=MAX(L732,P732),"No weekly","SPY"))</x:f>
        <x:v>Weekly</x:v>
      </x:c>
      <x:c r="R732" s="41" t="n">
        <x:f>IFERROR(L732-P732,"")</x:f>
        <x:v>0.29863719411266026</x:v>
      </x:c>
      <x:c r="S732" s="41" t="n">
        <x:f>IFERROR(H732-P732,"")</x:f>
        <x:v>0.24132078834390736</x:v>
      </x:c>
      <x:c r="T732" s="41" t="n">
        <x:f>IFERROR(I732-M732,"")</x:f>
        <x:v>5.397336999999999</x:v>
      </x:c>
      <x:c r="U732" s="41" t="n">
        <x:f>IFERROR(E732-M732,"")</x:f>
        <x:v>4.787204</x:v>
      </x:c>
      <x:c r="V732" s="41" t="str">
        <x:f>IF(AND(I732&gt;M732,J732&gt;N732),"Sí","No")</x:f>
        <x:v>Sí</x:v>
      </x:c>
      <x:c r="W732" s="41" t="str">
        <x:f>IF(AND(E732&gt;M732,F732&gt;N732),"Sí","No")</x:f>
        <x:v>Sí</x:v>
      </x:c>
      <x:c r="X732" s="41" t="str">
        <x:f>IF(L732&gt;=H732,"Weekly","No weekly")</x:f>
        <x:v>Weekly</x:v>
      </x:c>
      <x:c r="Y732" s="41" t="n">
        <x:f>IFERROR(I732-E732,"")</x:f>
        <x:v>0.6101329999999994</x:v>
      </x:c>
      <x:c r="Z732" s="41" t="n">
        <x:f>IFERROR(J732-F732,"")</x:f>
        <x:v>2.9254590000000036</x:v>
      </x:c>
      <x:c r="AA732" s="41" t="n">
        <x:v>11893</x:v>
      </x:c>
      <x:c r="AB732" s="41" t="n">
        <x:v>5985</x:v>
      </x:c>
    </x:row>
    <x:row r="733">
      <x:c r="A733" s="41" t="str">
        <x:v>HYP_REFINE_AUTO002_TOPN_6_V1_DDGRID_LONG_R12_C22_E75_CR40_REDD_RECOVERED_DD10_SL18</x:v>
      </x:c>
      <x:c r="B733" s="41" t="str">
        <x:v>dd_guard_grid</x:v>
      </x:c>
      <x:c r="C733" s="41" t="str">
        <x:v>1999-01-04</x:v>
      </x:c>
      <x:c r="D733" s="41" t="str">
        <x:v>2026-05-22</x:v>
      </x:c>
      <x:c r="E733" s="41" t="n">
        <x:v>12.558017</x:v>
      </x:c>
      <x:c r="F733" s="41" t="n">
        <x:v>-31.726904</x:v>
      </x:c>
      <x:c r="G733" s="41" t="n">
        <x:v>2450.410163</x:v>
      </x:c>
      <x:c r="H733" s="41" t="n">
        <x:f>IFERROR(E733/ABS(F733),"")</x:f>
        <x:v>0.3958160241541374</x:v>
      </x:c>
      <x:c r="I733" s="41" t="n">
        <x:v>11.913</x:v>
      </x:c>
      <x:c r="J733" s="41" t="n">
        <x:v>-29.670864</x:v>
      </x:c>
      <x:c r="K733" s="41" t="n">
        <x:v>2079.095064</x:v>
      </x:c>
      <x:c r="L733" s="41" t="n">
        <x:f>IFERROR(I733/ABS(J733),"")</x:f>
        <x:v>0.4015049915634408</x:v>
      </x:c>
      <x:c r="M733" s="41" t="n">
        <x:v>6.802475</x:v>
      </x:c>
      <x:c r="N733" s="41" t="n">
        <x:v>-56.473669</x:v>
      </x:c>
      <x:c r="O733" s="41" t="n">
        <x:v>506.057416</x:v>
      </x:c>
      <x:c r="P733" s="41" t="n">
        <x:f>IFERROR(M733/ABS(N733),"")</x:f>
        <x:v>0.12045392340278087</x:v>
      </x:c>
      <x:c r="Q733" s="41" t="str">
        <x:f>IF(L733&gt;=MAX(H733,P733),"Weekly",IF(H733&gt;=MAX(L733,P733),"No weekly","SPY"))</x:f>
        <x:v>Weekly</x:v>
      </x:c>
      <x:c r="R733" s="41" t="n">
        <x:f>IFERROR(L733-P733,"")</x:f>
        <x:v>0.28105106816065994</x:v>
      </x:c>
      <x:c r="S733" s="41" t="n">
        <x:f>IFERROR(H733-P733,"")</x:f>
        <x:v>0.27536210075135653</x:v>
      </x:c>
      <x:c r="T733" s="41" t="n">
        <x:f>IFERROR(I733-M733,"")</x:f>
        <x:v>5.110525</x:v>
      </x:c>
      <x:c r="U733" s="41" t="n">
        <x:f>IFERROR(E733-M733,"")</x:f>
        <x:v>5.755541999999999</x:v>
      </x:c>
      <x:c r="V733" s="41" t="str">
        <x:f>IF(AND(I733&gt;M733,J733&gt;N733),"Sí","No")</x:f>
        <x:v>Sí</x:v>
      </x:c>
      <x:c r="W733" s="41" t="str">
        <x:f>IF(AND(E733&gt;M733,F733&gt;N733),"Sí","No")</x:f>
        <x:v>Sí</x:v>
      </x:c>
      <x:c r="X733" s="41" t="str">
        <x:f>IF(L733&gt;=H733,"Weekly","No weekly")</x:f>
        <x:v>Weekly</x:v>
      </x:c>
      <x:c r="Y733" s="41" t="n">
        <x:f>IFERROR(I733-E733,"")</x:f>
        <x:v>-0.6450169999999993</x:v>
      </x:c>
      <x:c r="Z733" s="41" t="n">
        <x:f>IFERROR(J733-F733,"")</x:f>
        <x:v>2.0560399999999994</x:v>
      </x:c>
      <x:c r="AA733" s="41" t="n">
        <x:v>11517</x:v>
      </x:c>
      <x:c r="AB733" s="41" t="n">
        <x:v>5299</x:v>
      </x:c>
    </x:row>
    <x:row r="734">
      <x:c r="A734" s="41" t="str">
        <x:v>HYP_REFINE_AUTO002_TOPN_6_V1_DDGRID_LONG_R12_C22_E75_CR40_REDD_RECOVERED_DD10_SL20</x:v>
      </x:c>
      <x:c r="B734" s="41" t="str">
        <x:v>dd_guard_grid</x:v>
      </x:c>
      <x:c r="C734" s="41" t="str">
        <x:v>1999-01-04</x:v>
      </x:c>
      <x:c r="D734" s="41" t="str">
        <x:v>2026-05-22</x:v>
      </x:c>
      <x:c r="E734" s="41" t="n">
        <x:v>13.250054</x:v>
      </x:c>
      <x:c r="F734" s="41" t="n">
        <x:v>-32.641176</x:v>
      </x:c>
      <x:c r="G734" s="41" t="n">
        <x:v>2916.416355</x:v>
      </x:c>
      <x:c r="H734" s="41" t="n">
        <x:f>IFERROR(E734/ABS(F734),"")</x:f>
        <x:v>0.405930656419977</x:v>
      </x:c>
      <x:c r="I734" s="41" t="n">
        <x:v>12.628763</x:v>
      </x:c>
      <x:c r="J734" s="41" t="n">
        <x:v>-29.467181</x:v>
      </x:c>
      <x:c r="K734" s="41" t="n">
        <x:v>2494.664367</x:v>
      </x:c>
      <x:c r="L734" s="41" t="n">
        <x:f>IFERROR(I734/ABS(J734),"")</x:f>
        <x:v>0.4285704492737191</x:v>
      </x:c>
      <x:c r="M734" s="41" t="n">
        <x:v>6.802475</x:v>
      </x:c>
      <x:c r="N734" s="41" t="n">
        <x:v>-56.473669</x:v>
      </x:c>
      <x:c r="O734" s="41" t="n">
        <x:v>506.057416</x:v>
      </x:c>
      <x:c r="P734" s="41" t="n">
        <x:f>IFERROR(M734/ABS(N734),"")</x:f>
        <x:v>0.12045392340278087</x:v>
      </x:c>
      <x:c r="Q734" s="41" t="str">
        <x:f>IF(L734&gt;=MAX(H734,P734),"Weekly",IF(H734&gt;=MAX(L734,P734),"No weekly","SPY"))</x:f>
        <x:v>Weekly</x:v>
      </x:c>
      <x:c r="R734" s="41" t="n">
        <x:f>IFERROR(L734-P734,"")</x:f>
        <x:v>0.30811652587093824</x:v>
      </x:c>
      <x:c r="S734" s="41" t="n">
        <x:f>IFERROR(H734-P734,"")</x:f>
        <x:v>0.2854767330171961</x:v>
      </x:c>
      <x:c r="T734" s="41" t="n">
        <x:f>IFERROR(I734-M734,"")</x:f>
        <x:v>5.826287999999999</x:v>
      </x:c>
      <x:c r="U734" s="41" t="n">
        <x:f>IFERROR(E734-M734,"")</x:f>
        <x:v>6.447579</x:v>
      </x:c>
      <x:c r="V734" s="41" t="str">
        <x:f>IF(AND(I734&gt;M734,J734&gt;N734),"Sí","No")</x:f>
        <x:v>Sí</x:v>
      </x:c>
      <x:c r="W734" s="41" t="str">
        <x:f>IF(AND(E734&gt;M734,F734&gt;N734),"Sí","No")</x:f>
        <x:v>Sí</x:v>
      </x:c>
      <x:c r="X734" s="41" t="str">
        <x:f>IF(L734&gt;=H734,"Weekly","No weekly")</x:f>
        <x:v>Weekly</x:v>
      </x:c>
      <x:c r="Y734" s="41" t="n">
        <x:f>IFERROR(I734-E734,"")</x:f>
        <x:v>-0.6212910000000011</x:v>
      </x:c>
      <x:c r="Z734" s="41" t="n">
        <x:f>IFERROR(J734-F734,"")</x:f>
        <x:v>3.1739950000000015</x:v>
      </x:c>
      <x:c r="AA734" s="41" t="n">
        <x:v>11519</x:v>
      </x:c>
      <x:c r="AB734" s="41" t="n">
        <x:v>5544</x:v>
      </x:c>
    </x:row>
    <x:row r="735">
      <x:c r="A735" s="41" t="str">
        <x:v>HYP_REFINE_AUTO002_TOPN_6_V1_DDGRID_LONG_R12_C22_E75_CR40_REDD_RECOVERED_DD10_SL22</x:v>
      </x:c>
      <x:c r="B735" s="41" t="str">
        <x:v>dd_guard_grid</x:v>
      </x:c>
      <x:c r="C735" s="41" t="str">
        <x:v>1999-01-04</x:v>
      </x:c>
      <x:c r="D735" s="41" t="str">
        <x:v>2026-05-22</x:v>
      </x:c>
      <x:c r="E735" s="41" t="n">
        <x:v>11.537132</x:v>
      </x:c>
      <x:c r="F735" s="41" t="n">
        <x:v>-33.556578</x:v>
      </x:c>
      <x:c r="G735" s="41" t="n">
        <x:v>1887.350186</x:v>
      </x:c>
      <x:c r="H735" s="41" t="n">
        <x:f>IFERROR(E735/ABS(F735),"")</x:f>
        <x:v>0.3438113385697433</x:v>
      </x:c>
      <x:c r="I735" s="41" t="n">
        <x:v>12.519094</x:v>
      </x:c>
      <x:c r="J735" s="41" t="n">
        <x:v>-29.461895</x:v>
      </x:c>
      <x:c r="K735" s="41" t="n">
        <x:v>2426.373784</x:v>
      </x:c>
      <x:c r="L735" s="41" t="n">
        <x:f>IFERROR(I735/ABS(J735),"")</x:f>
        <x:v>0.42492494118250035</x:v>
      </x:c>
      <x:c r="M735" s="41" t="n">
        <x:v>6.802475</x:v>
      </x:c>
      <x:c r="N735" s="41" t="n">
        <x:v>-56.473669</x:v>
      </x:c>
      <x:c r="O735" s="41" t="n">
        <x:v>506.057416</x:v>
      </x:c>
      <x:c r="P735" s="41" t="n">
        <x:f>IFERROR(M735/ABS(N735),"")</x:f>
        <x:v>0.12045392340278087</x:v>
      </x:c>
      <x:c r="Q735" s="41" t="str">
        <x:f>IF(L735&gt;=MAX(H735,P735),"Weekly",IF(H735&gt;=MAX(L735,P735),"No weekly","SPY"))</x:f>
        <x:v>Weekly</x:v>
      </x:c>
      <x:c r="R735" s="41" t="n">
        <x:f>IFERROR(L735-P735,"")</x:f>
        <x:v>0.30447101777971947</x:v>
      </x:c>
      <x:c r="S735" s="41" t="n">
        <x:f>IFERROR(H735-P735,"")</x:f>
        <x:v>0.2233574151669624</x:v>
      </x:c>
      <x:c r="T735" s="41" t="n">
        <x:f>IFERROR(I735-M735,"")</x:f>
        <x:v>5.716619000000001</x:v>
      </x:c>
      <x:c r="U735" s="41" t="n">
        <x:f>IFERROR(E735-M735,"")</x:f>
        <x:v>4.7346569999999994</x:v>
      </x:c>
      <x:c r="V735" s="41" t="str">
        <x:f>IF(AND(I735&gt;M735,J735&gt;N735),"Sí","No")</x:f>
        <x:v>Sí</x:v>
      </x:c>
      <x:c r="W735" s="41" t="str">
        <x:f>IF(AND(E735&gt;M735,F735&gt;N735),"Sí","No")</x:f>
        <x:v>Sí</x:v>
      </x:c>
      <x:c r="X735" s="41" t="str">
        <x:f>IF(L735&gt;=H735,"Weekly","No weekly")</x:f>
        <x:v>Weekly</x:v>
      </x:c>
      <x:c r="Y735" s="41" t="n">
        <x:f>IFERROR(I735-E735,"")</x:f>
        <x:v>0.9819620000000011</x:v>
      </x:c>
      <x:c r="Z735" s="41" t="n">
        <x:f>IFERROR(J735-F735,"")</x:f>
        <x:v>4.094683000000003</x:v>
      </x:c>
      <x:c r="AA735" s="41" t="n">
        <x:v>11718</x:v>
      </x:c>
      <x:c r="AB735" s="41" t="n">
        <x:v>5639</x:v>
      </x:c>
    </x:row>
    <x:row r="736">
      <x:c r="A736" s="41" t="str">
        <x:v>HYP_REFINE_AUTO002_TOPN_6_V1_DDGRID_LONG_R12_C22_E75_CR40_REDD_RECOVERED_DD10_SL24</x:v>
      </x:c>
      <x:c r="B736" s="41" t="str">
        <x:v>dd_guard_grid</x:v>
      </x:c>
      <x:c r="C736" s="41" t="str">
        <x:v>1999-01-04</x:v>
      </x:c>
      <x:c r="D736" s="41" t="str">
        <x:v>2026-05-22</x:v>
      </x:c>
      <x:c r="E736" s="41" t="n">
        <x:v>10.827797</x:v>
      </x:c>
      <x:c r="F736" s="41" t="n">
        <x:v>-34.053842</x:v>
      </x:c>
      <x:c r="G736" s="41" t="n">
        <x:v>1568.84058</x:v>
      </x:c>
      <x:c r="H736" s="41" t="n">
        <x:f>IFERROR(E736/ABS(F736),"")</x:f>
        <x:v>0.3179610981926797</x:v>
      </x:c>
      <x:c r="I736" s="41" t="n">
        <x:v>13.391057</x:v>
      </x:c>
      <x:c r="J736" s="41" t="n">
        <x:v>-29.457236</x:v>
      </x:c>
      <x:c r="K736" s="41" t="n">
        <x:v>3020.945919</x:v>
      </x:c>
      <x:c r="L736" s="41" t="n">
        <x:f>IFERROR(I736/ABS(J736),"")</x:f>
        <x:v>0.45459312611678837</x:v>
      </x:c>
      <x:c r="M736" s="41" t="n">
        <x:v>6.802475</x:v>
      </x:c>
      <x:c r="N736" s="41" t="n">
        <x:v>-56.473669</x:v>
      </x:c>
      <x:c r="O736" s="41" t="n">
        <x:v>506.057416</x:v>
      </x:c>
      <x:c r="P736" s="41" t="n">
        <x:f>IFERROR(M736/ABS(N736),"")</x:f>
        <x:v>0.12045392340278087</x:v>
      </x:c>
      <x:c r="Q736" s="41" t="str">
        <x:f>IF(L736&gt;=MAX(H736,P736),"Weekly",IF(H736&gt;=MAX(L736,P736),"No weekly","SPY"))</x:f>
        <x:v>Weekly</x:v>
      </x:c>
      <x:c r="R736" s="41" t="n">
        <x:f>IFERROR(L736-P736,"")</x:f>
        <x:v>0.3341392027140075</x:v>
      </x:c>
      <x:c r="S736" s="41" t="n">
        <x:f>IFERROR(H736-P736,"")</x:f>
        <x:v>0.19750717478989882</x:v>
      </x:c>
      <x:c r="T736" s="41" t="n">
        <x:f>IFERROR(I736-M736,"")</x:f>
        <x:v>6.588582</x:v>
      </x:c>
      <x:c r="U736" s="41" t="n">
        <x:f>IFERROR(E736-M736,"")</x:f>
        <x:v>4.025322</x:v>
      </x:c>
      <x:c r="V736" s="41" t="str">
        <x:f>IF(AND(I736&gt;M736,J736&gt;N736),"Sí","No")</x:f>
        <x:v>Sí</x:v>
      </x:c>
      <x:c r="W736" s="41" t="str">
        <x:f>IF(AND(E736&gt;M736,F736&gt;N736),"Sí","No")</x:f>
        <x:v>Sí</x:v>
      </x:c>
      <x:c r="X736" s="41" t="str">
        <x:f>IF(L736&gt;=H736,"Weekly","No weekly")</x:f>
        <x:v>Weekly</x:v>
      </x:c>
      <x:c r="Y736" s="41" t="n">
        <x:f>IFERROR(I736-E736,"")</x:f>
        <x:v>2.5632599999999996</x:v>
      </x:c>
      <x:c r="Z736" s="41" t="n">
        <x:f>IFERROR(J736-F736,"")</x:f>
        <x:v>4.596606000000001</x:v>
      </x:c>
      <x:c r="AA736" s="41" t="n">
        <x:v>11664</x:v>
      </x:c>
      <x:c r="AB736" s="41" t="n">
        <x:v>5740</x:v>
      </x:c>
    </x:row>
    <x:row r="737">
      <x:c r="A737" s="41" t="str">
        <x:v>HYP_REFINE_AUTO002_TOPN_6_V1_DDGRID_LONG_R12_C22_E75_CR40_REDD_RECOVERED_DD10_SLNONE</x:v>
      </x:c>
      <x:c r="B737" s="41" t="str">
        <x:v>dd_guard_grid</x:v>
      </x:c>
      <x:c r="C737" s="41" t="str">
        <x:v>1999-01-04</x:v>
      </x:c>
      <x:c r="D737" s="41" t="str">
        <x:v>2026-05-22</x:v>
      </x:c>
      <x:c r="E737" s="41" t="n">
        <x:v>12.128473</x:v>
      </x:c>
      <x:c r="F737" s="41" t="n">
        <x:v>-33.40545</x:v>
      </x:c>
      <x:c r="G737" s="41" t="n">
        <x:v>2196.9282</x:v>
      </x:c>
      <x:c r="H737" s="41" t="n">
        <x:f>IFERROR(E737/ABS(F737),"")</x:f>
        <x:v>0.36306869088726534</x:v>
      </x:c>
      <x:c r="I737" s="41" t="n">
        <x:v>13.281794</x:v>
      </x:c>
      <x:c r="J737" s="41" t="n">
        <x:v>-29.696181</x:v>
      </x:c>
      <x:c r="K737" s="41" t="n">
        <x:v>2939.64759</x:v>
      </x:c>
      <x:c r="L737" s="41" t="n">
        <x:f>IFERROR(I737/ABS(J737),"")</x:f>
        <x:v>0.4472559619703288</x:v>
      </x:c>
      <x:c r="M737" s="41" t="n">
        <x:v>6.802475</x:v>
      </x:c>
      <x:c r="N737" s="41" t="n">
        <x:v>-56.473669</x:v>
      </x:c>
      <x:c r="O737" s="41" t="n">
        <x:v>506.057416</x:v>
      </x:c>
      <x:c r="P737" s="41" t="n">
        <x:f>IFERROR(M737/ABS(N737),"")</x:f>
        <x:v>0.12045392340278087</x:v>
      </x:c>
      <x:c r="Q737" s="41" t="str">
        <x:f>IF(L737&gt;=MAX(H737,P737),"Weekly",IF(H737&gt;=MAX(L737,P737),"No weekly","SPY"))</x:f>
        <x:v>Weekly</x:v>
      </x:c>
      <x:c r="R737" s="41" t="n">
        <x:f>IFERROR(L737-P737,"")</x:f>
        <x:v>0.3268020385675479</x:v>
      </x:c>
      <x:c r="S737" s="41" t="n">
        <x:f>IFERROR(H737-P737,"")</x:f>
        <x:v>0.24261476748448446</x:v>
      </x:c>
      <x:c r="T737" s="41" t="n">
        <x:f>IFERROR(I737-M737,"")</x:f>
        <x:v>6.479318999999999</x:v>
      </x:c>
      <x:c r="U737" s="41" t="n">
        <x:f>IFERROR(E737-M737,"")</x:f>
        <x:v>5.325997999999999</x:v>
      </x:c>
      <x:c r="V737" s="41" t="str">
        <x:f>IF(AND(I737&gt;M737,J737&gt;N737),"Sí","No")</x:f>
        <x:v>Sí</x:v>
      </x:c>
      <x:c r="W737" s="41" t="str">
        <x:f>IF(AND(E737&gt;M737,F737&gt;N737),"Sí","No")</x:f>
        <x:v>Sí</x:v>
      </x:c>
      <x:c r="X737" s="41" t="str">
        <x:f>IF(L737&gt;=H737,"Weekly","No weekly")</x:f>
        <x:v>Weekly</x:v>
      </x:c>
      <x:c r="Y737" s="41" t="n">
        <x:f>IFERROR(I737-E737,"")</x:f>
        <x:v>1.153321</x:v>
      </x:c>
      <x:c r="Z737" s="41" t="n">
        <x:f>IFERROR(J737-F737,"")</x:f>
        <x:v>3.7092690000000026</x:v>
      </x:c>
      <x:c r="AA737" s="41" t="n">
        <x:v>11743</x:v>
      </x:c>
      <x:c r="AB737" s="41" t="n">
        <x:v>5955</x:v>
      </x:c>
    </x:row>
    <x:row r="738">
      <x:c r="A738" s="41" t="str">
        <x:v>HYP_REFINE_AUTO002_TOPN_6_V1_DDGRID_LONG_R12_C22_E75_CR40_REDD_RECOVERED_DD6_SL18</x:v>
      </x:c>
      <x:c r="B738" s="41" t="str">
        <x:v>dd_guard_grid</x:v>
      </x:c>
      <x:c r="C738" s="41" t="str">
        <x:v>1999-01-04</x:v>
      </x:c>
      <x:c r="D738" s="41" t="str">
        <x:v>2026-05-22</x:v>
      </x:c>
      <x:c r="E738" s="41" t="n">
        <x:v>11.475126</x:v>
      </x:c>
      <x:c r="F738" s="41" t="n">
        <x:v>-31.607455</x:v>
      </x:c>
      <x:c r="G738" s="41" t="n">
        <x:v>1857.322915</x:v>
      </x:c>
      <x:c r="H738" s="41" t="n">
        <x:f>IFERROR(E738/ABS(F738),"")</x:f>
        <x:v>0.36305124851083387</x:v>
      </x:c>
      <x:c r="I738" s="41" t="n">
        <x:v>11.315458</x:v>
      </x:c>
      <x:c r="J738" s="41" t="n">
        <x:v>-29.670864</x:v>
      </x:c>
      <x:c r="K738" s="41" t="n">
        <x:v>1781.999572</x:v>
      </x:c>
      <x:c r="L738" s="41" t="n">
        <x:f>IFERROR(I738/ABS(J738),"")</x:f>
        <x:v>0.38136597572622083</x:v>
      </x:c>
      <x:c r="M738" s="41" t="n">
        <x:v>6.802475</x:v>
      </x:c>
      <x:c r="N738" s="41" t="n">
        <x:v>-56.473669</x:v>
      </x:c>
      <x:c r="O738" s="41" t="n">
        <x:v>506.057416</x:v>
      </x:c>
      <x:c r="P738" s="41" t="n">
        <x:f>IFERROR(M738/ABS(N738),"")</x:f>
        <x:v>0.12045392340278087</x:v>
      </x:c>
      <x:c r="Q738" s="41" t="str">
        <x:f>IF(L738&gt;=MAX(H738,P738),"Weekly",IF(H738&gt;=MAX(L738,P738),"No weekly","SPY"))</x:f>
        <x:v>Weekly</x:v>
      </x:c>
      <x:c r="R738" s="41" t="n">
        <x:f>IFERROR(L738-P738,"")</x:f>
        <x:v>0.26091205232343995</x:v>
      </x:c>
      <x:c r="S738" s="41" t="n">
        <x:f>IFERROR(H738-P738,"")</x:f>
        <x:v>0.24259732510805299</x:v>
      </x:c>
      <x:c r="T738" s="41" t="n">
        <x:f>IFERROR(I738-M738,"")</x:f>
        <x:v>4.512982999999999</x:v>
      </x:c>
      <x:c r="U738" s="41" t="n">
        <x:f>IFERROR(E738-M738,"")</x:f>
        <x:v>4.672650999999999</x:v>
      </x:c>
      <x:c r="V738" s="41" t="str">
        <x:f>IF(AND(I738&gt;M738,J738&gt;N738),"Sí","No")</x:f>
        <x:v>Sí</x:v>
      </x:c>
      <x:c r="W738" s="41" t="str">
        <x:f>IF(AND(E738&gt;M738,F738&gt;N738),"Sí","No")</x:f>
        <x:v>Sí</x:v>
      </x:c>
      <x:c r="X738" s="41" t="str">
        <x:f>IF(L738&gt;=H738,"Weekly","No weekly")</x:f>
        <x:v>Weekly</x:v>
      </x:c>
      <x:c r="Y738" s="41" t="n">
        <x:f>IFERROR(I738-E738,"")</x:f>
        <x:v>-0.15966799999999992</x:v>
      </x:c>
      <x:c r="Z738" s="41" t="n">
        <x:f>IFERROR(J738-F738,"")</x:f>
        <x:v>1.936591</x:v>
      </x:c>
      <x:c r="AA738" s="41" t="n">
        <x:v>12462</x:v>
      </x:c>
      <x:c r="AB738" s="41" t="n">
        <x:v>6178</x:v>
      </x:c>
    </x:row>
    <x:row r="739">
      <x:c r="A739" s="41" t="str">
        <x:v>HYP_REFINE_AUTO002_TOPN_6_V1_DDGRID_LONG_R12_C22_E75_CR40_REDD_RECOVERED_DD6_SL20</x:v>
      </x:c>
      <x:c r="B739" s="41" t="str">
        <x:v>dd_guard_grid</x:v>
      </x:c>
      <x:c r="C739" s="41" t="str">
        <x:v>1999-01-04</x:v>
      </x:c>
      <x:c r="D739" s="41" t="str">
        <x:v>2026-05-22</x:v>
      </x:c>
      <x:c r="E739" s="41" t="n">
        <x:v>12.685695</x:v>
      </x:c>
      <x:c r="F739" s="41" t="n">
        <x:v>-32.641176</x:v>
      </x:c>
      <x:c r="G739" s="41" t="n">
        <x:v>2530.813193</x:v>
      </x:c>
      <x:c r="H739" s="41" t="n">
        <x:f>IFERROR(E739/ABS(F739),"")</x:f>
        <x:v>0.38864086882163806</x:v>
      </x:c>
      <x:c r="I739" s="41" t="n">
        <x:v>11.975868</x:v>
      </x:c>
      <x:c r="J739" s="41" t="n">
        <x:v>-29.435035</x:v>
      </x:c>
      <x:c r="K739" s="41" t="n">
        <x:v>2112.859499</x:v>
      </x:c>
      <x:c r="L739" s="41" t="n">
        <x:f>IFERROR(I739/ABS(J739),"")</x:f>
        <x:v>0.4068576103272852</x:v>
      </x:c>
      <x:c r="M739" s="41" t="n">
        <x:v>6.802475</x:v>
      </x:c>
      <x:c r="N739" s="41" t="n">
        <x:v>-56.473669</x:v>
      </x:c>
      <x:c r="O739" s="41" t="n">
        <x:v>506.057416</x:v>
      </x:c>
      <x:c r="P739" s="41" t="n">
        <x:f>IFERROR(M739/ABS(N739),"")</x:f>
        <x:v>0.12045392340278087</x:v>
      </x:c>
      <x:c r="Q739" s="41" t="str">
        <x:f>IF(L739&gt;=MAX(H739,P739),"Weekly",IF(H739&gt;=MAX(L739,P739),"No weekly","SPY"))</x:f>
        <x:v>Weekly</x:v>
      </x:c>
      <x:c r="R739" s="41" t="n">
        <x:f>IFERROR(L739-P739,"")</x:f>
        <x:v>0.2864036869245043</x:v>
      </x:c>
      <x:c r="S739" s="41" t="n">
        <x:f>IFERROR(H739-P739,"")</x:f>
        <x:v>0.2681869454188572</x:v>
      </x:c>
      <x:c r="T739" s="41" t="n">
        <x:f>IFERROR(I739-M739,"")</x:f>
        <x:v>5.173393</x:v>
      </x:c>
      <x:c r="U739" s="41" t="n">
        <x:f>IFERROR(E739-M739,"")</x:f>
        <x:v>5.883220000000001</x:v>
      </x:c>
      <x:c r="V739" s="41" t="str">
        <x:f>IF(AND(I739&gt;M739,J739&gt;N739),"Sí","No")</x:f>
        <x:v>Sí</x:v>
      </x:c>
      <x:c r="W739" s="41" t="str">
        <x:f>IF(AND(E739&gt;M739,F739&gt;N739),"Sí","No")</x:f>
        <x:v>Sí</x:v>
      </x:c>
      <x:c r="X739" s="41" t="str">
        <x:f>IF(L739&gt;=H739,"Weekly","No weekly")</x:f>
        <x:v>Weekly</x:v>
      </x:c>
      <x:c r="Y739" s="41" t="n">
        <x:f>IFERROR(I739-E739,"")</x:f>
        <x:v>-0.7098270000000007</x:v>
      </x:c>
      <x:c r="Z739" s="41" t="n">
        <x:f>IFERROR(J739-F739,"")</x:f>
        <x:v>3.2061410000000024</x:v>
      </x:c>
      <x:c r="AA739" s="41" t="n">
        <x:v>12393</x:v>
      </x:c>
      <x:c r="AB739" s="41" t="n">
        <x:v>6342</x:v>
      </x:c>
    </x:row>
    <x:row r="740">
      <x:c r="A740" s="41" t="str">
        <x:v>HYP_REFINE_AUTO002_TOPN_6_V1_DDGRID_LONG_R12_C22_E75_CR40_REDD_RECOVERED_DD6_SL22</x:v>
      </x:c>
      <x:c r="B740" s="41" t="str">
        <x:v>dd_guard_grid</x:v>
      </x:c>
      <x:c r="C740" s="41" t="str">
        <x:v>1999-01-04</x:v>
      </x:c>
      <x:c r="D740" s="41" t="str">
        <x:v>2026-05-22</x:v>
      </x:c>
      <x:c r="E740" s="41" t="n">
        <x:v>12.381003</x:v>
      </x:c>
      <x:c r="F740" s="41" t="n">
        <x:v>-33.556578</x:v>
      </x:c>
      <x:c r="G740" s="41" t="n">
        <x:v>2342.846116</x:v>
      </x:c>
      <x:c r="H740" s="41" t="n">
        <x:f>IFERROR(E740/ABS(F740),"")</x:f>
        <x:v>0.36895904582404077</x:v>
      </x:c>
      <x:c r="I740" s="41" t="n">
        <x:v>11.650489</x:v>
      </x:c>
      <x:c r="J740" s="41" t="n">
        <x:v>-29.461895</x:v>
      </x:c>
      <x:c r="K740" s="41" t="n">
        <x:v>1943.396345</x:v>
      </x:c>
      <x:c r="L740" s="41" t="n">
        <x:f>IFERROR(I740/ABS(J740),"")</x:f>
        <x:v>0.39544262173224093</x:v>
      </x:c>
      <x:c r="M740" s="41" t="n">
        <x:v>6.802475</x:v>
      </x:c>
      <x:c r="N740" s="41" t="n">
        <x:v>-56.473669</x:v>
      </x:c>
      <x:c r="O740" s="41" t="n">
        <x:v>506.057416</x:v>
      </x:c>
      <x:c r="P740" s="41" t="n">
        <x:f>IFERROR(M740/ABS(N740),"")</x:f>
        <x:v>0.12045392340278087</x:v>
      </x:c>
      <x:c r="Q740" s="41" t="str">
        <x:f>IF(L740&gt;=MAX(H740,P740),"Weekly",IF(H740&gt;=MAX(L740,P740),"No weekly","SPY"))</x:f>
        <x:v>Weekly</x:v>
      </x:c>
      <x:c r="R740" s="41" t="n">
        <x:f>IFERROR(L740-P740,"")</x:f>
        <x:v>0.27498869832946005</x:v>
      </x:c>
      <x:c r="S740" s="41" t="n">
        <x:f>IFERROR(H740-P740,"")</x:f>
        <x:v>0.24850512242125988</x:v>
      </x:c>
      <x:c r="T740" s="41" t="n">
        <x:f>IFERROR(I740-M740,"")</x:f>
        <x:v>4.848014</x:v>
      </x:c>
      <x:c r="U740" s="41" t="n">
        <x:f>IFERROR(E740-M740,"")</x:f>
        <x:v>5.5785279999999995</x:v>
      </x:c>
      <x:c r="V740" s="41" t="str">
        <x:f>IF(AND(I740&gt;M740,J740&gt;N740),"Sí","No")</x:f>
        <x:v>Sí</x:v>
      </x:c>
      <x:c r="W740" s="41" t="str">
        <x:f>IF(AND(E740&gt;M740,F740&gt;N740),"Sí","No")</x:f>
        <x:v>Sí</x:v>
      </x:c>
      <x:c r="X740" s="41" t="str">
        <x:f>IF(L740&gt;=H740,"Weekly","No weekly")</x:f>
        <x:v>Weekly</x:v>
      </x:c>
      <x:c r="Y740" s="41" t="n">
        <x:f>IFERROR(I740-E740,"")</x:f>
        <x:v>-0.7305139999999994</x:v>
      </x:c>
      <x:c r="Z740" s="41" t="n">
        <x:f>IFERROR(J740-F740,"")</x:f>
        <x:v>4.094683000000003</x:v>
      </x:c>
      <x:c r="AA740" s="41" t="n">
        <x:v>12664</x:v>
      </x:c>
      <x:c r="AB740" s="41" t="n">
        <x:v>6273</x:v>
      </x:c>
    </x:row>
    <x:row r="741">
      <x:c r="A741" s="41" t="str">
        <x:v>HYP_REFINE_AUTO002_TOPN_6_V1_DDGRID_LONG_R12_C22_E75_CR40_REDD_RECOVERED_DD6_SL24</x:v>
      </x:c>
      <x:c r="B741" s="41" t="str">
        <x:v>dd_guard_grid</x:v>
      </x:c>
      <x:c r="C741" s="41" t="str">
        <x:v>1999-01-04</x:v>
      </x:c>
      <x:c r="D741" s="41" t="str">
        <x:v>2026-05-22</x:v>
      </x:c>
      <x:c r="E741" s="41" t="n">
        <x:v>11.71657</x:v>
      </x:c>
      <x:c r="F741" s="41" t="n">
        <x:v>-34.053842</x:v>
      </x:c>
      <x:c r="G741" s="41" t="n">
        <x:v>1976.767462</x:v>
      </x:c>
      <x:c r="H741" s="41" t="n">
        <x:f>IFERROR(E741/ABS(F741),"")</x:f>
        <x:v>0.34406015039360316</x:v>
      </x:c>
      <x:c r="I741" s="41" t="n">
        <x:v>12.59206</x:v>
      </x:c>
      <x:c r="J741" s="41" t="n">
        <x:v>-29.457236</x:v>
      </x:c>
      <x:c r="K741" s="41" t="n">
        <x:v>2471.613816</x:v>
      </x:c>
      <x:c r="L741" s="41" t="n">
        <x:f>IFERROR(I741/ABS(J741),"")</x:f>
        <x:v>0.4274691624156455</x:v>
      </x:c>
      <x:c r="M741" s="41" t="n">
        <x:v>6.802475</x:v>
      </x:c>
      <x:c r="N741" s="41" t="n">
        <x:v>-56.473669</x:v>
      </x:c>
      <x:c r="O741" s="41" t="n">
        <x:v>506.057416</x:v>
      </x:c>
      <x:c r="P741" s="41" t="n">
        <x:f>IFERROR(M741/ABS(N741),"")</x:f>
        <x:v>0.12045392340278087</x:v>
      </x:c>
      <x:c r="Q741" s="41" t="str">
        <x:f>IF(L741&gt;=MAX(H741,P741),"Weekly",IF(H741&gt;=MAX(L741,P741),"No weekly","SPY"))</x:f>
        <x:v>Weekly</x:v>
      </x:c>
      <x:c r="R741" s="41" t="n">
        <x:f>IFERROR(L741-P741,"")</x:f>
        <x:v>0.3070152390128646</x:v>
      </x:c>
      <x:c r="S741" s="41" t="n">
        <x:f>IFERROR(H741-P741,"")</x:f>
        <x:v>0.22360622699082228</x:v>
      </x:c>
      <x:c r="T741" s="41" t="n">
        <x:f>IFERROR(I741-M741,"")</x:f>
        <x:v>5.789585</x:v>
      </x:c>
      <x:c r="U741" s="41" t="n">
        <x:f>IFERROR(E741-M741,"")</x:f>
        <x:v>4.9140950000000005</x:v>
      </x:c>
      <x:c r="V741" s="41" t="str">
        <x:f>IF(AND(I741&gt;M741,J741&gt;N741),"Sí","No")</x:f>
        <x:v>Sí</x:v>
      </x:c>
      <x:c r="W741" s="41" t="str">
        <x:f>IF(AND(E741&gt;M741,F741&gt;N741),"Sí","No")</x:f>
        <x:v>Sí</x:v>
      </x:c>
      <x:c r="X741" s="41" t="str">
        <x:f>IF(L741&gt;=H741,"Weekly","No weekly")</x:f>
        <x:v>Weekly</x:v>
      </x:c>
      <x:c r="Y741" s="41" t="n">
        <x:f>IFERROR(I741-E741,"")</x:f>
        <x:v>0.8754899999999992</x:v>
      </x:c>
      <x:c r="Z741" s="41" t="n">
        <x:f>IFERROR(J741-F741,"")</x:f>
        <x:v>4.596606000000001</x:v>
      </x:c>
      <x:c r="AA741" s="41" t="n">
        <x:v>12682</x:v>
      </x:c>
      <x:c r="AB741" s="41" t="n">
        <x:v>6188</x:v>
      </x:c>
    </x:row>
    <x:row r="742">
      <x:c r="A742" s="41" t="str">
        <x:v>HYP_REFINE_AUTO002_TOPN_6_V1_DDGRID_LONG_R12_C22_E75_CR40_REDD_RECOVERED_DD6_SLNONE</x:v>
      </x:c>
      <x:c r="B742" s="41" t="str">
        <x:v>dd_guard_grid</x:v>
      </x:c>
      <x:c r="C742" s="41" t="str">
        <x:v>1999-01-04</x:v>
      </x:c>
      <x:c r="D742" s="41" t="str">
        <x:v>2026-05-22</x:v>
      </x:c>
      <x:c r="E742" s="41" t="n">
        <x:v>12.526462</x:v>
      </x:c>
      <x:c r="F742" s="41" t="n">
        <x:v>-33.40545</x:v>
      </x:c>
      <x:c r="G742" s="41" t="n">
        <x:v>2430.907118</x:v>
      </x:c>
      <x:c r="H742" s="41" t="n">
        <x:f>IFERROR(E742/ABS(F742),"")</x:f>
        <x:v>0.37498258517696964</x:v>
      </x:c>
      <x:c r="I742" s="41" t="n">
        <x:v>12.663517</x:v>
      </x:c>
      <x:c r="J742" s="41" t="n">
        <x:v>-29.696181</x:v>
      </x:c>
      <x:c r="K742" s="41" t="n">
        <x:v>2516.674041</x:v>
      </x:c>
      <x:c r="L742" s="41" t="n">
        <x:f>IFERROR(I742/ABS(J742),"")</x:f>
        <x:v>0.42643587739447036</x:v>
      </x:c>
      <x:c r="M742" s="41" t="n">
        <x:v>6.802475</x:v>
      </x:c>
      <x:c r="N742" s="41" t="n">
        <x:v>-56.473669</x:v>
      </x:c>
      <x:c r="O742" s="41" t="n">
        <x:v>506.057416</x:v>
      </x:c>
      <x:c r="P742" s="41" t="n">
        <x:f>IFERROR(M742/ABS(N742),"")</x:f>
        <x:v>0.12045392340278087</x:v>
      </x:c>
      <x:c r="Q742" s="41" t="str">
        <x:f>IF(L742&gt;=MAX(H742,P742),"Weekly",IF(H742&gt;=MAX(L742,P742),"No weekly","SPY"))</x:f>
        <x:v>Weekly</x:v>
      </x:c>
      <x:c r="R742" s="41" t="n">
        <x:f>IFERROR(L742-P742,"")</x:f>
        <x:v>0.3059819539916895</x:v>
      </x:c>
      <x:c r="S742" s="41" t="n">
        <x:f>IFERROR(H742-P742,"")</x:f>
        <x:v>0.25452866177418876</x:v>
      </x:c>
      <x:c r="T742" s="41" t="n">
        <x:f>IFERROR(I742-M742,"")</x:f>
        <x:v>5.861042</x:v>
      </x:c>
      <x:c r="U742" s="41" t="n">
        <x:f>IFERROR(E742-M742,"")</x:f>
        <x:v>5.723987</x:v>
      </x:c>
      <x:c r="V742" s="41" t="str">
        <x:f>IF(AND(I742&gt;M742,J742&gt;N742),"Sí","No")</x:f>
        <x:v>Sí</x:v>
      </x:c>
      <x:c r="W742" s="41" t="str">
        <x:f>IF(AND(E742&gt;M742,F742&gt;N742),"Sí","No")</x:f>
        <x:v>Sí</x:v>
      </x:c>
      <x:c r="X742" s="41" t="str">
        <x:f>IF(L742&gt;=H742,"Weekly","No weekly")</x:f>
        <x:v>Weekly</x:v>
      </x:c>
      <x:c r="Y742" s="41" t="n">
        <x:f>IFERROR(I742-E742,"")</x:f>
        <x:v>0.13705500000000015</x:v>
      </x:c>
      <x:c r="Z742" s="41" t="n">
        <x:f>IFERROR(J742-F742,"")</x:f>
        <x:v>3.7092690000000026</x:v>
      </x:c>
      <x:c r="AA742" s="41" t="n">
        <x:v>12593</x:v>
      </x:c>
      <x:c r="AB742" s="41" t="n">
        <x:v>6878</x:v>
      </x:c>
    </x:row>
    <x:row r="743">
      <x:c r="A743" s="41" t="str">
        <x:v>HYP_REFINE_AUTO002_TOPN_6_V1_DDGRID_LONG_R12_C22_E75_CR40_REDD_RECOVERED_DD7_SL18</x:v>
      </x:c>
      <x:c r="B743" s="41" t="str">
        <x:v>dd_guard_grid</x:v>
      </x:c>
      <x:c r="C743" s="41" t="str">
        <x:v>1999-01-04</x:v>
      </x:c>
      <x:c r="D743" s="41" t="str">
        <x:v>2026-05-22</x:v>
      </x:c>
      <x:c r="E743" s="41" t="n">
        <x:v>13.522211</x:v>
      </x:c>
      <x:c r="F743" s="41" t="n">
        <x:v>-31.732312</x:v>
      </x:c>
      <x:c r="G743" s="41" t="n">
        <x:v>3121.300861</x:v>
      </x:c>
      <x:c r="H743" s="41" t="n">
        <x:f>IFERROR(E743/ABS(F743),"")</x:f>
        <x:v>0.4261338096007628</x:v>
      </x:c>
      <x:c r="I743" s="41" t="n">
        <x:v>11.655738</x:v>
      </x:c>
      <x:c r="J743" s="41" t="n">
        <x:v>-29.670864</x:v>
      </x:c>
      <x:c r="K743" s="41" t="n">
        <x:v>1946.028242</x:v>
      </x:c>
      <x:c r="L743" s="41" t="n">
        <x:f>IFERROR(I743/ABS(J743),"")</x:f>
        <x:v>0.39283446548775924</x:v>
      </x:c>
      <x:c r="M743" s="41" t="n">
        <x:v>6.802475</x:v>
      </x:c>
      <x:c r="N743" s="41" t="n">
        <x:v>-56.473669</x:v>
      </x:c>
      <x:c r="O743" s="41" t="n">
        <x:v>506.057416</x:v>
      </x:c>
      <x:c r="P743" s="41" t="n">
        <x:f>IFERROR(M743/ABS(N743),"")</x:f>
        <x:v>0.12045392340278087</x:v>
      </x:c>
      <x:c r="Q743" s="41" t="str">
        <x:f>IF(L743&gt;=MAX(H743,P743),"Weekly",IF(H743&gt;=MAX(L743,P743),"No weekly","SPY"))</x:f>
        <x:v>No weekly</x:v>
      </x:c>
      <x:c r="R743" s="41" t="n">
        <x:f>IFERROR(L743-P743,"")</x:f>
        <x:v>0.27238054208497836</x:v>
      </x:c>
      <x:c r="S743" s="41" t="n">
        <x:f>IFERROR(H743-P743,"")</x:f>
        <x:v>0.3056798861979819</x:v>
      </x:c>
      <x:c r="T743" s="41" t="n">
        <x:f>IFERROR(I743-M743,"")</x:f>
        <x:v>4.853262999999999</x:v>
      </x:c>
      <x:c r="U743" s="41" t="n">
        <x:f>IFERROR(E743-M743,"")</x:f>
        <x:v>6.719736</x:v>
      </x:c>
      <x:c r="V743" s="41" t="str">
        <x:f>IF(AND(I743&gt;M743,J743&gt;N743),"Sí","No")</x:f>
        <x:v>Sí</x:v>
      </x:c>
      <x:c r="W743" s="41" t="str">
        <x:f>IF(AND(E743&gt;M743,F743&gt;N743),"Sí","No")</x:f>
        <x:v>Sí</x:v>
      </x:c>
      <x:c r="X743" s="41" t="str">
        <x:f>IF(L743&gt;=H743,"Weekly","No weekly")</x:f>
        <x:v>No weekly</x:v>
      </x:c>
      <x:c r="Y743" s="41" t="n">
        <x:f>IFERROR(I743-E743,"")</x:f>
        <x:v>-1.866473000000001</x:v>
      </x:c>
      <x:c r="Z743" s="41" t="n">
        <x:f>IFERROR(J743-F743,"")</x:f>
        <x:v>2.0614479999999986</x:v>
      </x:c>
      <x:c r="AA743" s="41" t="n">
        <x:v>12217</x:v>
      </x:c>
      <x:c r="AB743" s="41" t="n">
        <x:v>5847</x:v>
      </x:c>
    </x:row>
    <x:row r="744">
      <x:c r="A744" s="41" t="str">
        <x:v>HYP_REFINE_AUTO002_TOPN_6_V1_DDGRID_LONG_R12_C22_E75_CR40_REDD_RECOVERED_DD7_SL20</x:v>
      </x:c>
      <x:c r="B744" s="41" t="str">
        <x:v>dd_guard_grid</x:v>
      </x:c>
      <x:c r="C744" s="41" t="str">
        <x:v>1999-01-04</x:v>
      </x:c>
      <x:c r="D744" s="41" t="str">
        <x:v>2026-05-22</x:v>
      </x:c>
      <x:c r="E744" s="41" t="n">
        <x:v>13.419154</x:v>
      </x:c>
      <x:c r="F744" s="41" t="n">
        <x:v>-32.641176</x:v>
      </x:c>
      <x:c r="G744" s="41" t="n">
        <x:v>3042.18781</x:v>
      </x:c>
      <x:c r="H744" s="41" t="n">
        <x:f>IFERROR(E744/ABS(F744),"")</x:f>
        <x:v>0.41111122957089535</x:v>
      </x:c>
      <x:c r="I744" s="41" t="n">
        <x:v>12.260468</x:v>
      </x:c>
      <x:c r="J744" s="41" t="n">
        <x:v>-29.435035</x:v>
      </x:c>
      <x:c r="K744" s="41" t="n">
        <x:v>2272.117056</x:v>
      </x:c>
      <x:c r="L744" s="41" t="n">
        <x:f>IFERROR(I744/ABS(J744),"")</x:f>
        <x:v>0.416526360508829</x:v>
      </x:c>
      <x:c r="M744" s="41" t="n">
        <x:v>6.802475</x:v>
      </x:c>
      <x:c r="N744" s="41" t="n">
        <x:v>-56.473669</x:v>
      </x:c>
      <x:c r="O744" s="41" t="n">
        <x:v>506.057416</x:v>
      </x:c>
      <x:c r="P744" s="41" t="n">
        <x:f>IFERROR(M744/ABS(N744),"")</x:f>
        <x:v>0.12045392340278087</x:v>
      </x:c>
      <x:c r="Q744" s="41" t="str">
        <x:f>IF(L744&gt;=MAX(H744,P744),"Weekly",IF(H744&gt;=MAX(L744,P744),"No weekly","SPY"))</x:f>
        <x:v>Weekly</x:v>
      </x:c>
      <x:c r="R744" s="41" t="n">
        <x:f>IFERROR(L744-P744,"")</x:f>
        <x:v>0.29607243710604814</x:v>
      </x:c>
      <x:c r="S744" s="41" t="n">
        <x:f>IFERROR(H744-P744,"")</x:f>
        <x:v>0.29065730616811447</x:v>
      </x:c>
      <x:c r="T744" s="41" t="n">
        <x:f>IFERROR(I744-M744,"")</x:f>
        <x:v>5.457992999999999</x:v>
      </x:c>
      <x:c r="U744" s="41" t="n">
        <x:f>IFERROR(E744-M744,"")</x:f>
        <x:v>6.616679</x:v>
      </x:c>
      <x:c r="V744" s="41" t="str">
        <x:f>IF(AND(I744&gt;M744,J744&gt;N744),"Sí","No")</x:f>
        <x:v>Sí</x:v>
      </x:c>
      <x:c r="W744" s="41" t="str">
        <x:f>IF(AND(E744&gt;M744,F744&gt;N744),"Sí","No")</x:f>
        <x:v>Sí</x:v>
      </x:c>
      <x:c r="X744" s="41" t="str">
        <x:f>IF(L744&gt;=H744,"Weekly","No weekly")</x:f>
        <x:v>Weekly</x:v>
      </x:c>
      <x:c r="Y744" s="41" t="n">
        <x:f>IFERROR(I744-E744,"")</x:f>
        <x:v>-1.1586860000000012</x:v>
      </x:c>
      <x:c r="Z744" s="41" t="n">
        <x:f>IFERROR(J744-F744,"")</x:f>
        <x:v>3.2061410000000024</x:v>
      </x:c>
      <x:c r="AA744" s="41" t="n">
        <x:v>12168</x:v>
      </x:c>
      <x:c r="AB744" s="41" t="n">
        <x:v>6038</x:v>
      </x:c>
    </x:row>
    <x:row r="745">
      <x:c r="A745" s="41" t="str">
        <x:v>HYP_REFINE_AUTO002_TOPN_6_V1_DDGRID_LONG_R12_C22_E75_CR40_REDD_RECOVERED_DD7_SL22</x:v>
      </x:c>
      <x:c r="B745" s="41" t="str">
        <x:v>dd_guard_grid</x:v>
      </x:c>
      <x:c r="C745" s="41" t="str">
        <x:v>1999-01-04</x:v>
      </x:c>
      <x:c r="D745" s="41" t="str">
        <x:v>2026-05-22</x:v>
      </x:c>
      <x:c r="E745" s="41" t="n">
        <x:v>12.321205</x:v>
      </x:c>
      <x:c r="F745" s="41" t="n">
        <x:v>-33.556578</x:v>
      </x:c>
      <x:c r="G745" s="41" t="n">
        <x:v>2307.506783</x:v>
      </x:c>
      <x:c r="H745" s="41" t="n">
        <x:f>IFERROR(E745/ABS(F745),"")</x:f>
        <x:v>0.3671770405194475</x:v>
      </x:c>
      <x:c r="I745" s="41" t="n">
        <x:v>12.182466</x:v>
      </x:c>
      <x:c r="J745" s="41" t="n">
        <x:v>-29.461895</x:v>
      </x:c>
      <x:c r="K745" s="41" t="n">
        <x:v>2227.402754</x:v>
      </x:c>
      <x:c r="L745" s="41" t="n">
        <x:f>IFERROR(I745/ABS(J745),"")</x:f>
        <x:v>0.4134990637907032</x:v>
      </x:c>
      <x:c r="M745" s="41" t="n">
        <x:v>6.802475</x:v>
      </x:c>
      <x:c r="N745" s="41" t="n">
        <x:v>-56.473669</x:v>
      </x:c>
      <x:c r="O745" s="41" t="n">
        <x:v>506.057416</x:v>
      </x:c>
      <x:c r="P745" s="41" t="n">
        <x:f>IFERROR(M745/ABS(N745),"")</x:f>
        <x:v>0.12045392340278087</x:v>
      </x:c>
      <x:c r="Q745" s="41" t="str">
        <x:f>IF(L745&gt;=MAX(H745,P745),"Weekly",IF(H745&gt;=MAX(L745,P745),"No weekly","SPY"))</x:f>
        <x:v>Weekly</x:v>
      </x:c>
      <x:c r="R745" s="41" t="n">
        <x:f>IFERROR(L745-P745,"")</x:f>
        <x:v>0.29304514038792234</x:v>
      </x:c>
      <x:c r="S745" s="41" t="n">
        <x:f>IFERROR(H745-P745,"")</x:f>
        <x:v>0.2467231171166666</x:v>
      </x:c>
      <x:c r="T745" s="41" t="n">
        <x:f>IFERROR(I745-M745,"")</x:f>
        <x:v>5.3799909999999995</x:v>
      </x:c>
      <x:c r="U745" s="41" t="n">
        <x:f>IFERROR(E745-M745,"")</x:f>
        <x:v>5.518730000000001</x:v>
      </x:c>
      <x:c r="V745" s="41" t="str">
        <x:f>IF(AND(I745&gt;M745,J745&gt;N745),"Sí","No")</x:f>
        <x:v>Sí</x:v>
      </x:c>
      <x:c r="W745" s="41" t="str">
        <x:f>IF(AND(E745&gt;M745,F745&gt;N745),"Sí","No")</x:f>
        <x:v>Sí</x:v>
      </x:c>
      <x:c r="X745" s="41" t="str">
        <x:f>IF(L745&gt;=H745,"Weekly","No weekly")</x:f>
        <x:v>Weekly</x:v>
      </x:c>
      <x:c r="Y745" s="41" t="n">
        <x:f>IFERROR(I745-E745,"")</x:f>
        <x:v>-0.13873900000000106</x:v>
      </x:c>
      <x:c r="Z745" s="41" t="n">
        <x:f>IFERROR(J745-F745,"")</x:f>
        <x:v>4.094683000000003</x:v>
      </x:c>
      <x:c r="AA745" s="41" t="n">
        <x:v>12290</x:v>
      </x:c>
      <x:c r="AB745" s="41" t="n">
        <x:v>5964</x:v>
      </x:c>
    </x:row>
    <x:row r="746">
      <x:c r="A746" s="41" t="str">
        <x:v>HYP_REFINE_AUTO002_TOPN_6_V1_DDGRID_LONG_R12_C22_E75_CR40_REDD_RECOVERED_DD7_SL24</x:v>
      </x:c>
      <x:c r="B746" s="41" t="str">
        <x:v>dd_guard_grid</x:v>
      </x:c>
      <x:c r="C746" s="41" t="str">
        <x:v>1999-01-04</x:v>
      </x:c>
      <x:c r="D746" s="41" t="str">
        <x:v>2026-05-22</x:v>
      </x:c>
      <x:c r="E746" s="41" t="n">
        <x:v>11.478124</x:v>
      </x:c>
      <x:c r="F746" s="41" t="n">
        <x:v>-34.053842</x:v>
      </x:c>
      <x:c r="G746" s="41" t="n">
        <x:v>1858.764623</x:v>
      </x:c>
      <x:c r="H746" s="41" t="n">
        <x:f>IFERROR(E746/ABS(F746),"")</x:f>
        <x:v>0.337058121077792</x:v>
      </x:c>
      <x:c r="I746" s="41" t="n">
        <x:v>13.021173</x:v>
      </x:c>
      <x:c r="J746" s="41" t="n">
        <x:v>-29.457236</x:v>
      </x:c>
      <x:c r="K746" s="41" t="n">
        <x:v>2753.883478</x:v>
      </x:c>
      <x:c r="L746" s="41" t="n">
        <x:f>IFERROR(I746/ABS(J746),"")</x:f>
        <x:v>0.44203648298842424</x:v>
      </x:c>
      <x:c r="M746" s="41" t="n">
        <x:v>6.802475</x:v>
      </x:c>
      <x:c r="N746" s="41" t="n">
        <x:v>-56.473669</x:v>
      </x:c>
      <x:c r="O746" s="41" t="n">
        <x:v>506.057416</x:v>
      </x:c>
      <x:c r="P746" s="41" t="n">
        <x:f>IFERROR(M746/ABS(N746),"")</x:f>
        <x:v>0.12045392340278087</x:v>
      </x:c>
      <x:c r="Q746" s="41" t="str">
        <x:f>IF(L746&gt;=MAX(H746,P746),"Weekly",IF(H746&gt;=MAX(L746,P746),"No weekly","SPY"))</x:f>
        <x:v>Weekly</x:v>
      </x:c>
      <x:c r="R746" s="41" t="n">
        <x:f>IFERROR(L746-P746,"")</x:f>
        <x:v>0.32158255958564336</x:v>
      </x:c>
      <x:c r="S746" s="41" t="n">
        <x:f>IFERROR(H746-P746,"")</x:f>
        <x:v>0.2166041976750111</x:v>
      </x:c>
      <x:c r="T746" s="41" t="n">
        <x:f>IFERROR(I746-M746,"")</x:f>
        <x:v>6.218697999999999</x:v>
      </x:c>
      <x:c r="U746" s="41" t="n">
        <x:f>IFERROR(E746-M746,"")</x:f>
        <x:v>4.675648999999999</x:v>
      </x:c>
      <x:c r="V746" s="41" t="str">
        <x:f>IF(AND(I746&gt;M746,J746&gt;N746),"Sí","No")</x:f>
        <x:v>Sí</x:v>
      </x:c>
      <x:c r="W746" s="41" t="str">
        <x:f>IF(AND(E746&gt;M746,F746&gt;N746),"Sí","No")</x:f>
        <x:v>Sí</x:v>
      </x:c>
      <x:c r="X746" s="41" t="str">
        <x:f>IF(L746&gt;=H746,"Weekly","No weekly")</x:f>
        <x:v>Weekly</x:v>
      </x:c>
      <x:c r="Y746" s="41" t="n">
        <x:f>IFERROR(I746-E746,"")</x:f>
        <x:v>1.543049</x:v>
      </x:c>
      <x:c r="Z746" s="41" t="n">
        <x:f>IFERROR(J746-F746,"")</x:f>
        <x:v>4.596606000000001</x:v>
      </x:c>
      <x:c r="AA746" s="41" t="n">
        <x:v>12311</x:v>
      </x:c>
      <x:c r="AB746" s="41" t="n">
        <x:v>5968</x:v>
      </x:c>
    </x:row>
    <x:row r="747">
      <x:c r="A747" s="41" t="str">
        <x:v>HYP_REFINE_AUTO002_TOPN_6_V1_DDGRID_LONG_R12_C22_E75_CR40_REDD_RECOVERED_DD7_SLNONE</x:v>
      </x:c>
      <x:c r="B747" s="41" t="str">
        <x:v>dd_guard_grid</x:v>
      </x:c>
      <x:c r="C747" s="41" t="str">
        <x:v>1999-01-04</x:v>
      </x:c>
      <x:c r="D747" s="41" t="str">
        <x:v>2026-05-22</x:v>
      </x:c>
      <x:c r="E747" s="41" t="n">
        <x:v>12.443844</x:v>
      </x:c>
      <x:c r="F747" s="41" t="n">
        <x:v>-33.40545</x:v>
      </x:c>
      <x:c r="G747" s="41" t="n">
        <x:v>2380.521888</x:v>
      </x:c>
      <x:c r="H747" s="41" t="n">
        <x:f>IFERROR(E747/ABS(F747),"")</x:f>
        <x:v>0.3725093959219229</x:v>
      </x:c>
      <x:c r="I747" s="41" t="n">
        <x:v>13.164857</x:v>
      </x:c>
      <x:c r="J747" s="41" t="n">
        <x:v>-29.696181</x:v>
      </x:c>
      <x:c r="K747" s="41" t="n">
        <x:v>2854.900544</x:v>
      </x:c>
      <x:c r="L747" s="41" t="n">
        <x:f>IFERROR(I747/ABS(J747),"")</x:f>
        <x:v>0.4433181829003534</x:v>
      </x:c>
      <x:c r="M747" s="41" t="n">
        <x:v>6.802475</x:v>
      </x:c>
      <x:c r="N747" s="41" t="n">
        <x:v>-56.473669</x:v>
      </x:c>
      <x:c r="O747" s="41" t="n">
        <x:v>506.057416</x:v>
      </x:c>
      <x:c r="P747" s="41" t="n">
        <x:f>IFERROR(M747/ABS(N747),"")</x:f>
        <x:v>0.12045392340278087</x:v>
      </x:c>
      <x:c r="Q747" s="41" t="str">
        <x:f>IF(L747&gt;=MAX(H747,P747),"Weekly",IF(H747&gt;=MAX(L747,P747),"No weekly","SPY"))</x:f>
        <x:v>Weekly</x:v>
      </x:c>
      <x:c r="R747" s="41" t="n">
        <x:f>IFERROR(L747-P747,"")</x:f>
        <x:v>0.3228642594975725</x:v>
      </x:c>
      <x:c r="S747" s="41" t="n">
        <x:f>IFERROR(H747-P747,"")</x:f>
        <x:v>0.252055472519142</x:v>
      </x:c>
      <x:c r="T747" s="41" t="n">
        <x:f>IFERROR(I747-M747,"")</x:f>
        <x:v>6.362381999999999</x:v>
      </x:c>
      <x:c r="U747" s="41" t="n">
        <x:f>IFERROR(E747-M747,"")</x:f>
        <x:v>5.641369</x:v>
      </x:c>
      <x:c r="V747" s="41" t="str">
        <x:f>IF(AND(I747&gt;M747,J747&gt;N747),"Sí","No")</x:f>
        <x:v>Sí</x:v>
      </x:c>
      <x:c r="W747" s="41" t="str">
        <x:f>IF(AND(E747&gt;M747,F747&gt;N747),"Sí","No")</x:f>
        <x:v>Sí</x:v>
      </x:c>
      <x:c r="X747" s="41" t="str">
        <x:f>IF(L747&gt;=H747,"Weekly","No weekly")</x:f>
        <x:v>Weekly</x:v>
      </x:c>
      <x:c r="Y747" s="41" t="n">
        <x:f>IFERROR(I747-E747,"")</x:f>
        <x:v>0.7210129999999992</x:v>
      </x:c>
      <x:c r="Z747" s="41" t="n">
        <x:f>IFERROR(J747-F747,"")</x:f>
        <x:v>3.7092690000000026</x:v>
      </x:c>
      <x:c r="AA747" s="41" t="n">
        <x:v>12260</x:v>
      </x:c>
      <x:c r="AB747" s="41" t="n">
        <x:v>6673</x:v>
      </x:c>
    </x:row>
    <x:row r="748">
      <x:c r="A748" s="41" t="str">
        <x:v>HYP_REFINE_AUTO002_TOPN_6_V1_DDGRID_LONG_R12_C22_E75_CR40_REDD_RECOVERED_DD8_SL18</x:v>
      </x:c>
      <x:c r="B748" s="41" t="str">
        <x:v>dd_guard_grid</x:v>
      </x:c>
      <x:c r="C748" s="41" t="str">
        <x:v>1999-01-04</x:v>
      </x:c>
      <x:c r="D748" s="41" t="str">
        <x:v>2026-05-22</x:v>
      </x:c>
      <x:c r="E748" s="41" t="n">
        <x:v>13.089487</x:v>
      </x:c>
      <x:c r="F748" s="41" t="n">
        <x:v>-31.732981</x:v>
      </x:c>
      <x:c r="G748" s="41" t="n">
        <x:v>2801.489978</x:v>
      </x:c>
      <x:c r="H748" s="41" t="n">
        <x:f>IFERROR(E748/ABS(F748),"")</x:f>
        <x:v>0.4124884138682086</x:v>
      </x:c>
      <x:c r="I748" s="41" t="n">
        <x:v>12.087292</x:v>
      </x:c>
      <x:c r="J748" s="41" t="n">
        <x:v>-29.670864</x:v>
      </x:c>
      <x:c r="K748" s="41" t="n">
        <x:v>2173.943189</x:v>
      </x:c>
      <x:c r="L748" s="41" t="n">
        <x:f>IFERROR(I748/ABS(J748),"")</x:f>
        <x:v>0.4073791717019093</x:v>
      </x:c>
      <x:c r="M748" s="41" t="n">
        <x:v>6.802475</x:v>
      </x:c>
      <x:c r="N748" s="41" t="n">
        <x:v>-56.473669</x:v>
      </x:c>
      <x:c r="O748" s="41" t="n">
        <x:v>506.057416</x:v>
      </x:c>
      <x:c r="P748" s="41" t="n">
        <x:f>IFERROR(M748/ABS(N748),"")</x:f>
        <x:v>0.12045392340278087</x:v>
      </x:c>
      <x:c r="Q748" s="41" t="str">
        <x:f>IF(L748&gt;=MAX(H748,P748),"Weekly",IF(H748&gt;=MAX(L748,P748),"No weekly","SPY"))</x:f>
        <x:v>No weekly</x:v>
      </x:c>
      <x:c r="R748" s="41" t="n">
        <x:f>IFERROR(L748-P748,"")</x:f>
        <x:v>0.2869252482991284</x:v>
      </x:c>
      <x:c r="S748" s="41" t="n">
        <x:f>IFERROR(H748-P748,"")</x:f>
        <x:v>0.29203449046542773</x:v>
      </x:c>
      <x:c r="T748" s="41" t="n">
        <x:f>IFERROR(I748-M748,"")</x:f>
        <x:v>5.284816999999999</x:v>
      </x:c>
      <x:c r="U748" s="41" t="n">
        <x:f>IFERROR(E748-M748,"")</x:f>
        <x:v>6.287012</x:v>
      </x:c>
      <x:c r="V748" s="41" t="str">
        <x:f>IF(AND(I748&gt;M748,J748&gt;N748),"Sí","No")</x:f>
        <x:v>Sí</x:v>
      </x:c>
      <x:c r="W748" s="41" t="str">
        <x:f>IF(AND(E748&gt;M748,F748&gt;N748),"Sí","No")</x:f>
        <x:v>Sí</x:v>
      </x:c>
      <x:c r="X748" s="41" t="str">
        <x:f>IF(L748&gt;=H748,"Weekly","No weekly")</x:f>
        <x:v>No weekly</x:v>
      </x:c>
      <x:c r="Y748" s="41" t="n">
        <x:f>IFERROR(I748-E748,"")</x:f>
        <x:v>-1.0021950000000004</x:v>
      </x:c>
      <x:c r="Z748" s="41" t="n">
        <x:f>IFERROR(J748-F748,"")</x:f>
        <x:v>2.062116999999997</x:v>
      </x:c>
      <x:c r="AA748" s="41" t="n">
        <x:v>11904</x:v>
      </x:c>
      <x:c r="AB748" s="41" t="n">
        <x:v>5768</x:v>
      </x:c>
    </x:row>
    <x:row r="749">
      <x:c r="A749" s="41" t="str">
        <x:v>HYP_REFINE_AUTO002_TOPN_6_V1_DDGRID_LONG_R12_C22_E75_CR40_REDD_RECOVERED_DD8_SL20</x:v>
      </x:c>
      <x:c r="B749" s="41" t="str">
        <x:v>dd_guard_grid</x:v>
      </x:c>
      <x:c r="C749" s="41" t="str">
        <x:v>1999-01-04</x:v>
      </x:c>
      <x:c r="D749" s="41" t="str">
        <x:v>2026-05-22</x:v>
      </x:c>
      <x:c r="E749" s="41" t="n">
        <x:v>14.037914</x:v>
      </x:c>
      <x:c r="F749" s="41" t="n">
        <x:v>-32.641176</x:v>
      </x:c>
      <x:c r="G749" s="41" t="n">
        <x:v>3546.8989</x:v>
      </x:c>
      <x:c r="H749" s="41" t="n">
        <x:f>IFERROR(E749/ABS(F749),"")</x:f>
        <x:v>0.43006765442519596</x:v>
      </x:c>
      <x:c r="I749" s="41" t="n">
        <x:v>12.692839</x:v>
      </x:c>
      <x:c r="J749" s="41" t="n">
        <x:v>-29.435035</x:v>
      </x:c>
      <x:c r="K749" s="41" t="n">
        <x:v>2535.383386</x:v>
      </x:c>
      <x:c r="L749" s="41" t="n">
        <x:f>IFERROR(I749/ABS(J749),"")</x:f>
        <x:v>0.43121535272507744</x:v>
      </x:c>
      <x:c r="M749" s="41" t="n">
        <x:v>6.802475</x:v>
      </x:c>
      <x:c r="N749" s="41" t="n">
        <x:v>-56.473669</x:v>
      </x:c>
      <x:c r="O749" s="41" t="n">
        <x:v>506.057416</x:v>
      </x:c>
      <x:c r="P749" s="41" t="n">
        <x:f>IFERROR(M749/ABS(N749),"")</x:f>
        <x:v>0.12045392340278087</x:v>
      </x:c>
      <x:c r="Q749" s="41" t="str">
        <x:f>IF(L749&gt;=MAX(H749,P749),"Weekly",IF(H749&gt;=MAX(L749,P749),"No weekly","SPY"))</x:f>
        <x:v>Weekly</x:v>
      </x:c>
      <x:c r="R749" s="41" t="n">
        <x:f>IFERROR(L749-P749,"")</x:f>
        <x:v>0.31076142932229656</x:v>
      </x:c>
      <x:c r="S749" s="41" t="n">
        <x:f>IFERROR(H749-P749,"")</x:f>
        <x:v>0.3096137310224151</x:v>
      </x:c>
      <x:c r="T749" s="41" t="n">
        <x:f>IFERROR(I749-M749,"")</x:f>
        <x:v>5.890363999999999</x:v>
      </x:c>
      <x:c r="U749" s="41" t="n">
        <x:f>IFERROR(E749-M749,"")</x:f>
        <x:v>7.235439</x:v>
      </x:c>
      <x:c r="V749" s="41" t="str">
        <x:f>IF(AND(I749&gt;M749,J749&gt;N749),"Sí","No")</x:f>
        <x:v>Sí</x:v>
      </x:c>
      <x:c r="W749" s="41" t="str">
        <x:f>IF(AND(E749&gt;M749,F749&gt;N749),"Sí","No")</x:f>
        <x:v>Sí</x:v>
      </x:c>
      <x:c r="X749" s="41" t="str">
        <x:f>IF(L749&gt;=H749,"Weekly","No weekly")</x:f>
        <x:v>Weekly</x:v>
      </x:c>
      <x:c r="Y749" s="41" t="n">
        <x:f>IFERROR(I749-E749,"")</x:f>
        <x:v>-1.3450750000000014</x:v>
      </x:c>
      <x:c r="Z749" s="41" t="n">
        <x:f>IFERROR(J749-F749,"")</x:f>
        <x:v>3.2061410000000024</x:v>
      </x:c>
      <x:c r="AA749" s="41" t="n">
        <x:v>11830</x:v>
      </x:c>
      <x:c r="AB749" s="41" t="n">
        <x:v>5819</x:v>
      </x:c>
    </x:row>
    <x:row r="750">
      <x:c r="A750" s="41" t="str">
        <x:v>HYP_REFINE_AUTO002_TOPN_6_V1_DDGRID_LONG_R12_C22_E75_CR40_REDD_RECOVERED_DD8_SL22</x:v>
      </x:c>
      <x:c r="B750" s="41" t="str">
        <x:v>dd_guard_grid</x:v>
      </x:c>
      <x:c r="C750" s="41" t="str">
        <x:v>1999-01-04</x:v>
      </x:c>
      <x:c r="D750" s="41" t="str">
        <x:v>2026-05-22</x:v>
      </x:c>
      <x:c r="E750" s="41" t="n">
        <x:v>12.399467</x:v>
      </x:c>
      <x:c r="F750" s="41" t="n">
        <x:v>-33.556578</x:v>
      </x:c>
      <x:c r="G750" s="41" t="n">
        <x:v>2353.857988</x:v>
      </x:c>
      <x:c r="H750" s="41" t="n">
        <x:f>IFERROR(E750/ABS(F750),"")</x:f>
        <x:v>0.3695092807139035</x:v>
      </x:c>
      <x:c r="I750" s="41" t="n">
        <x:v>12.510782</x:v>
      </x:c>
      <x:c r="J750" s="41" t="n">
        <x:v>-29.461895</x:v>
      </x:c>
      <x:c r="K750" s="41" t="n">
        <x:v>2421.269538</x:v>
      </x:c>
      <x:c r="L750" s="41" t="n">
        <x:f>IFERROR(I750/ABS(J750),"")</x:f>
        <x:v>0.42464281404845144</x:v>
      </x:c>
      <x:c r="M750" s="41" t="n">
        <x:v>6.802475</x:v>
      </x:c>
      <x:c r="N750" s="41" t="n">
        <x:v>-56.473669</x:v>
      </x:c>
      <x:c r="O750" s="41" t="n">
        <x:v>506.057416</x:v>
      </x:c>
      <x:c r="P750" s="41" t="n">
        <x:f>IFERROR(M750/ABS(N750),"")</x:f>
        <x:v>0.12045392340278087</x:v>
      </x:c>
      <x:c r="Q750" s="41" t="str">
        <x:f>IF(L750&gt;=MAX(H750,P750),"Weekly",IF(H750&gt;=MAX(L750,P750),"No weekly","SPY"))</x:f>
        <x:v>Weekly</x:v>
      </x:c>
      <x:c r="R750" s="41" t="n">
        <x:f>IFERROR(L750-P750,"")</x:f>
        <x:v>0.30418889064567056</x:v>
      </x:c>
      <x:c r="S750" s="41" t="n">
        <x:f>IFERROR(H750-P750,"")</x:f>
        <x:v>0.2490553573111226</x:v>
      </x:c>
      <x:c r="T750" s="41" t="n">
        <x:f>IFERROR(I750-M750,"")</x:f>
        <x:v>5.7083070000000005</x:v>
      </x:c>
      <x:c r="U750" s="41" t="n">
        <x:f>IFERROR(E750-M750,"")</x:f>
        <x:v>5.596991999999999</x:v>
      </x:c>
      <x:c r="V750" s="41" t="str">
        <x:f>IF(AND(I750&gt;M750,J750&gt;N750),"Sí","No")</x:f>
        <x:v>Sí</x:v>
      </x:c>
      <x:c r="W750" s="41" t="str">
        <x:f>IF(AND(E750&gt;M750,F750&gt;N750),"Sí","No")</x:f>
        <x:v>Sí</x:v>
      </x:c>
      <x:c r="X750" s="41" t="str">
        <x:f>IF(L750&gt;=H750,"Weekly","No weekly")</x:f>
        <x:v>Weekly</x:v>
      </x:c>
      <x:c r="Y750" s="41" t="n">
        <x:f>IFERROR(I750-E750,"")</x:f>
        <x:v>0.11131500000000116</x:v>
      </x:c>
      <x:c r="Z750" s="41" t="n">
        <x:f>IFERROR(J750-F750,"")</x:f>
        <x:v>4.094683000000003</x:v>
      </x:c>
      <x:c r="AA750" s="41" t="n">
        <x:v>12067</x:v>
      </x:c>
      <x:c r="AB750" s="41" t="n">
        <x:v>5817</x:v>
      </x:c>
    </x:row>
    <x:row r="751">
      <x:c r="A751" s="41" t="str">
        <x:v>HYP_REFINE_AUTO002_TOPN_6_V1_DDGRID_LONG_R12_C22_E75_CR40_REDD_RECOVERED_DD8_SL24</x:v>
      </x:c>
      <x:c r="B751" s="41" t="str">
        <x:v>dd_guard_grid</x:v>
      </x:c>
      <x:c r="C751" s="41" t="str">
        <x:v>1999-01-04</x:v>
      </x:c>
      <x:c r="D751" s="41" t="str">
        <x:v>2026-05-22</x:v>
      </x:c>
      <x:c r="E751" s="41" t="n">
        <x:v>11.627932</x:v>
      </x:c>
      <x:c r="F751" s="41" t="n">
        <x:v>-34.053842</x:v>
      </x:c>
      <x:c r="G751" s="41" t="n">
        <x:v>1932.123597</x:v>
      </x:c>
      <x:c r="H751" s="41" t="n">
        <x:f>IFERROR(E751/ABS(F751),"")</x:f>
        <x:v>0.3414572722807605</x:v>
      </x:c>
      <x:c r="I751" s="41" t="n">
        <x:v>13.420342</x:v>
      </x:c>
      <x:c r="J751" s="41" t="n">
        <x:v>-29.457236</x:v>
      </x:c>
      <x:c r="K751" s="41" t="n">
        <x:v>3043.08929</x:v>
      </x:c>
      <x:c r="L751" s="41" t="n">
        <x:f>IFERROR(I751/ABS(J751),"")</x:f>
        <x:v>0.45558727913236663</x:v>
      </x:c>
      <x:c r="M751" s="41" t="n">
        <x:v>6.802475</x:v>
      </x:c>
      <x:c r="N751" s="41" t="n">
        <x:v>-56.473669</x:v>
      </x:c>
      <x:c r="O751" s="41" t="n">
        <x:v>506.057416</x:v>
      </x:c>
      <x:c r="P751" s="41" t="n">
        <x:f>IFERROR(M751/ABS(N751),"")</x:f>
        <x:v>0.12045392340278087</x:v>
      </x:c>
      <x:c r="Q751" s="41" t="str">
        <x:f>IF(L751&gt;=MAX(H751,P751),"Weekly",IF(H751&gt;=MAX(L751,P751),"No weekly","SPY"))</x:f>
        <x:v>Weekly</x:v>
      </x:c>
      <x:c r="R751" s="41" t="n">
        <x:f>IFERROR(L751-P751,"")</x:f>
        <x:v>0.33513335572958575</x:v>
      </x:c>
      <x:c r="S751" s="41" t="n">
        <x:f>IFERROR(H751-P751,"")</x:f>
        <x:v>0.22100334887797962</x:v>
      </x:c>
      <x:c r="T751" s="41" t="n">
        <x:f>IFERROR(I751-M751,"")</x:f>
        <x:v>6.6178669999999995</x:v>
      </x:c>
      <x:c r="U751" s="41" t="n">
        <x:f>IFERROR(E751-M751,"")</x:f>
        <x:v>4.825456999999999</x:v>
      </x:c>
      <x:c r="V751" s="41" t="str">
        <x:f>IF(AND(I751&gt;M751,J751&gt;N751),"Sí","No")</x:f>
        <x:v>Sí</x:v>
      </x:c>
      <x:c r="W751" s="41" t="str">
        <x:f>IF(AND(E751&gt;M751,F751&gt;N751),"Sí","No")</x:f>
        <x:v>Sí</x:v>
      </x:c>
      <x:c r="X751" s="41" t="str">
        <x:f>IF(L751&gt;=H751,"Weekly","No weekly")</x:f>
        <x:v>Weekly</x:v>
      </x:c>
      <x:c r="Y751" s="41" t="n">
        <x:f>IFERROR(I751-E751,"")</x:f>
        <x:v>1.7924100000000003</x:v>
      </x:c>
      <x:c r="Z751" s="41" t="n">
        <x:f>IFERROR(J751-F751,"")</x:f>
        <x:v>4.596606000000001</x:v>
      </x:c>
      <x:c r="AA751" s="41" t="n">
        <x:v>12077</x:v>
      </x:c>
      <x:c r="AB751" s="41" t="n">
        <x:v>5869</x:v>
      </x:c>
    </x:row>
    <x:row r="752">
      <x:c r="A752" s="41" t="str">
        <x:v>HYP_REFINE_AUTO002_TOPN_6_V1_DDGRID_LONG_R12_C22_E75_CR40_REDD_RECOVERED_DD8_SLNONE</x:v>
      </x:c>
      <x:c r="B752" s="41" t="str">
        <x:v>dd_guard_grid</x:v>
      </x:c>
      <x:c r="C752" s="41" t="str">
        <x:v>1999-01-04</x:v>
      </x:c>
      <x:c r="D752" s="41" t="str">
        <x:v>2026-05-22</x:v>
      </x:c>
      <x:c r="E752" s="41" t="n">
        <x:v>12.520085</x:v>
      </x:c>
      <x:c r="F752" s="41" t="n">
        <x:v>-33.40545</x:v>
      </x:c>
      <x:c r="G752" s="41" t="n">
        <x:v>2426.983267</x:v>
      </x:c>
      <x:c r="H752" s="41" t="n">
        <x:f>IFERROR(E752/ABS(F752),"")</x:f>
        <x:v>0.3747916881826169</x:v>
      </x:c>
      <x:c r="I752" s="41" t="n">
        <x:v>13.470984</x:v>
      </x:c>
      <x:c r="J752" s="41" t="n">
        <x:v>-29.696181</x:v>
      </x:c>
      <x:c r="K752" s="41" t="n">
        <x:v>3081.738435</x:v>
      </x:c>
      <x:c r="L752" s="41" t="n">
        <x:f>IFERROR(I752/ABS(J752),"")</x:f>
        <x:v>0.4536268148419489</x:v>
      </x:c>
      <x:c r="M752" s="41" t="n">
        <x:v>6.802475</x:v>
      </x:c>
      <x:c r="N752" s="41" t="n">
        <x:v>-56.473669</x:v>
      </x:c>
      <x:c r="O752" s="41" t="n">
        <x:v>506.057416</x:v>
      </x:c>
      <x:c r="P752" s="41" t="n">
        <x:f>IFERROR(M752/ABS(N752),"")</x:f>
        <x:v>0.12045392340278087</x:v>
      </x:c>
      <x:c r="Q752" s="41" t="str">
        <x:f>IF(L752&gt;=MAX(H752,P752),"Weekly",IF(H752&gt;=MAX(L752,P752),"No weekly","SPY"))</x:f>
        <x:v>Weekly</x:v>
      </x:c>
      <x:c r="R752" s="41" t="n">
        <x:f>IFERROR(L752-P752,"")</x:f>
        <x:v>0.333172891439168</x:v>
      </x:c>
      <x:c r="S752" s="41" t="n">
        <x:f>IFERROR(H752-P752,"")</x:f>
        <x:v>0.254337764779836</x:v>
      </x:c>
      <x:c r="T752" s="41" t="n">
        <x:f>IFERROR(I752-M752,"")</x:f>
        <x:v>6.668508999999999</x:v>
      </x:c>
      <x:c r="U752" s="41" t="n">
        <x:f>IFERROR(E752-M752,"")</x:f>
        <x:v>5.71761</x:v>
      </x:c>
      <x:c r="V752" s="41" t="str">
        <x:f>IF(AND(I752&gt;M752,J752&gt;N752),"Sí","No")</x:f>
        <x:v>Sí</x:v>
      </x:c>
      <x:c r="W752" s="41" t="str">
        <x:f>IF(AND(E752&gt;M752,F752&gt;N752),"Sí","No")</x:f>
        <x:v>Sí</x:v>
      </x:c>
      <x:c r="X752" s="41" t="str">
        <x:f>IF(L752&gt;=H752,"Weekly","No weekly")</x:f>
        <x:v>Weekly</x:v>
      </x:c>
      <x:c r="Y752" s="41" t="n">
        <x:f>IFERROR(I752-E752,"")</x:f>
        <x:v>0.9508989999999997</x:v>
      </x:c>
      <x:c r="Z752" s="41" t="n">
        <x:f>IFERROR(J752-F752,"")</x:f>
        <x:v>3.7092690000000026</x:v>
      </x:c>
      <x:c r="AA752" s="41" t="n">
        <x:v>12161</x:v>
      </x:c>
      <x:c r="AB752" s="41" t="n">
        <x:v>6221</x:v>
      </x:c>
    </x:row>
    <x:row r="753">
      <x:c r="A753" s="41" t="str">
        <x:v>HYP_REFINE_AUTO002_TOPN_6_V1_DDGRID_LONG_R12_C22_E75_CR40_REDD_RECOVERED_DD9_SL18</x:v>
      </x:c>
      <x:c r="B753" s="41" t="str">
        <x:v>dd_guard_grid</x:v>
      </x:c>
      <x:c r="C753" s="41" t="str">
        <x:v>1999-01-04</x:v>
      </x:c>
      <x:c r="D753" s="41" t="str">
        <x:v>2026-05-22</x:v>
      </x:c>
      <x:c r="E753" s="41" t="n">
        <x:v>12.118869</x:v>
      </x:c>
      <x:c r="F753" s="41" t="n">
        <x:v>-31.731593</x:v>
      </x:c>
      <x:c r="G753" s="41" t="n">
        <x:v>2191.547613</x:v>
      </x:c>
      <x:c r="H753" s="41" t="n">
        <x:f>IFERROR(E753/ABS(F753),"")</x:f>
        <x:v>0.3819180776710454</x:v>
      </x:c>
      <x:c r="I753" s="41" t="n">
        <x:v>11.889516</x:v>
      </x:c>
      <x:c r="J753" s="41" t="n">
        <x:v>-29.670864</x:v>
      </x:c>
      <x:c r="K753" s="41" t="n">
        <x:v>2066.610478</x:v>
      </x:c>
      <x:c r="L753" s="41" t="n">
        <x:f>IFERROR(I753/ABS(J753),"")</x:f>
        <x:v>0.40071350803940187</x:v>
      </x:c>
      <x:c r="M753" s="41" t="n">
        <x:v>6.802475</x:v>
      </x:c>
      <x:c r="N753" s="41" t="n">
        <x:v>-56.473669</x:v>
      </x:c>
      <x:c r="O753" s="41" t="n">
        <x:v>506.057416</x:v>
      </x:c>
      <x:c r="P753" s="41" t="n">
        <x:f>IFERROR(M753/ABS(N753),"")</x:f>
        <x:v>0.12045392340278087</x:v>
      </x:c>
      <x:c r="Q753" s="41" t="str">
        <x:f>IF(L753&gt;=MAX(H753,P753),"Weekly",IF(H753&gt;=MAX(L753,P753),"No weekly","SPY"))</x:f>
        <x:v>Weekly</x:v>
      </x:c>
      <x:c r="R753" s="41" t="n">
        <x:f>IFERROR(L753-P753,"")</x:f>
        <x:v>0.280259584636621</x:v>
      </x:c>
      <x:c r="S753" s="41" t="n">
        <x:f>IFERROR(H753-P753,"")</x:f>
        <x:v>0.2614641542682645</x:v>
      </x:c>
      <x:c r="T753" s="41" t="n">
        <x:f>IFERROR(I753-M753,"")</x:f>
        <x:v>5.087041</x:v>
      </x:c>
      <x:c r="U753" s="41" t="n">
        <x:f>IFERROR(E753-M753,"")</x:f>
        <x:v>5.316394</x:v>
      </x:c>
      <x:c r="V753" s="41" t="str">
        <x:f>IF(AND(I753&gt;M753,J753&gt;N753),"Sí","No")</x:f>
        <x:v>Sí</x:v>
      </x:c>
      <x:c r="W753" s="41" t="str">
        <x:f>IF(AND(E753&gt;M753,F753&gt;N753),"Sí","No")</x:f>
        <x:v>Sí</x:v>
      </x:c>
      <x:c r="X753" s="41" t="str">
        <x:f>IF(L753&gt;=H753,"Weekly","No weekly")</x:f>
        <x:v>Weekly</x:v>
      </x:c>
      <x:c r="Y753" s="41" t="n">
        <x:f>IFERROR(I753-E753,"")</x:f>
        <x:v>-0.2293529999999997</x:v>
      </x:c>
      <x:c r="Z753" s="41" t="n">
        <x:f>IFERROR(J753-F753,"")</x:f>
        <x:v>2.0607289999999985</x:v>
      </x:c>
      <x:c r="AA753" s="41" t="n">
        <x:v>11893</x:v>
      </x:c>
      <x:c r="AB753" s="41" t="n">
        <x:v>5508</x:v>
      </x:c>
    </x:row>
    <x:row r="754">
      <x:c r="A754" s="41" t="str">
        <x:v>HYP_REFINE_AUTO002_TOPN_6_V1_DDGRID_LONG_R12_C22_E75_CR40_REDD_RECOVERED_DD9_SL20</x:v>
      </x:c>
      <x:c r="B754" s="41" t="str">
        <x:v>dd_guard_grid</x:v>
      </x:c>
      <x:c r="C754" s="41" t="str">
        <x:v>1999-01-04</x:v>
      </x:c>
      <x:c r="D754" s="41" t="str">
        <x:v>2026-05-22</x:v>
      </x:c>
      <x:c r="E754" s="41" t="n">
        <x:v>13.092484</x:v>
      </x:c>
      <x:c r="F754" s="41" t="n">
        <x:v>-32.641176</x:v>
      </x:c>
      <x:c r="G754" s="41" t="n">
        <x:v>2803.595636</x:v>
      </x:c>
      <x:c r="H754" s="41" t="n">
        <x:f>IFERROR(E754/ABS(F754),"")</x:f>
        <x:v>0.40110331809123545</x:v>
      </x:c>
      <x:c r="I754" s="41" t="n">
        <x:v>12.555243</x:v>
      </x:c>
      <x:c r="J754" s="41" t="n">
        <x:v>-29.435035</x:v>
      </x:c>
      <x:c r="K754" s="41" t="n">
        <x:v>2448.689888</x:v>
      </x:c>
      <x:c r="L754" s="41" t="n">
        <x:f>IFERROR(I754/ABS(J754),"")</x:f>
        <x:v>0.42654078719457955</x:v>
      </x:c>
      <x:c r="M754" s="41" t="n">
        <x:v>6.802475</x:v>
      </x:c>
      <x:c r="N754" s="41" t="n">
        <x:v>-56.473669</x:v>
      </x:c>
      <x:c r="O754" s="41" t="n">
        <x:v>506.057416</x:v>
      </x:c>
      <x:c r="P754" s="41" t="n">
        <x:f>IFERROR(M754/ABS(N754),"")</x:f>
        <x:v>0.12045392340278087</x:v>
      </x:c>
      <x:c r="Q754" s="41" t="str">
        <x:f>IF(L754&gt;=MAX(H754,P754),"Weekly",IF(H754&gt;=MAX(L754,P754),"No weekly","SPY"))</x:f>
        <x:v>Weekly</x:v>
      </x:c>
      <x:c r="R754" s="41" t="n">
        <x:f>IFERROR(L754-P754,"")</x:f>
        <x:v>0.30608686379179867</x:v>
      </x:c>
      <x:c r="S754" s="41" t="n">
        <x:f>IFERROR(H754-P754,"")</x:f>
        <x:v>0.28064939468845457</x:v>
      </x:c>
      <x:c r="T754" s="41" t="n">
        <x:f>IFERROR(I754-M754,"")</x:f>
        <x:v>5.7527680000000005</x:v>
      </x:c>
      <x:c r="U754" s="41" t="n">
        <x:f>IFERROR(E754-M754,"")</x:f>
        <x:v>6.290009</x:v>
      </x:c>
      <x:c r="V754" s="41" t="str">
        <x:f>IF(AND(I754&gt;M754,J754&gt;N754),"Sí","No")</x:f>
        <x:v>Sí</x:v>
      </x:c>
      <x:c r="W754" s="41" t="str">
        <x:f>IF(AND(E754&gt;M754,F754&gt;N754),"Sí","No")</x:f>
        <x:v>Sí</x:v>
      </x:c>
      <x:c r="X754" s="41" t="str">
        <x:f>IF(L754&gt;=H754,"Weekly","No weekly")</x:f>
        <x:v>Weekly</x:v>
      </x:c>
      <x:c r="Y754" s="41" t="n">
        <x:f>IFERROR(I754-E754,"")</x:f>
        <x:v>-0.5372409999999999</x:v>
      </x:c>
      <x:c r="Z754" s="41" t="n">
        <x:f>IFERROR(J754-F754,"")</x:f>
        <x:v>3.2061410000000024</x:v>
      </x:c>
      <x:c r="AA754" s="41" t="n">
        <x:v>11797</x:v>
      </x:c>
      <x:c r="AB754" s="41" t="n">
        <x:v>5818</x:v>
      </x:c>
    </x:row>
    <x:row r="755">
      <x:c r="A755" s="41" t="str">
        <x:v>HYP_REFINE_AUTO002_TOPN_6_V1_DDGRID_LONG_R12_C22_E75_CR40_REDD_RECOVERED_DD9_SL22</x:v>
      </x:c>
      <x:c r="B755" s="41" t="str">
        <x:v>dd_guard_grid</x:v>
      </x:c>
      <x:c r="C755" s="41" t="str">
        <x:v>1999-01-04</x:v>
      </x:c>
      <x:c r="D755" s="41" t="str">
        <x:v>2026-05-22</x:v>
      </x:c>
      <x:c r="E755" s="41" t="n">
        <x:v>11.573733</x:v>
      </x:c>
      <x:c r="F755" s="41" t="n">
        <x:v>-33.556578</x:v>
      </x:c>
      <x:c r="G755" s="41" t="n">
        <x:v>1905.282807</x:v>
      </x:c>
      <x:c r="H755" s="41" t="n">
        <x:f>IFERROR(E755/ABS(F755),"")</x:f>
        <x:v>0.34490206361328024</x:v>
      </x:c>
      <x:c r="I755" s="41" t="n">
        <x:v>12.288288</x:v>
      </x:c>
      <x:c r="J755" s="41" t="n">
        <x:v>-29.461895</x:v>
      </x:c>
      <x:c r="K755" s="41" t="n">
        <x:v>2288.264726</x:v>
      </x:c>
      <x:c r="L755" s="41" t="n">
        <x:f>IFERROR(I755/ABS(J755),"")</x:f>
        <x:v>0.41709088977474124</x:v>
      </x:c>
      <x:c r="M755" s="41" t="n">
        <x:v>6.802475</x:v>
      </x:c>
      <x:c r="N755" s="41" t="n">
        <x:v>-56.473669</x:v>
      </x:c>
      <x:c r="O755" s="41" t="n">
        <x:v>506.057416</x:v>
      </x:c>
      <x:c r="P755" s="41" t="n">
        <x:f>IFERROR(M755/ABS(N755),"")</x:f>
        <x:v>0.12045392340278087</x:v>
      </x:c>
      <x:c r="Q755" s="41" t="str">
        <x:f>IF(L755&gt;=MAX(H755,P755),"Weekly",IF(H755&gt;=MAX(L755,P755),"No weekly","SPY"))</x:f>
        <x:v>Weekly</x:v>
      </x:c>
      <x:c r="R755" s="41" t="n">
        <x:f>IFERROR(L755-P755,"")</x:f>
        <x:v>0.29663696637196035</x:v>
      </x:c>
      <x:c r="S755" s="41" t="n">
        <x:f>IFERROR(H755-P755,"")</x:f>
        <x:v>0.22444814021049936</x:v>
      </x:c>
      <x:c r="T755" s="41" t="n">
        <x:f>IFERROR(I755-M755,"")</x:f>
        <x:v>5.485812999999999</x:v>
      </x:c>
      <x:c r="U755" s="41" t="n">
        <x:f>IFERROR(E755-M755,"")</x:f>
        <x:v>4.771258</x:v>
      </x:c>
      <x:c r="V755" s="41" t="str">
        <x:f>IF(AND(I755&gt;M755,J755&gt;N755),"Sí","No")</x:f>
        <x:v>Sí</x:v>
      </x:c>
      <x:c r="W755" s="41" t="str">
        <x:f>IF(AND(E755&gt;M755,F755&gt;N755),"Sí","No")</x:f>
        <x:v>Sí</x:v>
      </x:c>
      <x:c r="X755" s="41" t="str">
        <x:f>IF(L755&gt;=H755,"Weekly","No weekly")</x:f>
        <x:v>Weekly</x:v>
      </x:c>
      <x:c r="Y755" s="41" t="n">
        <x:f>IFERROR(I755-E755,"")</x:f>
        <x:v>0.7145549999999989</x:v>
      </x:c>
      <x:c r="Z755" s="41" t="n">
        <x:f>IFERROR(J755-F755,"")</x:f>
        <x:v>4.094683000000003</x:v>
      </x:c>
      <x:c r="AA755" s="41" t="n">
        <x:v>12091</x:v>
      </x:c>
      <x:c r="AB755" s="41" t="n">
        <x:v>5821</x:v>
      </x:c>
    </x:row>
    <x:row r="756">
      <x:c r="A756" s="41" t="str">
        <x:v>HYP_REFINE_AUTO002_TOPN_6_V1_DDGRID_LONG_R12_C22_E75_CR40_REDD_RECOVERED_DD9_SL24</x:v>
      </x:c>
      <x:c r="B756" s="41" t="str">
        <x:v>dd_guard_grid</x:v>
      </x:c>
      <x:c r="C756" s="41" t="str">
        <x:v>1999-01-04</x:v>
      </x:c>
      <x:c r="D756" s="41" t="str">
        <x:v>2026-05-22</x:v>
      </x:c>
      <x:c r="E756" s="41" t="n">
        <x:v>10.70829</x:v>
      </x:c>
      <x:c r="F756" s="41" t="n">
        <x:v>-34.053842</x:v>
      </x:c>
      <x:c r="G756" s="41" t="n">
        <x:v>1520.26644</x:v>
      </x:c>
      <x:c r="H756" s="41" t="n">
        <x:f>IFERROR(E756/ABS(F756),"")</x:f>
        <x:v>0.31445174380030305</x:v>
      </x:c>
      <x:c r="I756" s="41" t="n">
        <x:v>13.203092</x:v>
      </x:c>
      <x:c r="J756" s="41" t="n">
        <x:v>-29.457236</x:v>
      </x:c>
      <x:c r="K756" s="41" t="n">
        <x:v>2882.356587</x:v>
      </x:c>
      <x:c r="L756" s="41" t="n">
        <x:f>IFERROR(I756/ABS(J756),"")</x:f>
        <x:v>0.4482121812107558</x:v>
      </x:c>
      <x:c r="M756" s="41" t="n">
        <x:v>6.802475</x:v>
      </x:c>
      <x:c r="N756" s="41" t="n">
        <x:v>-56.473669</x:v>
      </x:c>
      <x:c r="O756" s="41" t="n">
        <x:v>506.057416</x:v>
      </x:c>
      <x:c r="P756" s="41" t="n">
        <x:f>IFERROR(M756/ABS(N756),"")</x:f>
        <x:v>0.12045392340278087</x:v>
      </x:c>
      <x:c r="Q756" s="41" t="str">
        <x:f>IF(L756&gt;=MAX(H756,P756),"Weekly",IF(H756&gt;=MAX(L756,P756),"No weekly","SPY"))</x:f>
        <x:v>Weekly</x:v>
      </x:c>
      <x:c r="R756" s="41" t="n">
        <x:f>IFERROR(L756-P756,"")</x:f>
        <x:v>0.3277582578079749</x:v>
      </x:c>
      <x:c r="S756" s="41" t="n">
        <x:f>IFERROR(H756-P756,"")</x:f>
        <x:v>0.19399782039752217</x:v>
      </x:c>
      <x:c r="T756" s="41" t="n">
        <x:f>IFERROR(I756-M756,"")</x:f>
        <x:v>6.400617</x:v>
      </x:c>
      <x:c r="U756" s="41" t="n">
        <x:f>IFERROR(E756-M756,"")</x:f>
        <x:v>3.9058149999999996</x:v>
      </x:c>
      <x:c r="V756" s="41" t="str">
        <x:f>IF(AND(I756&gt;M756,J756&gt;N756),"Sí","No")</x:f>
        <x:v>Sí</x:v>
      </x:c>
      <x:c r="W756" s="41" t="str">
        <x:f>IF(AND(E756&gt;M756,F756&gt;N756),"Sí","No")</x:f>
        <x:v>Sí</x:v>
      </x:c>
      <x:c r="X756" s="41" t="str">
        <x:f>IF(L756&gt;=H756,"Weekly","No weekly")</x:f>
        <x:v>Weekly</x:v>
      </x:c>
      <x:c r="Y756" s="41" t="n">
        <x:f>IFERROR(I756-E756,"")</x:f>
        <x:v>2.494802</x:v>
      </x:c>
      <x:c r="Z756" s="41" t="n">
        <x:f>IFERROR(J756-F756,"")</x:f>
        <x:v>4.596606000000001</x:v>
      </x:c>
      <x:c r="AA756" s="41" t="n">
        <x:v>12032</x:v>
      </x:c>
      <x:c r="AB756" s="41" t="n">
        <x:v>5930</x:v>
      </x:c>
    </x:row>
    <x:row r="757">
      <x:c r="A757" s="41" t="str">
        <x:v>HYP_REFINE_AUTO002_TOPN_6_V1_DDGRID_LONG_R12_C22_E75_CR40_REDD_RECOVERED_DD9_SLNONE</x:v>
      </x:c>
      <x:c r="B757" s="41" t="str">
        <x:v>dd_guard_grid</x:v>
      </x:c>
      <x:c r="C757" s="41" t="str">
        <x:v>1999-01-04</x:v>
      </x:c>
      <x:c r="D757" s="41" t="str">
        <x:v>2026-05-22</x:v>
      </x:c>
      <x:c r="E757" s="41" t="n">
        <x:v>12.173413</x:v>
      </x:c>
      <x:c r="F757" s="41" t="n">
        <x:v>-33.40545</x:v>
      </x:c>
      <x:c r="G757" s="41" t="n">
        <x:v>2222.26596</x:v>
      </x:c>
      <x:c r="H757" s="41" t="n">
        <x:f>IFERROR(E757/ABS(F757),"")</x:f>
        <x:v>0.3644139803535052</x:v>
      </x:c>
      <x:c r="I757" s="41" t="n">
        <x:v>13.300104</x:v>
      </x:c>
      <x:c r="J757" s="41" t="n">
        <x:v>-29.696181</x:v>
      </x:c>
      <x:c r="K757" s="41" t="n">
        <x:v>2953.127241</x:v>
      </x:c>
      <x:c r="L757" s="41" t="n">
        <x:f>IFERROR(I757/ABS(J757),"")</x:f>
        <x:v>0.4478725395699871</x:v>
      </x:c>
      <x:c r="M757" s="41" t="n">
        <x:v>6.802475</x:v>
      </x:c>
      <x:c r="N757" s="41" t="n">
        <x:v>-56.473669</x:v>
      </x:c>
      <x:c r="O757" s="41" t="n">
        <x:v>506.057416</x:v>
      </x:c>
      <x:c r="P757" s="41" t="n">
        <x:f>IFERROR(M757/ABS(N757),"")</x:f>
        <x:v>0.12045392340278087</x:v>
      </x:c>
      <x:c r="Q757" s="41" t="str">
        <x:f>IF(L757&gt;=MAX(H757,P757),"Weekly",IF(H757&gt;=MAX(L757,P757),"No weekly","SPY"))</x:f>
        <x:v>Weekly</x:v>
      </x:c>
      <x:c r="R757" s="41" t="n">
        <x:f>IFERROR(L757-P757,"")</x:f>
        <x:v>0.32741861616720624</x:v>
      </x:c>
      <x:c r="S757" s="41" t="n">
        <x:f>IFERROR(H757-P757,"")</x:f>
        <x:v>0.2439600569507243</x:v>
      </x:c>
      <x:c r="T757" s="41" t="n">
        <x:f>IFERROR(I757-M757,"")</x:f>
        <x:v>6.497628999999999</x:v>
      </x:c>
      <x:c r="U757" s="41" t="n">
        <x:f>IFERROR(E757-M757,"")</x:f>
        <x:v>5.370938</x:v>
      </x:c>
      <x:c r="V757" s="41" t="str">
        <x:f>IF(AND(I757&gt;M757,J757&gt;N757),"Sí","No")</x:f>
        <x:v>Sí</x:v>
      </x:c>
      <x:c r="W757" s="41" t="str">
        <x:f>IF(AND(E757&gt;M757,F757&gt;N757),"Sí","No")</x:f>
        <x:v>Sí</x:v>
      </x:c>
      <x:c r="X757" s="41" t="str">
        <x:f>IF(L757&gt;=H757,"Weekly","No weekly")</x:f>
        <x:v>Weekly</x:v>
      </x:c>
      <x:c r="Y757" s="41" t="n">
        <x:f>IFERROR(I757-E757,"")</x:f>
        <x:v>1.1266909999999992</x:v>
      </x:c>
      <x:c r="Z757" s="41" t="n">
        <x:f>IFERROR(J757-F757,"")</x:f>
        <x:v>3.7092690000000026</x:v>
      </x:c>
      <x:c r="AA757" s="41" t="n">
        <x:v>12194</x:v>
      </x:c>
      <x:c r="AB757" s="41" t="n">
        <x:v>6152</x:v>
      </x:c>
    </x:row>
    <x:row r="758">
      <x:c r="A758" s="41" t="str">
        <x:v>HYP_REFINE_AUTO002_TOPN_6_V1_DDGRID_LONG_R12_C22_E75_CR42_REDD_RECOVERED_DD10_SL18</x:v>
      </x:c>
      <x:c r="B758" s="41" t="str">
        <x:v>dd_guard_grid</x:v>
      </x:c>
      <x:c r="C758" s="41" t="str">
        <x:v>1999-01-04</x:v>
      </x:c>
      <x:c r="D758" s="41" t="str">
        <x:v>2026-05-22</x:v>
      </x:c>
      <x:c r="E758" s="41" t="n">
        <x:v>12.625519</x:v>
      </x:c>
      <x:c r="F758" s="41" t="n">
        <x:v>-32.297788</x:v>
      </x:c>
      <x:c r="G758" s="41" t="n">
        <x:v>2492.61883</x:v>
      </x:c>
      <x:c r="H758" s="41" t="n">
        <x:f>IFERROR(E758/ABS(F758),"")</x:f>
        <x:v>0.39090971183537404</x:v>
      </x:c>
      <x:c r="I758" s="41" t="n">
        <x:v>12.533031</x:v>
      </x:c>
      <x:c r="J758" s="41" t="n">
        <x:v>-29.861432</x:v>
      </x:c>
      <x:c r="K758" s="41" t="n">
        <x:v>2434.955408</x:v>
      </x:c>
      <x:c r="L758" s="41" t="n">
        <x:f>IFERROR(I758/ABS(J758),"")</x:f>
        <x:v>0.41970629539802373</x:v>
      </x:c>
      <x:c r="M758" s="41" t="n">
        <x:v>6.802475</x:v>
      </x:c>
      <x:c r="N758" s="41" t="n">
        <x:v>-56.473669</x:v>
      </x:c>
      <x:c r="O758" s="41" t="n">
        <x:v>506.057416</x:v>
      </x:c>
      <x:c r="P758" s="41" t="n">
        <x:f>IFERROR(M758/ABS(N758),"")</x:f>
        <x:v>0.12045392340278087</x:v>
      </x:c>
      <x:c r="Q758" s="41" t="str">
        <x:f>IF(L758&gt;=MAX(H758,P758),"Weekly",IF(H758&gt;=MAX(L758,P758),"No weekly","SPY"))</x:f>
        <x:v>Weekly</x:v>
      </x:c>
      <x:c r="R758" s="41" t="n">
        <x:f>IFERROR(L758-P758,"")</x:f>
        <x:v>0.29925237199524285</x:v>
      </x:c>
      <x:c r="S758" s="41" t="n">
        <x:f>IFERROR(H758-P758,"")</x:f>
        <x:v>0.27045578843259316</x:v>
      </x:c>
      <x:c r="T758" s="41" t="n">
        <x:f>IFERROR(I758-M758,"")</x:f>
        <x:v>5.730555999999999</x:v>
      </x:c>
      <x:c r="U758" s="41" t="n">
        <x:f>IFERROR(E758-M758,"")</x:f>
        <x:v>5.823044</x:v>
      </x:c>
      <x:c r="V758" s="41" t="str">
        <x:f>IF(AND(I758&gt;M758,J758&gt;N758),"Sí","No")</x:f>
        <x:v>Sí</x:v>
      </x:c>
      <x:c r="W758" s="41" t="str">
        <x:f>IF(AND(E758&gt;M758,F758&gt;N758),"Sí","No")</x:f>
        <x:v>Sí</x:v>
      </x:c>
      <x:c r="X758" s="41" t="str">
        <x:f>IF(L758&gt;=H758,"Weekly","No weekly")</x:f>
        <x:v>Weekly</x:v>
      </x:c>
      <x:c r="Y758" s="41" t="n">
        <x:f>IFERROR(I758-E758,"")</x:f>
        <x:v>-0.09248800000000124</x:v>
      </x:c>
      <x:c r="Z758" s="41" t="n">
        <x:f>IFERROR(J758-F758,"")</x:f>
        <x:v>2.4363559999999964</x:v>
      </x:c>
      <x:c r="AA758" s="41" t="n">
        <x:v>11078</x:v>
      </x:c>
      <x:c r="AB758" s="41" t="n">
        <x:v>5337</x:v>
      </x:c>
    </x:row>
    <x:row r="759">
      <x:c r="A759" s="41" t="str">
        <x:v>HYP_REFINE_AUTO002_TOPN_6_V1_DDGRID_LONG_R12_C22_E75_CR42_REDD_RECOVERED_DD10_SL20</x:v>
      </x:c>
      <x:c r="B759" s="41" t="str">
        <x:v>dd_guard_grid</x:v>
      </x:c>
      <x:c r="C759" s="41" t="str">
        <x:v>1999-01-04</x:v>
      </x:c>
      <x:c r="D759" s="41" t="str">
        <x:v>2026-05-22</x:v>
      </x:c>
      <x:c r="E759" s="41" t="n">
        <x:v>13.369508</x:v>
      </x:c>
      <x:c r="F759" s="41" t="n">
        <x:v>-33.28926</x:v>
      </x:c>
      <x:c r="G759" s="41" t="n">
        <x:v>3004.747624</x:v>
      </x:c>
      <x:c r="H759" s="41" t="n">
        <x:f>IFERROR(E759/ABS(F759),"")</x:f>
        <x:v>0.4016162570150253</x:v>
      </x:c>
      <x:c r="I759" s="41" t="n">
        <x:v>13.950571</x:v>
      </x:c>
      <x:c r="J759" s="41" t="n">
        <x:v>-29.597722</x:v>
      </x:c>
      <x:c r="K759" s="41" t="n">
        <x:v>3471.193069</x:v>
      </x:c>
      <x:c r="L759" s="41" t="n">
        <x:f>IFERROR(I759/ABS(J759),"")</x:f>
        <x:v>0.471339348345795</x:v>
      </x:c>
      <x:c r="M759" s="41" t="n">
        <x:v>6.802475</x:v>
      </x:c>
      <x:c r="N759" s="41" t="n">
        <x:v>-56.473669</x:v>
      </x:c>
      <x:c r="O759" s="41" t="n">
        <x:v>506.057416</x:v>
      </x:c>
      <x:c r="P759" s="41" t="n">
        <x:f>IFERROR(M759/ABS(N759),"")</x:f>
        <x:v>0.12045392340278087</x:v>
      </x:c>
      <x:c r="Q759" s="41" t="str">
        <x:f>IF(L759&gt;=MAX(H759,P759),"Weekly",IF(H759&gt;=MAX(L759,P759),"No weekly","SPY"))</x:f>
        <x:v>Weekly</x:v>
      </x:c>
      <x:c r="R759" s="41" t="n">
        <x:f>IFERROR(L759-P759,"")</x:f>
        <x:v>0.3508854249430141</x:v>
      </x:c>
      <x:c r="S759" s="41" t="n">
        <x:f>IFERROR(H759-P759,"")</x:f>
        <x:v>0.2811623336122444</x:v>
      </x:c>
      <x:c r="T759" s="41" t="n">
        <x:f>IFERROR(I759-M759,"")</x:f>
        <x:v>7.148096</x:v>
      </x:c>
      <x:c r="U759" s="41" t="n">
        <x:f>IFERROR(E759-M759,"")</x:f>
        <x:v>6.5670329999999995</x:v>
      </x:c>
      <x:c r="V759" s="41" t="str">
        <x:f>IF(AND(I759&gt;M759,J759&gt;N759),"Sí","No")</x:f>
        <x:v>Sí</x:v>
      </x:c>
      <x:c r="W759" s="41" t="str">
        <x:f>IF(AND(E759&gt;M759,F759&gt;N759),"Sí","No")</x:f>
        <x:v>Sí</x:v>
      </x:c>
      <x:c r="X759" s="41" t="str">
        <x:f>IF(L759&gt;=H759,"Weekly","No weekly")</x:f>
        <x:v>Weekly</x:v>
      </x:c>
      <x:c r="Y759" s="41" t="n">
        <x:f>IFERROR(I759-E759,"")</x:f>
        <x:v>0.5810630000000003</x:v>
      </x:c>
      <x:c r="Z759" s="41" t="n">
        <x:f>IFERROR(J759-F759,"")</x:f>
        <x:v>3.6915379999999978</x:v>
      </x:c>
      <x:c r="AA759" s="41" t="n">
        <x:v>11177</x:v>
      </x:c>
      <x:c r="AB759" s="41" t="n">
        <x:v>5366</x:v>
      </x:c>
    </x:row>
    <x:row r="760">
      <x:c r="A760" s="41" t="str">
        <x:v>HYP_REFINE_AUTO002_TOPN_6_V1_DDGRID_LONG_R12_C22_E75_CR42_REDD_RECOVERED_DD6_SL18</x:v>
      </x:c>
      <x:c r="B760" s="41" t="str">
        <x:v>dd_guard_grid</x:v>
      </x:c>
      <x:c r="C760" s="41" t="str">
        <x:v>1999-01-04</x:v>
      </x:c>
      <x:c r="D760" s="41" t="str">
        <x:v>2026-05-22</x:v>
      </x:c>
      <x:c r="E760" s="41" t="n">
        <x:v>11.851082</x:v>
      </x:c>
      <x:c r="F760" s="41" t="n">
        <x:v>-32.297788</x:v>
      </x:c>
      <x:c r="G760" s="41" t="n">
        <x:v>2046.326611</x:v>
      </x:c>
      <x:c r="H760" s="41" t="n">
        <x:f>IFERROR(E760/ABS(F760),"")</x:f>
        <x:v>0.3669316920403342</x:v>
      </x:c>
      <x:c r="I760" s="41" t="n">
        <x:v>11.800498</x:v>
      </x:c>
      <x:c r="J760" s="41" t="n">
        <x:v>-29.861432</x:v>
      </x:c>
      <x:c r="K760" s="41" t="n">
        <x:v>2019.909047</x:v>
      </x:c>
      <x:c r="L760" s="41" t="n">
        <x:f>IFERROR(I760/ABS(J760),"")</x:f>
        <x:v>0.395175221335668</x:v>
      </x:c>
      <x:c r="M760" s="41" t="n">
        <x:v>6.802475</x:v>
      </x:c>
      <x:c r="N760" s="41" t="n">
        <x:v>-56.473669</x:v>
      </x:c>
      <x:c r="O760" s="41" t="n">
        <x:v>506.057416</x:v>
      </x:c>
      <x:c r="P760" s="41" t="n">
        <x:f>IFERROR(M760/ABS(N760),"")</x:f>
        <x:v>0.12045392340278087</x:v>
      </x:c>
      <x:c r="Q760" s="41" t="str">
        <x:f>IF(L760&gt;=MAX(H760,P760),"Weekly",IF(H760&gt;=MAX(L760,P760),"No weekly","SPY"))</x:f>
        <x:v>Weekly</x:v>
      </x:c>
      <x:c r="R760" s="41" t="n">
        <x:f>IFERROR(L760-P760,"")</x:f>
        <x:v>0.27472129793288713</x:v>
      </x:c>
      <x:c r="S760" s="41" t="n">
        <x:f>IFERROR(H760-P760,"")</x:f>
        <x:v>0.24647776863755333</x:v>
      </x:c>
      <x:c r="T760" s="41" t="n">
        <x:f>IFERROR(I760-M760,"")</x:f>
        <x:v>4.998022999999999</x:v>
      </x:c>
      <x:c r="U760" s="41" t="n">
        <x:f>IFERROR(E760-M760,"")</x:f>
        <x:v>5.048607</x:v>
      </x:c>
      <x:c r="V760" s="41" t="str">
        <x:f>IF(AND(I760&gt;M760,J760&gt;N760),"Sí","No")</x:f>
        <x:v>Sí</x:v>
      </x:c>
      <x:c r="W760" s="41" t="str">
        <x:f>IF(AND(E760&gt;M760,F760&gt;N760),"Sí","No")</x:f>
        <x:v>Sí</x:v>
      </x:c>
      <x:c r="X760" s="41" t="str">
        <x:f>IF(L760&gt;=H760,"Weekly","No weekly")</x:f>
        <x:v>Weekly</x:v>
      </x:c>
      <x:c r="Y760" s="41" t="n">
        <x:f>IFERROR(I760-E760,"")</x:f>
        <x:v>-0.05058400000000063</x:v>
      </x:c>
      <x:c r="Z760" s="41" t="n">
        <x:f>IFERROR(J760-F760,"")</x:f>
        <x:v>2.4363559999999964</x:v>
      </x:c>
      <x:c r="AA760" s="41" t="n">
        <x:v>11972</x:v>
      </x:c>
      <x:c r="AB760" s="41" t="n">
        <x:v>6149</x:v>
      </x:c>
    </x:row>
    <x:row r="761">
      <x:c r="A761" s="41" t="str">
        <x:v>HYP_REFINE_AUTO002_TOPN_6_V1_DDGRID_LONG_R12_C22_E75_CR42_REDD_RECOVERED_DD6_SL20</x:v>
      </x:c>
      <x:c r="B761" s="41" t="str">
        <x:v>dd_guard_grid</x:v>
      </x:c>
      <x:c r="C761" s="41" t="str">
        <x:v>1999-01-04</x:v>
      </x:c>
      <x:c r="D761" s="41" t="str">
        <x:v>2026-05-22</x:v>
      </x:c>
      <x:c r="E761" s="41" t="n">
        <x:v>14.188674</x:v>
      </x:c>
      <x:c r="F761" s="41" t="n">
        <x:v>-33.28926</x:v>
      </x:c>
      <x:c r="G761" s="41" t="n">
        <x:v>3681.225462</x:v>
      </x:c>
      <x:c r="H761" s="41" t="n">
        <x:f>IFERROR(E761/ABS(F761),"")</x:f>
        <x:v>0.42622377307275683</x:v>
      </x:c>
      <x:c r="I761" s="41" t="n">
        <x:v>12.997408</x:v>
      </x:c>
      <x:c r="J761" s="41" t="n">
        <x:v>-29.730748</x:v>
      </x:c>
      <x:c r="K761" s="41" t="n">
        <x:v>2737.49999</x:v>
      </x:c>
      <x:c r="L761" s="41" t="n">
        <x:f>IFERROR(I761/ABS(J761),"")</x:f>
        <x:v>0.4371705683287888</x:v>
      </x:c>
      <x:c r="M761" s="41" t="n">
        <x:v>6.802475</x:v>
      </x:c>
      <x:c r="N761" s="41" t="n">
        <x:v>-56.473669</x:v>
      </x:c>
      <x:c r="O761" s="41" t="n">
        <x:v>506.057416</x:v>
      </x:c>
      <x:c r="P761" s="41" t="n">
        <x:f>IFERROR(M761/ABS(N761),"")</x:f>
        <x:v>0.12045392340278087</x:v>
      </x:c>
      <x:c r="Q761" s="41" t="str">
        <x:f>IF(L761&gt;=MAX(H761,P761),"Weekly",IF(H761&gt;=MAX(L761,P761),"No weekly","SPY"))</x:f>
        <x:v>Weekly</x:v>
      </x:c>
      <x:c r="R761" s="41" t="n">
        <x:f>IFERROR(L761-P761,"")</x:f>
        <x:v>0.31671664492600793</x:v>
      </x:c>
      <x:c r="S761" s="41" t="n">
        <x:f>IFERROR(H761-P761,"")</x:f>
        <x:v>0.30576984966997595</x:v>
      </x:c>
      <x:c r="T761" s="41" t="n">
        <x:f>IFERROR(I761-M761,"")</x:f>
        <x:v>6.194933</x:v>
      </x:c>
      <x:c r="U761" s="41" t="n">
        <x:f>IFERROR(E761-M761,"")</x:f>
        <x:v>7.386199</x:v>
      </x:c>
      <x:c r="V761" s="41" t="str">
        <x:f>IF(AND(I761&gt;M761,J761&gt;N761),"Sí","No")</x:f>
        <x:v>Sí</x:v>
      </x:c>
      <x:c r="W761" s="41" t="str">
        <x:f>IF(AND(E761&gt;M761,F761&gt;N761),"Sí","No")</x:f>
        <x:v>Sí</x:v>
      </x:c>
      <x:c r="X761" s="41" t="str">
        <x:f>IF(L761&gt;=H761,"Weekly","No weekly")</x:f>
        <x:v>Weekly</x:v>
      </x:c>
      <x:c r="Y761" s="41" t="n">
        <x:f>IFERROR(I761-E761,"")</x:f>
        <x:v>-1.1912660000000006</x:v>
      </x:c>
      <x:c r="Z761" s="41" t="n">
        <x:f>IFERROR(J761-F761,"")</x:f>
        <x:v>3.5585120000000003</x:v>
      </x:c>
      <x:c r="AA761" s="41" t="n">
        <x:v>12239</x:v>
      </x:c>
      <x:c r="AB761" s="41" t="n">
        <x:v>5997</x:v>
      </x:c>
    </x:row>
    <x:row r="762">
      <x:c r="A762" s="41" t="str">
        <x:v>HYP_REFINE_AUTO002_TOPN_6_V1_DDGRID_LONG_R12_C22_E75_CR42_REDD_RECOVERED_DD7_SL18</x:v>
      </x:c>
      <x:c r="B762" s="41" t="str">
        <x:v>dd_guard_grid</x:v>
      </x:c>
      <x:c r="C762" s="41" t="str">
        <x:v>1999-01-04</x:v>
      </x:c>
      <x:c r="D762" s="41" t="str">
        <x:v>2026-05-22</x:v>
      </x:c>
      <x:c r="E762" s="41" t="n">
        <x:v>13.500862</x:v>
      </x:c>
      <x:c r="F762" s="41" t="n">
        <x:v>-32.297788</x:v>
      </x:c>
      <x:c r="G762" s="41" t="n">
        <x:v>3104.755882</x:v>
      </x:c>
      <x:c r="H762" s="41" t="n">
        <x:f>IFERROR(E762/ABS(F762),"")</x:f>
        <x:v>0.41801197035536924</x:v>
      </x:c>
      <x:c r="I762" s="41" t="n">
        <x:v>12.210942</x:v>
      </x:c>
      <x:c r="J762" s="41" t="n">
        <x:v>-29.861432</x:v>
      </x:c>
      <x:c r="K762" s="41" t="n">
        <x:v>2243.631515</x:v>
      </x:c>
      <x:c r="L762" s="41" t="n">
        <x:f>IFERROR(I762/ABS(J762),"")</x:f>
        <x:v>0.40892017502710515</x:v>
      </x:c>
      <x:c r="M762" s="41" t="n">
        <x:v>6.802475</x:v>
      </x:c>
      <x:c r="N762" s="41" t="n">
        <x:v>-56.473669</x:v>
      </x:c>
      <x:c r="O762" s="41" t="n">
        <x:v>506.057416</x:v>
      </x:c>
      <x:c r="P762" s="41" t="n">
        <x:f>IFERROR(M762/ABS(N762),"")</x:f>
        <x:v>0.12045392340278087</x:v>
      </x:c>
      <x:c r="Q762" s="41" t="str">
        <x:f>IF(L762&gt;=MAX(H762,P762),"Weekly",IF(H762&gt;=MAX(L762,P762),"No weekly","SPY"))</x:f>
        <x:v>No weekly</x:v>
      </x:c>
      <x:c r="R762" s="41" t="n">
        <x:f>IFERROR(L762-P762,"")</x:f>
        <x:v>0.28846625162432427</x:v>
      </x:c>
      <x:c r="S762" s="41" t="n">
        <x:f>IFERROR(H762-P762,"")</x:f>
        <x:v>0.29755804695258836</x:v>
      </x:c>
      <x:c r="T762" s="41" t="n">
        <x:f>IFERROR(I762-M762,"")</x:f>
        <x:v>5.408466999999999</x:v>
      </x:c>
      <x:c r="U762" s="41" t="n">
        <x:f>IFERROR(E762-M762,"")</x:f>
        <x:v>6.698386999999999</x:v>
      </x:c>
      <x:c r="V762" s="41" t="str">
        <x:f>IF(AND(I762&gt;M762,J762&gt;N762),"Sí","No")</x:f>
        <x:v>Sí</x:v>
      </x:c>
      <x:c r="W762" s="41" t="str">
        <x:f>IF(AND(E762&gt;M762,F762&gt;N762),"Sí","No")</x:f>
        <x:v>Sí</x:v>
      </x:c>
      <x:c r="X762" s="41" t="str">
        <x:f>IF(L762&gt;=H762,"Weekly","No weekly")</x:f>
        <x:v>No weekly</x:v>
      </x:c>
      <x:c r="Y762" s="41" t="n">
        <x:f>IFERROR(I762-E762,"")</x:f>
        <x:v>-1.2899200000000004</x:v>
      </x:c>
      <x:c r="Z762" s="41" t="n">
        <x:f>IFERROR(J762-F762,"")</x:f>
        <x:v>2.4363559999999964</x:v>
      </x:c>
      <x:c r="AA762" s="41" t="n">
        <x:v>11726</x:v>
      </x:c>
      <x:c r="AB762" s="41" t="n">
        <x:v>5818</x:v>
      </x:c>
    </x:row>
    <x:row r="763">
      <x:c r="A763" s="41" t="str">
        <x:v>HYP_REFINE_AUTO002_TOPN_6_V1_DDGRID_LONG_R12_C22_E75_CR42_REDD_RECOVERED_DD7_SL20</x:v>
      </x:c>
      <x:c r="B763" s="41" t="str">
        <x:v>dd_guard_grid</x:v>
      </x:c>
      <x:c r="C763" s="41" t="str">
        <x:v>1999-01-04</x:v>
      </x:c>
      <x:c r="D763" s="41" t="str">
        <x:v>2026-05-22</x:v>
      </x:c>
      <x:c r="E763" s="41" t="n">
        <x:v>13.640328</x:v>
      </x:c>
      <x:c r="F763" s="41" t="n">
        <x:v>-33.28926</x:v>
      </x:c>
      <x:c r="G763" s="41" t="n">
        <x:v>3214.335024</x:v>
      </x:c>
      <x:c r="H763" s="41" t="n">
        <x:f>IFERROR(E763/ABS(F763),"")</x:f>
        <x:v>0.4097516135834801</x:v>
      </x:c>
      <x:c r="I763" s="41" t="n">
        <x:v>13.274911</x:v>
      </x:c>
      <x:c r="J763" s="41" t="n">
        <x:v>-29.730748</x:v>
      </x:c>
      <x:c r="K763" s="41" t="n">
        <x:v>2934.595345</x:v>
      </x:c>
      <x:c r="L763" s="41" t="n">
        <x:f>IFERROR(I763/ABS(J763),"")</x:f>
        <x:v>0.44650444045336496</x:v>
      </x:c>
      <x:c r="M763" s="41" t="n">
        <x:v>6.802475</x:v>
      </x:c>
      <x:c r="N763" s="41" t="n">
        <x:v>-56.473669</x:v>
      </x:c>
      <x:c r="O763" s="41" t="n">
        <x:v>506.057416</x:v>
      </x:c>
      <x:c r="P763" s="41" t="n">
        <x:f>IFERROR(M763/ABS(N763),"")</x:f>
        <x:v>0.12045392340278087</x:v>
      </x:c>
      <x:c r="Q763" s="41" t="str">
        <x:f>IF(L763&gt;=MAX(H763,P763),"Weekly",IF(H763&gt;=MAX(L763,P763),"No weekly","SPY"))</x:f>
        <x:v>Weekly</x:v>
      </x:c>
      <x:c r="R763" s="41" t="n">
        <x:f>IFERROR(L763-P763,"")</x:f>
        <x:v>0.3260505170505841</x:v>
      </x:c>
      <x:c r="S763" s="41" t="n">
        <x:f>IFERROR(H763-P763,"")</x:f>
        <x:v>0.28929769018069923</x:v>
      </x:c>
      <x:c r="T763" s="41" t="n">
        <x:f>IFERROR(I763-M763,"")</x:f>
        <x:v>6.472435999999999</x:v>
      </x:c>
      <x:c r="U763" s="41" t="n">
        <x:f>IFERROR(E763-M763,"")</x:f>
        <x:v>6.837853</x:v>
      </x:c>
      <x:c r="V763" s="41" t="str">
        <x:f>IF(AND(I763&gt;M763,J763&gt;N763),"Sí","No")</x:f>
        <x:v>Sí</x:v>
      </x:c>
      <x:c r="W763" s="41" t="str">
        <x:f>IF(AND(E763&gt;M763,F763&gt;N763),"Sí","No")</x:f>
        <x:v>Sí</x:v>
      </x:c>
      <x:c r="X763" s="41" t="str">
        <x:f>IF(L763&gt;=H763,"Weekly","No weekly")</x:f>
        <x:v>Weekly</x:v>
      </x:c>
      <x:c r="Y763" s="41" t="n">
        <x:f>IFERROR(I763-E763,"")</x:f>
        <x:v>-0.36541700000000077</x:v>
      </x:c>
      <x:c r="Z763" s="41" t="n">
        <x:f>IFERROR(J763-F763,"")</x:f>
        <x:v>3.5585120000000003</x:v>
      </x:c>
      <x:c r="AA763" s="41" t="n">
        <x:v>12044</x:v>
      </x:c>
      <x:c r="AB763" s="41" t="n">
        <x:v>5941</x:v>
      </x:c>
    </x:row>
    <x:row r="764">
      <x:c r="A764" s="41" t="str">
        <x:v>HYP_REFINE_AUTO002_TOPN_6_V1_DDGRID_LONG_R12_C22_E75_CR42_REDD_RECOVERED_DD7_SL22</x:v>
      </x:c>
      <x:c r="B764" s="41" t="str">
        <x:v>dd_guard_grid</x:v>
      </x:c>
      <x:c r="C764" s="41" t="str">
        <x:v>1999-01-04</x:v>
      </x:c>
      <x:c r="D764" s="41" t="str">
        <x:v>2026-05-22</x:v>
      </x:c>
      <x:c r="E764" s="41" t="n">
        <x:v>12.632004</x:v>
      </x:c>
      <x:c r="F764" s="41" t="n">
        <x:v>-34.003485</x:v>
      </x:c>
      <x:c r="G764" s="41" t="n">
        <x:v>2496.709173</x:v>
      </x:c>
      <x:c r="H764" s="41" t="n">
        <x:f>IFERROR(E764/ABS(F764),"")</x:f>
        <x:v>0.3714914515379821</x:v>
      </x:c>
      <x:c r="I764" s="41" t="n">
        <x:v>13.146726</x:v>
      </x:c>
      <x:c r="J764" s="41" t="n">
        <x:v>-29.47824</x:v>
      </x:c>
      <x:c r="K764" s="41" t="n">
        <x:v>2841.966299</x:v>
      </x:c>
      <x:c r="L764" s="41" t="n">
        <x:f>IFERROR(I764/ABS(J764),"")</x:f>
        <x:v>0.44598069626951947</x:v>
      </x:c>
      <x:c r="M764" s="41" t="n">
        <x:v>6.802475</x:v>
      </x:c>
      <x:c r="N764" s="41" t="n">
        <x:v>-56.473669</x:v>
      </x:c>
      <x:c r="O764" s="41" t="n">
        <x:v>506.057416</x:v>
      </x:c>
      <x:c r="P764" s="41" t="n">
        <x:f>IFERROR(M764/ABS(N764),"")</x:f>
        <x:v>0.12045392340278087</x:v>
      </x:c>
      <x:c r="Q764" s="41" t="str">
        <x:f>IF(L764&gt;=MAX(H764,P764),"Weekly",IF(H764&gt;=MAX(L764,P764),"No weekly","SPY"))</x:f>
        <x:v>Weekly</x:v>
      </x:c>
      <x:c r="R764" s="41" t="n">
        <x:f>IFERROR(L764-P764,"")</x:f>
        <x:v>0.3255267728667386</x:v>
      </x:c>
      <x:c r="S764" s="41" t="n">
        <x:f>IFERROR(H764-P764,"")</x:f>
        <x:v>0.2510375281352012</x:v>
      </x:c>
      <x:c r="T764" s="41" t="n">
        <x:f>IFERROR(I764-M764,"")</x:f>
        <x:v>6.344250999999999</x:v>
      </x:c>
      <x:c r="U764" s="41" t="n">
        <x:f>IFERROR(E764-M764,"")</x:f>
        <x:v>5.829529</x:v>
      </x:c>
      <x:c r="V764" s="41" t="str">
        <x:f>IF(AND(I764&gt;M764,J764&gt;N764),"Sí","No")</x:f>
        <x:v>Sí</x:v>
      </x:c>
      <x:c r="W764" s="41" t="str">
        <x:f>IF(AND(E764&gt;M764,F764&gt;N764),"Sí","No")</x:f>
        <x:v>Sí</x:v>
      </x:c>
      <x:c r="X764" s="41" t="str">
        <x:f>IF(L764&gt;=H764,"Weekly","No weekly")</x:f>
        <x:v>Weekly</x:v>
      </x:c>
      <x:c r="Y764" s="41" t="n">
        <x:f>IFERROR(I764-E764,"")</x:f>
        <x:v>0.514721999999999</x:v>
      </x:c>
      <x:c r="Z764" s="41" t="n">
        <x:f>IFERROR(J764-F764,"")</x:f>
        <x:v>4.525244999999998</x:v>
      </x:c>
      <x:c r="AA764" s="41" t="n">
        <x:v>11935</x:v>
      </x:c>
      <x:c r="AB764" s="41" t="n">
        <x:v>5904</x:v>
      </x:c>
    </x:row>
    <x:row r="765">
      <x:c r="A765" s="41" t="str">
        <x:v>HYP_REFINE_AUTO002_TOPN_6_V1_DDGRID_LONG_R12_C22_E75_CR42_REDD_RECOVERED_DD7_SL24</x:v>
      </x:c>
      <x:c r="B765" s="41" t="str">
        <x:v>dd_guard_grid</x:v>
      </x:c>
      <x:c r="C765" s="41" t="str">
        <x:v>1999-01-04</x:v>
      </x:c>
      <x:c r="D765" s="41" t="str">
        <x:v>2026-05-22</x:v>
      </x:c>
      <x:c r="E765" s="41" t="n">
        <x:v>11.787513</x:v>
      </x:c>
      <x:c r="F765" s="41" t="n">
        <x:v>-34.363817</x:v>
      </x:c>
      <x:c r="G765" s="41" t="n">
        <x:v>2013.178477</x:v>
      </x:c>
      <x:c r="H765" s="41" t="n">
        <x:f>IFERROR(E765/ABS(F765),"")</x:f>
        <x:v>0.34302106195013204</x:v>
      </x:c>
      <x:c r="I765" s="41" t="n">
        <x:v>13.153894</x:v>
      </x:c>
      <x:c r="J765" s="41" t="n">
        <x:v>-29.62115</x:v>
      </x:c>
      <x:c r="K765" s="41" t="n">
        <x:v>2847.073118</x:v>
      </x:c>
      <x:c r="L765" s="41" t="n">
        <x:f>IFERROR(I765/ABS(J765),"")</x:f>
        <x:v>0.444071010072195</x:v>
      </x:c>
      <x:c r="M765" s="41" t="n">
        <x:v>6.802475</x:v>
      </x:c>
      <x:c r="N765" s="41" t="n">
        <x:v>-56.473669</x:v>
      </x:c>
      <x:c r="O765" s="41" t="n">
        <x:v>506.057416</x:v>
      </x:c>
      <x:c r="P765" s="41" t="n">
        <x:f>IFERROR(M765/ABS(N765),"")</x:f>
        <x:v>0.12045392340278087</x:v>
      </x:c>
      <x:c r="Q765" s="41" t="str">
        <x:f>IF(L765&gt;=MAX(H765,P765),"Weekly",IF(H765&gt;=MAX(L765,P765),"No weekly","SPY"))</x:f>
        <x:v>Weekly</x:v>
      </x:c>
      <x:c r="R765" s="41" t="n">
        <x:f>IFERROR(L765-P765,"")</x:f>
        <x:v>0.32361708666941413</x:v>
      </x:c>
      <x:c r="S765" s="41" t="n">
        <x:f>IFERROR(H765-P765,"")</x:f>
        <x:v>0.22256713854735116</x:v>
      </x:c>
      <x:c r="T765" s="41" t="n">
        <x:f>IFERROR(I765-M765,"")</x:f>
        <x:v>6.351418999999999</x:v>
      </x:c>
      <x:c r="U765" s="41" t="n">
        <x:f>IFERROR(E765-M765,"")</x:f>
        <x:v>4.985038</x:v>
      </x:c>
      <x:c r="V765" s="41" t="str">
        <x:f>IF(AND(I765&gt;M765,J765&gt;N765),"Sí","No")</x:f>
        <x:v>Sí</x:v>
      </x:c>
      <x:c r="W765" s="41" t="str">
        <x:f>IF(AND(E765&gt;M765,F765&gt;N765),"Sí","No")</x:f>
        <x:v>Sí</x:v>
      </x:c>
      <x:c r="X765" s="41" t="str">
        <x:f>IF(L765&gt;=H765,"Weekly","No weekly")</x:f>
        <x:v>Weekly</x:v>
      </x:c>
      <x:c r="Y765" s="41" t="n">
        <x:f>IFERROR(I765-E765,"")</x:f>
        <x:v>1.3663809999999987</x:v>
      </x:c>
      <x:c r="Z765" s="41" t="n">
        <x:f>IFERROR(J765-F765,"")</x:f>
        <x:v>4.742666999999997</x:v>
      </x:c>
      <x:c r="AA765" s="41" t="n">
        <x:v>12209</x:v>
      </x:c>
      <x:c r="AB765" s="41" t="n">
        <x:v>6021</x:v>
      </x:c>
    </x:row>
    <x:row r="766">
      <x:c r="A766" s="41" t="str">
        <x:v>HYP_REFINE_AUTO002_TOPN_6_V1_DDGRID_LONG_R12_C22_E75_CR42_REDD_RECOVERED_DD7_SLNONE</x:v>
      </x:c>
      <x:c r="B766" s="41" t="str">
        <x:v>dd_guard_grid</x:v>
      </x:c>
      <x:c r="C766" s="41" t="str">
        <x:v>1999-01-04</x:v>
      </x:c>
      <x:c r="D766" s="41" t="str">
        <x:v>2026-05-22</x:v>
      </x:c>
      <x:c r="E766" s="41" t="n">
        <x:v>12.590708</x:v>
      </x:c>
      <x:c r="F766" s="41" t="n">
        <x:v>-33.741762</x:v>
      </x:c>
      <x:c r="G766" s="41" t="n">
        <x:v>2470.768593</x:v>
      </x:c>
      <x:c r="H766" s="41" t="n">
        <x:f>IFERROR(E766/ABS(F766),"")</x:f>
        <x:v>0.3731490963631359</x:v>
      </x:c>
      <x:c r="I766" s="41" t="n">
        <x:v>13.613953</x:v>
      </x:c>
      <x:c r="J766" s="41" t="n">
        <x:v>-29.112744</x:v>
      </x:c>
      <x:c r="K766" s="41" t="n">
        <x:v>3193.339288</x:v>
      </x:c>
      <x:c r="L766" s="41" t="n">
        <x:f>IFERROR(I766/ABS(J766),"")</x:f>
        <x:v>0.46762864400552556</x:v>
      </x:c>
      <x:c r="M766" s="41" t="n">
        <x:v>6.802475</x:v>
      </x:c>
      <x:c r="N766" s="41" t="n">
        <x:v>-56.473669</x:v>
      </x:c>
      <x:c r="O766" s="41" t="n">
        <x:v>506.057416</x:v>
      </x:c>
      <x:c r="P766" s="41" t="n">
        <x:f>IFERROR(M766/ABS(N766),"")</x:f>
        <x:v>0.12045392340278087</x:v>
      </x:c>
      <x:c r="Q766" s="41" t="str">
        <x:f>IF(L766&gt;=MAX(H766,P766),"Weekly",IF(H766&gt;=MAX(L766,P766),"No weekly","SPY"))</x:f>
        <x:v>Weekly</x:v>
      </x:c>
      <x:c r="R766" s="41" t="n">
        <x:f>IFERROR(L766-P766,"")</x:f>
        <x:v>0.3471747206027447</x:v>
      </x:c>
      <x:c r="S766" s="41" t="n">
        <x:f>IFERROR(H766-P766,"")</x:f>
        <x:v>0.25269517296035504</x:v>
      </x:c>
      <x:c r="T766" s="41" t="n">
        <x:f>IFERROR(I766-M766,"")</x:f>
        <x:v>6.811478</x:v>
      </x:c>
      <x:c r="U766" s="41" t="n">
        <x:f>IFERROR(E766-M766,"")</x:f>
        <x:v>5.788232999999999</x:v>
      </x:c>
      <x:c r="V766" s="41" t="str">
        <x:f>IF(AND(I766&gt;M766,J766&gt;N766),"Sí","No")</x:f>
        <x:v>Sí</x:v>
      </x:c>
      <x:c r="W766" s="41" t="str">
        <x:f>IF(AND(E766&gt;M766,F766&gt;N766),"Sí","No")</x:f>
        <x:v>Sí</x:v>
      </x:c>
      <x:c r="X766" s="41" t="str">
        <x:f>IF(L766&gt;=H766,"Weekly","No weekly")</x:f>
        <x:v>Weekly</x:v>
      </x:c>
      <x:c r="Y766" s="41" t="n">
        <x:f>IFERROR(I766-E766,"")</x:f>
        <x:v>1.023245000000001</x:v>
      </x:c>
      <x:c r="Z766" s="41" t="n">
        <x:f>IFERROR(J766-F766,"")</x:f>
        <x:v>4.629018000000002</x:v>
      </x:c>
      <x:c r="AA766" s="41" t="n">
        <x:v>12022</x:v>
      </x:c>
      <x:c r="AB766" s="41" t="n">
        <x:v>6355</x:v>
      </x:c>
    </x:row>
    <x:row r="767">
      <x:c r="A767" s="41" t="str">
        <x:v>HYP_REFINE_AUTO002_TOPN_6_V1_DDGRID_LONG_R12_C22_E75_CR42_REDD_RECOVERED_DD8_SL18</x:v>
      </x:c>
      <x:c r="B767" s="41" t="str">
        <x:v>dd_guard_grid</x:v>
      </x:c>
      <x:c r="C767" s="41" t="str">
        <x:v>1999-01-04</x:v>
      </x:c>
      <x:c r="D767" s="41" t="str">
        <x:v>2026-05-22</x:v>
      </x:c>
      <x:c r="E767" s="41" t="n">
        <x:v>13.303129</x:v>
      </x:c>
      <x:c r="F767" s="41" t="n">
        <x:v>-32.297788</x:v>
      </x:c>
      <x:c r="G767" s="41" t="n">
        <x:v>2955.359629</x:v>
      </x:c>
      <x:c r="H767" s="41" t="n">
        <x:f>IFERROR(E767/ABS(F767),"")</x:f>
        <x:v>0.4118897863841326</x:v>
      </x:c>
      <x:c r="I767" s="41" t="n">
        <x:v>12.355432</x:v>
      </x:c>
      <x:c r="J767" s="41" t="n">
        <x:v>-29.861432</x:v>
      </x:c>
      <x:c r="K767" s="41" t="n">
        <x:v>2327.673471</x:v>
      </x:c>
      <x:c r="L767" s="41" t="n">
        <x:f>IFERROR(I767/ABS(J767),"")</x:f>
        <x:v>0.41375885791411476</x:v>
      </x:c>
      <x:c r="M767" s="41" t="n">
        <x:v>6.802475</x:v>
      </x:c>
      <x:c r="N767" s="41" t="n">
        <x:v>-56.473669</x:v>
      </x:c>
      <x:c r="O767" s="41" t="n">
        <x:v>506.057416</x:v>
      </x:c>
      <x:c r="P767" s="41" t="n">
        <x:f>IFERROR(M767/ABS(N767),"")</x:f>
        <x:v>0.12045392340278087</x:v>
      </x:c>
      <x:c r="Q767" s="41" t="str">
        <x:f>IF(L767&gt;=MAX(H767,P767),"Weekly",IF(H767&gt;=MAX(L767,P767),"No weekly","SPY"))</x:f>
        <x:v>Weekly</x:v>
      </x:c>
      <x:c r="R767" s="41" t="n">
        <x:f>IFERROR(L767-P767,"")</x:f>
        <x:v>0.2933049345113339</x:v>
      </x:c>
      <x:c r="S767" s="41" t="n">
        <x:f>IFERROR(H767-P767,"")</x:f>
        <x:v>0.2914358629813517</x:v>
      </x:c>
      <x:c r="T767" s="41" t="n">
        <x:f>IFERROR(I767-M767,"")</x:f>
        <x:v>5.552957</x:v>
      </x:c>
      <x:c r="U767" s="41" t="n">
        <x:f>IFERROR(E767-M767,"")</x:f>
        <x:v>6.500654</x:v>
      </x:c>
      <x:c r="V767" s="41" t="str">
        <x:f>IF(AND(I767&gt;M767,J767&gt;N767),"Sí","No")</x:f>
        <x:v>Sí</x:v>
      </x:c>
      <x:c r="W767" s="41" t="str">
        <x:f>IF(AND(E767&gt;M767,F767&gt;N767),"Sí","No")</x:f>
        <x:v>Sí</x:v>
      </x:c>
      <x:c r="X767" s="41" t="str">
        <x:f>IF(L767&gt;=H767,"Weekly","No weekly")</x:f>
        <x:v>Weekly</x:v>
      </x:c>
      <x:c r="Y767" s="41" t="n">
        <x:f>IFERROR(I767-E767,"")</x:f>
        <x:v>-0.9476969999999998</x:v>
      </x:c>
      <x:c r="Z767" s="41" t="n">
        <x:f>IFERROR(J767-F767,"")</x:f>
        <x:v>2.4363559999999964</x:v>
      </x:c>
      <x:c r="AA767" s="41" t="n">
        <x:v>11563</x:v>
      </x:c>
      <x:c r="AB767" s="41" t="n">
        <x:v>5697</x:v>
      </x:c>
    </x:row>
    <x:row r="768">
      <x:c r="A768" s="41" t="str">
        <x:v>HYP_REFINE_AUTO002_TOPN_6_V1_DDGRID_LONG_R12_C22_E75_CR42_REDD_RECOVERED_DD8_SL20</x:v>
      </x:c>
      <x:c r="B768" s="41" t="str">
        <x:v>dd_guard_grid</x:v>
      </x:c>
      <x:c r="C768" s="41" t="str">
        <x:v>1999-01-04</x:v>
      </x:c>
      <x:c r="D768" s="41" t="str">
        <x:v>2026-05-22</x:v>
      </x:c>
      <x:c r="E768" s="41" t="n">
        <x:v>14.017197</x:v>
      </x:c>
      <x:c r="F768" s="41" t="n">
        <x:v>-33.28926</x:v>
      </x:c>
      <x:c r="G768" s="41" t="n">
        <x:v>3528.803772</x:v>
      </x:c>
      <x:c r="H768" s="41" t="n">
        <x:f>IFERROR(E768/ABS(F768),"")</x:f>
        <x:v>0.42107265226081925</x:v>
      </x:c>
      <x:c r="I768" s="41" t="n">
        <x:v>13.628264</x:v>
      </x:c>
      <x:c r="J768" s="41" t="n">
        <x:v>-29.730748</x:v>
      </x:c>
      <x:c r="K768" s="41" t="n">
        <x:v>3204.715176</x:v>
      </x:c>
      <x:c r="L768" s="41" t="n">
        <x:f>IFERROR(I768/ABS(J768),"")</x:f>
        <x:v>0.4583895433777852</x:v>
      </x:c>
      <x:c r="M768" s="41" t="n">
        <x:v>6.802475</x:v>
      </x:c>
      <x:c r="N768" s="41" t="n">
        <x:v>-56.473669</x:v>
      </x:c>
      <x:c r="O768" s="41" t="n">
        <x:v>506.057416</x:v>
      </x:c>
      <x:c r="P768" s="41" t="n">
        <x:f>IFERROR(M768/ABS(N768),"")</x:f>
        <x:v>0.12045392340278087</x:v>
      </x:c>
      <x:c r="Q768" s="41" t="str">
        <x:f>IF(L768&gt;=MAX(H768,P768),"Weekly",IF(H768&gt;=MAX(L768,P768),"No weekly","SPY"))</x:f>
        <x:v>Weekly</x:v>
      </x:c>
      <x:c r="R768" s="41" t="n">
        <x:f>IFERROR(L768-P768,"")</x:f>
        <x:v>0.3379356199750043</x:v>
      </x:c>
      <x:c r="S768" s="41" t="n">
        <x:f>IFERROR(H768-P768,"")</x:f>
        <x:v>0.30061872885803836</x:v>
      </x:c>
      <x:c r="T768" s="41" t="n">
        <x:f>IFERROR(I768-M768,"")</x:f>
        <x:v>6.825788999999999</x:v>
      </x:c>
      <x:c r="U768" s="41" t="n">
        <x:f>IFERROR(E768-M768,"")</x:f>
        <x:v>7.214721999999999</x:v>
      </x:c>
      <x:c r="V768" s="41" t="str">
        <x:f>IF(AND(I768&gt;M768,J768&gt;N768),"Sí","No")</x:f>
        <x:v>Sí</x:v>
      </x:c>
      <x:c r="W768" s="41" t="str">
        <x:f>IF(AND(E768&gt;M768,F768&gt;N768),"Sí","No")</x:f>
        <x:v>Sí</x:v>
      </x:c>
      <x:c r="X768" s="41" t="str">
        <x:f>IF(L768&gt;=H768,"Weekly","No weekly")</x:f>
        <x:v>Weekly</x:v>
      </x:c>
      <x:c r="Y768" s="41" t="n">
        <x:f>IFERROR(I768-E768,"")</x:f>
        <x:v>-0.38893299999999975</x:v>
      </x:c>
      <x:c r="Z768" s="41" t="n">
        <x:f>IFERROR(J768-F768,"")</x:f>
        <x:v>3.5585120000000003</x:v>
      </x:c>
      <x:c r="AA768" s="41" t="n">
        <x:v>11827</x:v>
      </x:c>
      <x:c r="AB768" s="41" t="n">
        <x:v>5676</x:v>
      </x:c>
    </x:row>
    <x:row r="769">
      <x:c r="A769" s="41" t="str">
        <x:v>HYP_REFINE_AUTO002_TOPN_6_V1_DDGRID_LONG_R12_C22_E75_CR42_REDD_RECOVERED_DD8_SL22</x:v>
      </x:c>
      <x:c r="B769" s="41" t="str">
        <x:v>dd_guard_grid</x:v>
      </x:c>
      <x:c r="C769" s="41" t="str">
        <x:v>1999-01-04</x:v>
      </x:c>
      <x:c r="D769" s="41" t="str">
        <x:v>2026-05-22</x:v>
      </x:c>
      <x:c r="E769" s="41" t="n">
        <x:v>12.709326</x:v>
      </x:c>
      <x:c r="F769" s="41" t="n">
        <x:v>-34.003485</x:v>
      </x:c>
      <x:c r="G769" s="41" t="n">
        <x:v>2545.960005</x:v>
      </x:c>
      <x:c r="H769" s="41" t="n">
        <x:f>IFERROR(E769/ABS(F769),"")</x:f>
        <x:v>0.3737653949293727</x:v>
      </x:c>
      <x:c r="I769" s="41" t="n">
        <x:v>13.372272</x:v>
      </x:c>
      <x:c r="J769" s="41" t="n">
        <x:v>-29.47824</x:v>
      </x:c>
      <x:c r="K769" s="41" t="n">
        <x:v>3006.820746</x:v>
      </x:c>
      <x:c r="L769" s="41" t="n">
        <x:f>IFERROR(I769/ABS(J769),"")</x:f>
        <x:v>0.45363196717307414</x:v>
      </x:c>
      <x:c r="M769" s="41" t="n">
        <x:v>6.802475</x:v>
      </x:c>
      <x:c r="N769" s="41" t="n">
        <x:v>-56.473669</x:v>
      </x:c>
      <x:c r="O769" s="41" t="n">
        <x:v>506.057416</x:v>
      </x:c>
      <x:c r="P769" s="41" t="n">
        <x:f>IFERROR(M769/ABS(N769),"")</x:f>
        <x:v>0.12045392340278087</x:v>
      </x:c>
      <x:c r="Q769" s="41" t="str">
        <x:f>IF(L769&gt;=MAX(H769,P769),"Weekly",IF(H769&gt;=MAX(L769,P769),"No weekly","SPY"))</x:f>
        <x:v>Weekly</x:v>
      </x:c>
      <x:c r="R769" s="41" t="n">
        <x:f>IFERROR(L769-P769,"")</x:f>
        <x:v>0.33317804377029325</x:v>
      </x:c>
      <x:c r="S769" s="41" t="n">
        <x:f>IFERROR(H769-P769,"")</x:f>
        <x:v>0.25331147152659184</x:v>
      </x:c>
      <x:c r="T769" s="41" t="n">
        <x:f>IFERROR(I769-M769,"")</x:f>
        <x:v>6.569797</x:v>
      </x:c>
      <x:c r="U769" s="41" t="n">
        <x:f>IFERROR(E769-M769,"")</x:f>
        <x:v>5.9068510000000005</x:v>
      </x:c>
      <x:c r="V769" s="41" t="str">
        <x:f>IF(AND(I769&gt;M769,J769&gt;N769),"Sí","No")</x:f>
        <x:v>Sí</x:v>
      </x:c>
      <x:c r="W769" s="41" t="str">
        <x:f>IF(AND(E769&gt;M769,F769&gt;N769),"Sí","No")</x:f>
        <x:v>Sí</x:v>
      </x:c>
      <x:c r="X769" s="41" t="str">
        <x:f>IF(L769&gt;=H769,"Weekly","No weekly")</x:f>
        <x:v>Weekly</x:v>
      </x:c>
      <x:c r="Y769" s="41" t="n">
        <x:f>IFERROR(I769-E769,"")</x:f>
        <x:v>0.6629459999999998</x:v>
      </x:c>
      <x:c r="Z769" s="41" t="n">
        <x:f>IFERROR(J769-F769,"")</x:f>
        <x:v>4.525244999999998</x:v>
      </x:c>
      <x:c r="AA769" s="41" t="n">
        <x:v>11804</x:v>
      </x:c>
      <x:c r="AB769" s="41" t="n">
        <x:v>5792</x:v>
      </x:c>
    </x:row>
    <x:row r="770">
      <x:c r="A770" s="41" t="str">
        <x:v>HYP_REFINE_AUTO002_TOPN_6_V1_DDGRID_LONG_R12_C22_E75_CR42_REDD_RECOVERED_DD8_SL24</x:v>
      </x:c>
      <x:c r="B770" s="41" t="str">
        <x:v>dd_guard_grid</x:v>
      </x:c>
      <x:c r="C770" s="41" t="str">
        <x:v>1999-01-04</x:v>
      </x:c>
      <x:c r="D770" s="41" t="str">
        <x:v>2026-05-22</x:v>
      </x:c>
      <x:c r="E770" s="41" t="n">
        <x:v>11.938677</x:v>
      </x:c>
      <x:c r="F770" s="41" t="n">
        <x:v>-34.363817</x:v>
      </x:c>
      <x:c r="G770" s="41" t="n">
        <x:v>2092.82513</x:v>
      </x:c>
      <x:c r="H770" s="41" t="n">
        <x:f>IFERROR(E770/ABS(F770),"")</x:f>
        <x:v>0.3474199912076124</x:v>
      </x:c>
      <x:c r="I770" s="41" t="n">
        <x:v>13.540129</x:v>
      </x:c>
      <x:c r="J770" s="41" t="n">
        <x:v>-29.62115</x:v>
      </x:c>
      <x:c r="K770" s="41" t="n">
        <x:v>3135.25009</x:v>
      </x:c>
      <x:c r="L770" s="41" t="n">
        <x:f>IFERROR(I770/ABS(J770),"")</x:f>
        <x:v>0.4571101729676262</x:v>
      </x:c>
      <x:c r="M770" s="41" t="n">
        <x:v>6.802475</x:v>
      </x:c>
      <x:c r="N770" s="41" t="n">
        <x:v>-56.473669</x:v>
      </x:c>
      <x:c r="O770" s="41" t="n">
        <x:v>506.057416</x:v>
      </x:c>
      <x:c r="P770" s="41" t="n">
        <x:f>IFERROR(M770/ABS(N770),"")</x:f>
        <x:v>0.12045392340278087</x:v>
      </x:c>
      <x:c r="Q770" s="41" t="str">
        <x:f>IF(L770&gt;=MAX(H770,P770),"Weekly",IF(H770&gt;=MAX(L770,P770),"No weekly","SPY"))</x:f>
        <x:v>Weekly</x:v>
      </x:c>
      <x:c r="R770" s="41" t="n">
        <x:f>IFERROR(L770-P770,"")</x:f>
        <x:v>0.3366562495648453</x:v>
      </x:c>
      <x:c r="S770" s="41" t="n">
        <x:f>IFERROR(H770-P770,"")</x:f>
        <x:v>0.22696606780483153</x:v>
      </x:c>
      <x:c r="T770" s="41" t="n">
        <x:f>IFERROR(I770-M770,"")</x:f>
        <x:v>6.737654</x:v>
      </x:c>
      <x:c r="U770" s="41" t="n">
        <x:f>IFERROR(E770-M770,"")</x:f>
        <x:v>5.136202</x:v>
      </x:c>
      <x:c r="V770" s="41" t="str">
        <x:f>IF(AND(I770&gt;M770,J770&gt;N770),"Sí","No")</x:f>
        <x:v>Sí</x:v>
      </x:c>
      <x:c r="W770" s="41" t="str">
        <x:f>IF(AND(E770&gt;M770,F770&gt;N770),"Sí","No")</x:f>
        <x:v>Sí</x:v>
      </x:c>
      <x:c r="X770" s="41" t="str">
        <x:f>IF(L770&gt;=H770,"Weekly","No weekly")</x:f>
        <x:v>Weekly</x:v>
      </x:c>
      <x:c r="Y770" s="41" t="n">
        <x:f>IFERROR(I770-E770,"")</x:f>
        <x:v>1.601452</x:v>
      </x:c>
      <x:c r="Z770" s="41" t="n">
        <x:f>IFERROR(J770-F770,"")</x:f>
        <x:v>4.742666999999997</x:v>
      </x:c>
      <x:c r="AA770" s="41" t="n">
        <x:v>11979</x:v>
      </x:c>
      <x:c r="AB770" s="41" t="n">
        <x:v>5905</x:v>
      </x:c>
    </x:row>
    <x:row r="771">
      <x:c r="A771" s="41" t="str">
        <x:v>HYP_REFINE_AUTO002_TOPN_6_V1_DDGRID_LONG_R12_C22_E75_CR42_REDD_RECOVERED_DD8_SLNONE</x:v>
      </x:c>
      <x:c r="B771" s="41" t="str">
        <x:v>dd_guard_grid</x:v>
      </x:c>
      <x:c r="C771" s="41" t="str">
        <x:v>1999-01-04</x:v>
      </x:c>
      <x:c r="D771" s="41" t="str">
        <x:v>2026-05-22</x:v>
      </x:c>
      <x:c r="E771" s="41" t="n">
        <x:v>12.581403</x:v>
      </x:c>
      <x:c r="F771" s="41" t="n">
        <x:v>-33.741762</x:v>
      </x:c>
      <x:c r="G771" s="41" t="n">
        <x:v>2464.957785</x:v>
      </x:c>
      <x:c r="H771" s="41" t="n">
        <x:f>IFERROR(E771/ABS(F771),"")</x:f>
        <x:v>0.3728733253467913</x:v>
      </x:c>
      <x:c r="I771" s="41" t="n">
        <x:v>13.998596</x:v>
      </x:c>
      <x:c r="J771" s="41" t="n">
        <x:v>-29.112744</x:v>
      </x:c>
      <x:c r="K771" s="41" t="n">
        <x:v>3512.630256</x:v>
      </x:c>
      <x:c r="L771" s="41" t="n">
        <x:f>IFERROR(I771/ABS(J771),"")</x:f>
        <x:v>0.4808408303937272</x:v>
      </x:c>
      <x:c r="M771" s="41" t="n">
        <x:v>6.802475</x:v>
      </x:c>
      <x:c r="N771" s="41" t="n">
        <x:v>-56.473669</x:v>
      </x:c>
      <x:c r="O771" s="41" t="n">
        <x:v>506.057416</x:v>
      </x:c>
      <x:c r="P771" s="41" t="n">
        <x:f>IFERROR(M771/ABS(N771),"")</x:f>
        <x:v>0.12045392340278087</x:v>
      </x:c>
      <x:c r="Q771" s="41" t="str">
        <x:f>IF(L771&gt;=MAX(H771,P771),"Weekly",IF(H771&gt;=MAX(L771,P771),"No weekly","SPY"))</x:f>
        <x:v>Weekly</x:v>
      </x:c>
      <x:c r="R771" s="41" t="n">
        <x:f>IFERROR(L771-P771,"")</x:f>
        <x:v>0.36038690699094633</x:v>
      </x:c>
      <x:c r="S771" s="41" t="n">
        <x:f>IFERROR(H771-P771,"")</x:f>
        <x:v>0.2524194019440104</x:v>
      </x:c>
      <x:c r="T771" s="41" t="n">
        <x:f>IFERROR(I771-M771,"")</x:f>
        <x:v>7.196120999999999</x:v>
      </x:c>
      <x:c r="U771" s="41" t="n">
        <x:f>IFERROR(E771-M771,"")</x:f>
        <x:v>5.778928</x:v>
      </x:c>
      <x:c r="V771" s="41" t="str">
        <x:f>IF(AND(I771&gt;M771,J771&gt;N771),"Sí","No")</x:f>
        <x:v>Sí</x:v>
      </x:c>
      <x:c r="W771" s="41" t="str">
        <x:f>IF(AND(E771&gt;M771,F771&gt;N771),"Sí","No")</x:f>
        <x:v>Sí</x:v>
      </x:c>
      <x:c r="X771" s="41" t="str">
        <x:f>IF(L771&gt;=H771,"Weekly","No weekly")</x:f>
        <x:v>Weekly</x:v>
      </x:c>
      <x:c r="Y771" s="41" t="n">
        <x:f>IFERROR(I771-E771,"")</x:f>
        <x:v>1.4171929999999993</x:v>
      </x:c>
      <x:c r="Z771" s="41" t="n">
        <x:f>IFERROR(J771-F771,"")</x:f>
        <x:v>4.629018000000002</x:v>
      </x:c>
      <x:c r="AA771" s="41" t="n">
        <x:v>11797</x:v>
      </x:c>
      <x:c r="AB771" s="41" t="n">
        <x:v>6203</x:v>
      </x:c>
    </x:row>
    <x:row r="772">
      <x:c r="A772" s="41" t="str">
        <x:v>HYP_REFINE_AUTO002_TOPN_6_V1_DDGRID_LONG_R12_C22_E75_CR42_REDD_RECOVERED_DD9_SL18</x:v>
      </x:c>
      <x:c r="B772" s="41" t="str">
        <x:v>dd_guard_grid</x:v>
      </x:c>
      <x:c r="C772" s="41" t="str">
        <x:v>1999-01-04</x:v>
      </x:c>
      <x:c r="D772" s="41" t="str">
        <x:v>2026-05-22</x:v>
      </x:c>
      <x:c r="E772" s="41" t="n">
        <x:v>12.810873</x:v>
      </x:c>
      <x:c r="F772" s="41" t="n">
        <x:v>-32.297788</x:v>
      </x:c>
      <x:c r="G772" s="41" t="n">
        <x:v>2612.009353</x:v>
      </x:c>
      <x:c r="H772" s="41" t="n">
        <x:f>IFERROR(E772/ABS(F772),"")</x:f>
        <x:v>0.3966486187846673</x:v>
      </x:c>
      <x:c r="I772" s="41" t="n">
        <x:v>12.201813</x:v>
      </x:c>
      <x:c r="J772" s="41" t="n">
        <x:v>-29.861432</x:v>
      </x:c>
      <x:c r="K772" s="41" t="n">
        <x:v>2238.417262</x:v>
      </x:c>
      <x:c r="L772" s="41" t="n">
        <x:f>IFERROR(I772/ABS(J772),"")</x:f>
        <x:v>0.40861446296346404</x:v>
      </x:c>
      <x:c r="M772" s="41" t="n">
        <x:v>6.802475</x:v>
      </x:c>
      <x:c r="N772" s="41" t="n">
        <x:v>-56.473669</x:v>
      </x:c>
      <x:c r="O772" s="41" t="n">
        <x:v>506.057416</x:v>
      </x:c>
      <x:c r="P772" s="41" t="n">
        <x:f>IFERROR(M772/ABS(N772),"")</x:f>
        <x:v>0.12045392340278087</x:v>
      </x:c>
      <x:c r="Q772" s="41" t="str">
        <x:f>IF(L772&gt;=MAX(H772,P772),"Weekly",IF(H772&gt;=MAX(L772,P772),"No weekly","SPY"))</x:f>
        <x:v>Weekly</x:v>
      </x:c>
      <x:c r="R772" s="41" t="n">
        <x:f>IFERROR(L772-P772,"")</x:f>
        <x:v>0.28816053956068316</x:v>
      </x:c>
      <x:c r="S772" s="41" t="n">
        <x:f>IFERROR(H772-P772,"")</x:f>
        <x:v>0.2761946953818864</x:v>
      </x:c>
      <x:c r="T772" s="41" t="n">
        <x:f>IFERROR(I772-M772,"")</x:f>
        <x:v>5.399337999999999</x:v>
      </x:c>
      <x:c r="U772" s="41" t="n">
        <x:f>IFERROR(E772-M772,"")</x:f>
        <x:v>6.008398000000001</x:v>
      </x:c>
      <x:c r="V772" s="41" t="str">
        <x:f>IF(AND(I772&gt;M772,J772&gt;N772),"Sí","No")</x:f>
        <x:v>Sí</x:v>
      </x:c>
      <x:c r="W772" s="41" t="str">
        <x:f>IF(AND(E772&gt;M772,F772&gt;N772),"Sí","No")</x:f>
        <x:v>Sí</x:v>
      </x:c>
      <x:c r="X772" s="41" t="str">
        <x:f>IF(L772&gt;=H772,"Weekly","No weekly")</x:f>
        <x:v>Weekly</x:v>
      </x:c>
      <x:c r="Y772" s="41" t="n">
        <x:f>IFERROR(I772-E772,"")</x:f>
        <x:v>-0.6090600000000013</x:v>
      </x:c>
      <x:c r="Z772" s="41" t="n">
        <x:f>IFERROR(J772-F772,"")</x:f>
        <x:v>2.4363559999999964</x:v>
      </x:c>
      <x:c r="AA772" s="41" t="n">
        <x:v>11591</x:v>
      </x:c>
      <x:c r="AB772" s="41" t="n">
        <x:v>5553</x:v>
      </x:c>
    </x:row>
    <x:row r="773">
      <x:c r="A773" s="41" t="str">
        <x:v>HYP_REFINE_AUTO002_TOPN_6_V1_DDGRID_LONG_R12_C22_E75_CR42_REDD_RECOVERED_DD9_SL20</x:v>
      </x:c>
      <x:c r="B773" s="41" t="str">
        <x:v>dd_guard_grid</x:v>
      </x:c>
      <x:c r="C773" s="41" t="str">
        <x:v>1999-01-04</x:v>
      </x:c>
      <x:c r="D773" s="41" t="str">
        <x:v>2026-05-22</x:v>
      </x:c>
      <x:c r="E773" s="41" t="n">
        <x:v>13.326926</x:v>
      </x:c>
      <x:c r="F773" s="41" t="n">
        <x:v>-33.28926</x:v>
      </x:c>
      <x:c r="G773" s="41" t="n">
        <x:v>2972.977595</x:v>
      </x:c>
      <x:c r="H773" s="41" t="n">
        <x:f>IFERROR(E773/ABS(F773),"")</x:f>
        <x:v>0.4003371057211846</x:v>
      </x:c>
      <x:c r="I773" s="41" t="n">
        <x:v>13.537618</x:v>
      </x:c>
      <x:c r="J773" s="41" t="n">
        <x:v>-29.730748</x:v>
      </x:c>
      <x:c r="K773" s="41" t="n">
        <x:v>3133.291657</x:v>
      </x:c>
      <x:c r="L773" s="41" t="n">
        <x:f>IFERROR(I773/ABS(J773),"")</x:f>
        <x:v>0.45534064598711077</x:v>
      </x:c>
      <x:c r="M773" s="41" t="n">
        <x:v>6.802475</x:v>
      </x:c>
      <x:c r="N773" s="41" t="n">
        <x:v>-56.473669</x:v>
      </x:c>
      <x:c r="O773" s="41" t="n">
        <x:v>506.057416</x:v>
      </x:c>
      <x:c r="P773" s="41" t="n">
        <x:f>IFERROR(M773/ABS(N773),"")</x:f>
        <x:v>0.12045392340278087</x:v>
      </x:c>
      <x:c r="Q773" s="41" t="str">
        <x:f>IF(L773&gt;=MAX(H773,P773),"Weekly",IF(H773&gt;=MAX(L773,P773),"No weekly","SPY"))</x:f>
        <x:v>Weekly</x:v>
      </x:c>
      <x:c r="R773" s="41" t="n">
        <x:f>IFERROR(L773-P773,"")</x:f>
        <x:v>0.3348867225843299</x:v>
      </x:c>
      <x:c r="S773" s="41" t="n">
        <x:f>IFERROR(H773-P773,"")</x:f>
        <x:v>0.2798831823184037</x:v>
      </x:c>
      <x:c r="T773" s="41" t="n">
        <x:f>IFERROR(I773-M773,"")</x:f>
        <x:v>6.735143</x:v>
      </x:c>
      <x:c r="U773" s="41" t="n">
        <x:f>IFERROR(E773-M773,"")</x:f>
        <x:v>6.524451</x:v>
      </x:c>
      <x:c r="V773" s="41" t="str">
        <x:f>IF(AND(I773&gt;M773,J773&gt;N773),"Sí","No")</x:f>
        <x:v>Sí</x:v>
      </x:c>
      <x:c r="W773" s="41" t="str">
        <x:f>IF(AND(E773&gt;M773,F773&gt;N773),"Sí","No")</x:f>
        <x:v>Sí</x:v>
      </x:c>
      <x:c r="X773" s="41" t="str">
        <x:f>IF(L773&gt;=H773,"Weekly","No weekly")</x:f>
        <x:v>Weekly</x:v>
      </x:c>
      <x:c r="Y773" s="41" t="n">
        <x:f>IFERROR(I773-E773,"")</x:f>
        <x:v>0.21069199999999988</x:v>
      </x:c>
      <x:c r="Z773" s="41" t="n">
        <x:f>IFERROR(J773-F773,"")</x:f>
        <x:v>3.5585120000000003</x:v>
      </x:c>
      <x:c r="AA773" s="41" t="n">
        <x:v>11753</x:v>
      </x:c>
      <x:c r="AB773" s="41" t="n">
        <x:v>5594</x:v>
      </x:c>
    </x:row>
    <x:row r="774">
      <x:c r="A774" s="41" t="str">
        <x:v>HYP_REFINE_AUTO002_TOPN_6_V1_DDGRID_LONG_R12_C22_E75_CR45_REDD_RECOVERED_DD10_SL20</x:v>
      </x:c>
      <x:c r="B774" s="41" t="str">
        <x:v>dd_guard_grid</x:v>
      </x:c>
      <x:c r="C774" s="41" t="str">
        <x:v>1999-01-04</x:v>
      </x:c>
      <x:c r="D774" s="41" t="str">
        <x:v>2026-05-22</x:v>
      </x:c>
      <x:c r="E774" s="41" t="n">
        <x:v>13.555547</x:v>
      </x:c>
      <x:c r="F774" s="41" t="n">
        <x:v>-33.754857</x:v>
      </x:c>
      <x:c r="G774" s="41" t="n">
        <x:v>3147.299249</x:v>
      </x:c>
      <x:c r="H774" s="41" t="n">
        <x:f>IFERROR(E774/ABS(F774),"")</x:f>
        <x:v>0.4015880440554081</x:v>
      </x:c>
      <x:c r="I774" s="41" t="n">
        <x:v>13.562744</x:v>
      </x:c>
      <x:c r="J774" s="41" t="n">
        <x:v>-29.842062</x:v>
      </x:c>
      <x:c r="K774" s="41" t="n">
        <x:v>3152.938682</x:v>
      </x:c>
      <x:c r="L774" s="41" t="n">
        <x:f>IFERROR(I774/ABS(J774),"")</x:f>
        <x:v>0.4544841438905931</x:v>
      </x:c>
      <x:c r="M774" s="41" t="n">
        <x:v>6.802475</x:v>
      </x:c>
      <x:c r="N774" s="41" t="n">
        <x:v>-56.473669</x:v>
      </x:c>
      <x:c r="O774" s="41" t="n">
        <x:v>506.057416</x:v>
      </x:c>
      <x:c r="P774" s="41" t="n">
        <x:f>IFERROR(M774/ABS(N774),"")</x:f>
        <x:v>0.12045392340278087</x:v>
      </x:c>
      <x:c r="Q774" s="41" t="str">
        <x:f>IF(L774&gt;=MAX(H774,P774),"Weekly",IF(H774&gt;=MAX(L774,P774),"No weekly","SPY"))</x:f>
        <x:v>Weekly</x:v>
      </x:c>
      <x:c r="R774" s="41" t="n">
        <x:f>IFERROR(L774-P774,"")</x:f>
        <x:v>0.3340302204878122</x:v>
      </x:c>
      <x:c r="S774" s="41" t="n">
        <x:f>IFERROR(H774-P774,"")</x:f>
        <x:v>0.2811341206526272</x:v>
      </x:c>
      <x:c r="T774" s="41" t="n">
        <x:f>IFERROR(I774-M774,"")</x:f>
        <x:v>6.760269</x:v>
      </x:c>
      <x:c r="U774" s="41" t="n">
        <x:f>IFERROR(E774-M774,"")</x:f>
        <x:v>6.753072</x:v>
      </x:c>
      <x:c r="V774" s="41" t="str">
        <x:f>IF(AND(I774&gt;M774,J774&gt;N774),"Sí","No")</x:f>
        <x:v>Sí</x:v>
      </x:c>
      <x:c r="W774" s="41" t="str">
        <x:f>IF(AND(E774&gt;M774,F774&gt;N774),"Sí","No")</x:f>
        <x:v>Sí</x:v>
      </x:c>
      <x:c r="X774" s="41" t="str">
        <x:f>IF(L774&gt;=H774,"Weekly","No weekly")</x:f>
        <x:v>Weekly</x:v>
      </x:c>
      <x:c r="Y774" s="41" t="n">
        <x:f>IFERROR(I774-E774,"")</x:f>
        <x:v>0.007196999999999676</x:v>
      </x:c>
      <x:c r="Z774" s="41" t="n">
        <x:f>IFERROR(J774-F774,"")</x:f>
        <x:v>3.9127950000000027</x:v>
      </x:c>
      <x:c r="AA774" s="41" t="n">
        <x:v>11213</x:v>
      </x:c>
      <x:c r="AB774" s="41" t="n">
        <x:v>5156</x:v>
      </x:c>
    </x:row>
    <x:row r="775">
      <x:c r="A775" s="41" t="str">
        <x:v>HYP_REFINE_AUTO002_TOPN_6_V1_DDGRID_LONG_R12_C22_E75_CR45_REDD_RECOVERED_DD6_SL20</x:v>
      </x:c>
      <x:c r="B775" s="41" t="str">
        <x:v>dd_guard_grid</x:v>
      </x:c>
      <x:c r="C775" s="41" t="str">
        <x:v>1999-01-04</x:v>
      </x:c>
      <x:c r="D775" s="41" t="str">
        <x:v>2026-05-22</x:v>
      </x:c>
      <x:c r="E775" s="41" t="n">
        <x:v>14.123801</x:v>
      </x:c>
      <x:c r="F775" s="41" t="n">
        <x:v>-33.754857</x:v>
      </x:c>
      <x:c r="G775" s="41" t="n">
        <x:v>3622.849398</x:v>
      </x:c>
      <x:c r="H775" s="41" t="n">
        <x:f>IFERROR(E775/ABS(F775),"")</x:f>
        <x:v>0.4184227769058539</x:v>
      </x:c>
      <x:c r="I775" s="41" t="n">
        <x:v>13.371175</x:v>
      </x:c>
      <x:c r="J775" s="41" t="n">
        <x:v>-29.842062</x:v>
      </x:c>
      <x:c r="K775" s="41" t="n">
        <x:v>3005.9977</x:v>
      </x:c>
      <x:c r="L775" s="41" t="n">
        <x:f>IFERROR(I775/ABS(J775),"")</x:f>
        <x:v>0.4480647148310328</x:v>
      </x:c>
      <x:c r="M775" s="41" t="n">
        <x:v>6.802475</x:v>
      </x:c>
      <x:c r="N775" s="41" t="n">
        <x:v>-56.473669</x:v>
      </x:c>
      <x:c r="O775" s="41" t="n">
        <x:v>506.057416</x:v>
      </x:c>
      <x:c r="P775" s="41" t="n">
        <x:f>IFERROR(M775/ABS(N775),"")</x:f>
        <x:v>0.12045392340278087</x:v>
      </x:c>
      <x:c r="Q775" s="41" t="str">
        <x:f>IF(L775&gt;=MAX(H775,P775),"Weekly",IF(H775&gt;=MAX(L775,P775),"No weekly","SPY"))</x:f>
        <x:v>Weekly</x:v>
      </x:c>
      <x:c r="R775" s="41" t="n">
        <x:f>IFERROR(L775-P775,"")</x:f>
        <x:v>0.3276107914282519</x:v>
      </x:c>
      <x:c r="S775" s="41" t="n">
        <x:f>IFERROR(H775-P775,"")</x:f>
        <x:v>0.297968853503073</x:v>
      </x:c>
      <x:c r="T775" s="41" t="n">
        <x:f>IFERROR(I775-M775,"")</x:f>
        <x:v>6.568699999999999</x:v>
      </x:c>
      <x:c r="U775" s="41" t="n">
        <x:f>IFERROR(E775-M775,"")</x:f>
        <x:v>7.321326</x:v>
      </x:c>
      <x:c r="V775" s="41" t="str">
        <x:f>IF(AND(I775&gt;M775,J775&gt;N775),"Sí","No")</x:f>
        <x:v>Sí</x:v>
      </x:c>
      <x:c r="W775" s="41" t="str">
        <x:f>IF(AND(E775&gt;M775,F775&gt;N775),"Sí","No")</x:f>
        <x:v>Sí</x:v>
      </x:c>
      <x:c r="X775" s="41" t="str">
        <x:f>IF(L775&gt;=H775,"Weekly","No weekly")</x:f>
        <x:v>Weekly</x:v>
      </x:c>
      <x:c r="Y775" s="41" t="n">
        <x:f>IFERROR(I775-E775,"")</x:f>
        <x:v>-0.7526260000000011</x:v>
      </x:c>
      <x:c r="Z775" s="41" t="n">
        <x:f>IFERROR(J775-F775,"")</x:f>
        <x:v>3.9127950000000027</x:v>
      </x:c>
      <x:c r="AA775" s="41" t="n">
        <x:v>11798</x:v>
      </x:c>
      <x:c r="AB775" s="41" t="n">
        <x:v>5725</x:v>
      </x:c>
    </x:row>
    <x:row r="776">
      <x:c r="A776" s="41" t="str">
        <x:v>HYP_REFINE_AUTO002_TOPN_6_V1_DDGRID_LONG_R12_C22_E75_CR45_REDD_RECOVERED_DD7_SL18</x:v>
      </x:c>
      <x:c r="B776" s="41" t="str">
        <x:v>dd_guard_grid</x:v>
      </x:c>
      <x:c r="C776" s="41" t="str">
        <x:v>1999-01-04</x:v>
      </x:c>
      <x:c r="D776" s="41" t="str">
        <x:v>2026-05-22</x:v>
      </x:c>
      <x:c r="E776" s="41" t="n">
        <x:v>13.830814</x:v>
      </x:c>
      <x:c r="F776" s="41" t="n">
        <x:v>-32.880234</x:v>
      </x:c>
      <x:c r="G776" s="41" t="n">
        <x:v>3369.848143</x:v>
      </x:c>
      <x:c r="H776" s="41" t="n">
        <x:f>IFERROR(E776/ABS(F776),"")</x:f>
        <x:v>0.42064220102569827</x:v>
      </x:c>
      <x:c r="I776" s="41" t="n">
        <x:v>12.966637</x:v>
      </x:c>
      <x:c r="J776" s="41" t="n">
        <x:v>-30.147391</x:v>
      </x:c>
      <x:c r="K776" s="41" t="n">
        <x:v>2716.419987</x:v>
      </x:c>
      <x:c r="L776" s="41" t="n">
        <x:f>IFERROR(I776/ABS(J776),"")</x:f>
        <x:v>0.4301080979113583</x:v>
      </x:c>
      <x:c r="M776" s="41" t="n">
        <x:v>6.802475</x:v>
      </x:c>
      <x:c r="N776" s="41" t="n">
        <x:v>-56.473669</x:v>
      </x:c>
      <x:c r="O776" s="41" t="n">
        <x:v>506.057416</x:v>
      </x:c>
      <x:c r="P776" s="41" t="n">
        <x:f>IFERROR(M776/ABS(N776),"")</x:f>
        <x:v>0.12045392340278087</x:v>
      </x:c>
      <x:c r="Q776" s="41" t="str">
        <x:f>IF(L776&gt;=MAX(H776,P776),"Weekly",IF(H776&gt;=MAX(L776,P776),"No weekly","SPY"))</x:f>
        <x:v>Weekly</x:v>
      </x:c>
      <x:c r="R776" s="41" t="n">
        <x:f>IFERROR(L776-P776,"")</x:f>
        <x:v>0.3096541745085774</x:v>
      </x:c>
      <x:c r="S776" s="41" t="n">
        <x:f>IFERROR(H776-P776,"")</x:f>
        <x:v>0.3001882776229174</x:v>
      </x:c>
      <x:c r="T776" s="41" t="n">
        <x:f>IFERROR(I776-M776,"")</x:f>
        <x:v>6.164162</x:v>
      </x:c>
      <x:c r="U776" s="41" t="n">
        <x:f>IFERROR(E776-M776,"")</x:f>
        <x:v>7.028339</x:v>
      </x:c>
      <x:c r="V776" s="41" t="str">
        <x:f>IF(AND(I776&gt;M776,J776&gt;N776),"Sí","No")</x:f>
        <x:v>Sí</x:v>
      </x:c>
      <x:c r="W776" s="41" t="str">
        <x:f>IF(AND(E776&gt;M776,F776&gt;N776),"Sí","No")</x:f>
        <x:v>Sí</x:v>
      </x:c>
      <x:c r="X776" s="41" t="str">
        <x:f>IF(L776&gt;=H776,"Weekly","No weekly")</x:f>
        <x:v>Weekly</x:v>
      </x:c>
      <x:c r="Y776" s="41" t="n">
        <x:f>IFERROR(I776-E776,"")</x:f>
        <x:v>-0.8641769999999998</x:v>
      </x:c>
      <x:c r="Z776" s="41" t="n">
        <x:f>IFERROR(J776-F776,"")</x:f>
        <x:v>2.7328430000000026</x:v>
      </x:c>
      <x:c r="AA776" s="41" t="n">
        <x:v>11658</x:v>
      </x:c>
      <x:c r="AB776" s="41" t="n">
        <x:v>5502</x:v>
      </x:c>
    </x:row>
    <x:row r="777">
      <x:c r="A777" s="41" t="str">
        <x:v>HYP_REFINE_AUTO002_TOPN_6_V1_DDGRID_LONG_R12_C22_E75_CR45_REDD_RECOVERED_DD7_SL20</x:v>
      </x:c>
      <x:c r="B777" s="41" t="str">
        <x:v>dd_guard_grid</x:v>
      </x:c>
      <x:c r="C777" s="41" t="str">
        <x:v>1999-01-04</x:v>
      </x:c>
      <x:c r="D777" s="41" t="str">
        <x:v>2026-05-22</x:v>
      </x:c>
      <x:c r="E777" s="41" t="n">
        <x:v>13.740157</x:v>
      </x:c>
      <x:c r="F777" s="41" t="n">
        <x:v>-33.754857</x:v>
      </x:c>
      <x:c r="G777" s="41" t="n">
        <x:v>3294.9784</x:v>
      </x:c>
      <x:c r="H777" s="41" t="n">
        <x:f>IFERROR(E777/ABS(F777),"")</x:f>
        <x:v>0.4070571829114844</x:v>
      </x:c>
      <x:c r="I777" s="41" t="n">
        <x:v>13.619893</x:v>
      </x:c>
      <x:c r="J777" s="41" t="n">
        <x:v>-29.842062</x:v>
      </x:c>
      <x:c r="K777" s="41" t="n">
        <x:v>3198.056335</x:v>
      </x:c>
      <x:c r="L777" s="41" t="n">
        <x:f>IFERROR(I777/ABS(J777),"")</x:f>
        <x:v>0.45639919252228617</x:v>
      </x:c>
      <x:c r="M777" s="41" t="n">
        <x:v>6.802475</x:v>
      </x:c>
      <x:c r="N777" s="41" t="n">
        <x:v>-56.473669</x:v>
      </x:c>
      <x:c r="O777" s="41" t="n">
        <x:v>506.057416</x:v>
      </x:c>
      <x:c r="P777" s="41" t="n">
        <x:f>IFERROR(M777/ABS(N777),"")</x:f>
        <x:v>0.12045392340278087</x:v>
      </x:c>
      <x:c r="Q777" s="41" t="str">
        <x:f>IF(L777&gt;=MAX(H777,P777),"Weekly",IF(H777&gt;=MAX(L777,P777),"No weekly","SPY"))</x:f>
        <x:v>Weekly</x:v>
      </x:c>
      <x:c r="R777" s="41" t="n">
        <x:f>IFERROR(L777-P777,"")</x:f>
        <x:v>0.3359452691195053</x:v>
      </x:c>
      <x:c r="S777" s="41" t="n">
        <x:f>IFERROR(H777-P777,"")</x:f>
        <x:v>0.2866032595087035</x:v>
      </x:c>
      <x:c r="T777" s="41" t="n">
        <x:f>IFERROR(I777-M777,"")</x:f>
        <x:v>6.817417999999999</x:v>
      </x:c>
      <x:c r="U777" s="41" t="n">
        <x:f>IFERROR(E777-M777,"")</x:f>
        <x:v>6.937682</x:v>
      </x:c>
      <x:c r="V777" s="41" t="str">
        <x:f>IF(AND(I777&gt;M777,J777&gt;N777),"Sí","No")</x:f>
        <x:v>Sí</x:v>
      </x:c>
      <x:c r="W777" s="41" t="str">
        <x:f>IF(AND(E777&gt;M777,F777&gt;N777),"Sí","No")</x:f>
        <x:v>Sí</x:v>
      </x:c>
      <x:c r="X777" s="41" t="str">
        <x:f>IF(L777&gt;=H777,"Weekly","No weekly")</x:f>
        <x:v>Weekly</x:v>
      </x:c>
      <x:c r="Y777" s="41" t="n">
        <x:f>IFERROR(I777-E777,"")</x:f>
        <x:v>-0.12026400000000059</x:v>
      </x:c>
      <x:c r="Z777" s="41" t="n">
        <x:f>IFERROR(J777-F777,"")</x:f>
        <x:v>3.9127950000000027</x:v>
      </x:c>
      <x:c r="AA777" s="41" t="n">
        <x:v>11590</x:v>
      </x:c>
      <x:c r="AB777" s="41" t="n">
        <x:v>5585</x:v>
      </x:c>
    </x:row>
    <x:row r="778">
      <x:c r="A778" s="41" t="str">
        <x:v>HYP_REFINE_AUTO002_TOPN_6_V1_DDGRID_LONG_R12_C22_E75_CR45_REDD_RECOVERED_DD7_SL22</x:v>
      </x:c>
      <x:c r="B778" s="41" t="str">
        <x:v>dd_guard_grid</x:v>
      </x:c>
      <x:c r="C778" s="41" t="str">
        <x:v>1999-01-04</x:v>
      </x:c>
      <x:c r="D778" s="41" t="str">
        <x:v>2026-05-22</x:v>
      </x:c>
      <x:c r="E778" s="41" t="n">
        <x:v>13.587638</x:v>
      </x:c>
      <x:c r="F778" s="41" t="n">
        <x:v>-34.278714</x:v>
      </x:c>
      <x:c r="G778" s="41" t="n">
        <x:v>3172.518221</x:v>
      </x:c>
      <x:c r="H778" s="41" t="n">
        <x:f>IFERROR(E778/ABS(F778),"")</x:f>
        <x:v>0.3963870406573595</x:v>
      </x:c>
      <x:c r="I778" s="41" t="n">
        <x:v>13.87948</x:v>
      </x:c>
      <x:c r="J778" s="41" t="n">
        <x:v>-29.714556</x:v>
      </x:c>
      <x:c r="K778" s="41" t="n">
        <x:v>3410.693656</x:v>
      </x:c>
      <x:c r="L778" s="41" t="n">
        <x:f>IFERROR(I778/ABS(J778),"")</x:f>
        <x:v>0.46709363585981223</x:v>
      </x:c>
      <x:c r="M778" s="41" t="n">
        <x:v>6.802475</x:v>
      </x:c>
      <x:c r="N778" s="41" t="n">
        <x:v>-56.473669</x:v>
      </x:c>
      <x:c r="O778" s="41" t="n">
        <x:v>506.057416</x:v>
      </x:c>
      <x:c r="P778" s="41" t="n">
        <x:f>IFERROR(M778/ABS(N778),"")</x:f>
        <x:v>0.12045392340278087</x:v>
      </x:c>
      <x:c r="Q778" s="41" t="str">
        <x:f>IF(L778&gt;=MAX(H778,P778),"Weekly",IF(H778&gt;=MAX(L778,P778),"No weekly","SPY"))</x:f>
        <x:v>Weekly</x:v>
      </x:c>
      <x:c r="R778" s="41" t="n">
        <x:f>IFERROR(L778-P778,"")</x:f>
        <x:v>0.34663971245703135</x:v>
      </x:c>
      <x:c r="S778" s="41" t="n">
        <x:f>IFERROR(H778-P778,"")</x:f>
        <x:v>0.27593311725457864</x:v>
      </x:c>
      <x:c r="T778" s="41" t="n">
        <x:f>IFERROR(I778-M778,"")</x:f>
        <x:v>7.077004999999999</x:v>
      </x:c>
      <x:c r="U778" s="41" t="n">
        <x:f>IFERROR(E778-M778,"")</x:f>
        <x:v>6.785163</x:v>
      </x:c>
      <x:c r="V778" s="41" t="str">
        <x:f>IF(AND(I778&gt;M778,J778&gt;N778),"Sí","No")</x:f>
        <x:v>Sí</x:v>
      </x:c>
      <x:c r="W778" s="41" t="str">
        <x:f>IF(AND(E778&gt;M778,F778&gt;N778),"Sí","No")</x:f>
        <x:v>Sí</x:v>
      </x:c>
      <x:c r="X778" s="41" t="str">
        <x:f>IF(L778&gt;=H778,"Weekly","No weekly")</x:f>
        <x:v>Weekly</x:v>
      </x:c>
      <x:c r="Y778" s="41" t="n">
        <x:f>IFERROR(I778-E778,"")</x:f>
        <x:v>0.29184199999999905</x:v>
      </x:c>
      <x:c r="Z778" s="41" t="n">
        <x:f>IFERROR(J778-F778,"")</x:f>
        <x:v>4.564157999999999</x:v>
      </x:c>
      <x:c r="AA778" s="41" t="n">
        <x:v>11725</x:v>
      </x:c>
      <x:c r="AB778" s="41" t="n">
        <x:v>5645</x:v>
      </x:c>
    </x:row>
    <x:row r="779">
      <x:c r="A779" s="41" t="str">
        <x:v>HYP_REFINE_AUTO002_TOPN_6_V1_DDGRID_LONG_R12_C22_E75_CR45_REDD_RECOVERED_DD8_SL18</x:v>
      </x:c>
      <x:c r="B779" s="41" t="str">
        <x:v>dd_guard_grid</x:v>
      </x:c>
      <x:c r="C779" s="41" t="str">
        <x:v>1999-01-04</x:v>
      </x:c>
      <x:c r="D779" s="41" t="str">
        <x:v>2026-05-22</x:v>
      </x:c>
      <x:c r="E779" s="41" t="n">
        <x:v>13.428884</x:v>
      </x:c>
      <x:c r="F779" s="41" t="n">
        <x:v>-32.880929</x:v>
      </x:c>
      <x:c r="G779" s="41" t="n">
        <x:v>3049.576483</x:v>
      </x:c>
      <x:c r="H779" s="41" t="n">
        <x:f>IFERROR(E779/ABS(F779),"")</x:f>
        <x:v>0.40840950692117</x:v>
      </x:c>
      <x:c r="I779" s="41" t="n">
        <x:v>13.110879</x:v>
      </x:c>
      <x:c r="J779" s="41" t="n">
        <x:v>-30.147391</x:v>
      </x:c>
      <x:c r="K779" s="41" t="n">
        <x:v>2816.554039</x:v>
      </x:c>
      <x:c r="L779" s="41" t="n">
        <x:f>IFERROR(I779/ABS(J779),"")</x:f>
        <x:v>0.4348926578754361</x:v>
      </x:c>
      <x:c r="M779" s="41" t="n">
        <x:v>6.802475</x:v>
      </x:c>
      <x:c r="N779" s="41" t="n">
        <x:v>-56.473669</x:v>
      </x:c>
      <x:c r="O779" s="41" t="n">
        <x:v>506.057416</x:v>
      </x:c>
      <x:c r="P779" s="41" t="n">
        <x:f>IFERROR(M779/ABS(N779),"")</x:f>
        <x:v>0.12045392340278087</x:v>
      </x:c>
      <x:c r="Q779" s="41" t="str">
        <x:f>IF(L779&gt;=MAX(H779,P779),"Weekly",IF(H779&gt;=MAX(L779,P779),"No weekly","SPY"))</x:f>
        <x:v>Weekly</x:v>
      </x:c>
      <x:c r="R779" s="41" t="n">
        <x:f>IFERROR(L779-P779,"")</x:f>
        <x:v>0.3144387344726552</x:v>
      </x:c>
      <x:c r="S779" s="41" t="n">
        <x:f>IFERROR(H779-P779,"")</x:f>
        <x:v>0.2879555835183891</x:v>
      </x:c>
      <x:c r="T779" s="41" t="n">
        <x:f>IFERROR(I779-M779,"")</x:f>
        <x:v>6.308404</x:v>
      </x:c>
      <x:c r="U779" s="41" t="n">
        <x:f>IFERROR(E779-M779,"")</x:f>
        <x:v>6.626409</x:v>
      </x:c>
      <x:c r="V779" s="41" t="str">
        <x:f>IF(AND(I779&gt;M779,J779&gt;N779),"Sí","No")</x:f>
        <x:v>Sí</x:v>
      </x:c>
      <x:c r="W779" s="41" t="str">
        <x:f>IF(AND(E779&gt;M779,F779&gt;N779),"Sí","No")</x:f>
        <x:v>Sí</x:v>
      </x:c>
      <x:c r="X779" s="41" t="str">
        <x:f>IF(L779&gt;=H779,"Weekly","No weekly")</x:f>
        <x:v>Weekly</x:v>
      </x:c>
      <x:c r="Y779" s="41" t="n">
        <x:f>IFERROR(I779-E779,"")</x:f>
        <x:v>-0.3180049999999994</x:v>
      </x:c>
      <x:c r="Z779" s="41" t="n">
        <x:f>IFERROR(J779-F779,"")</x:f>
        <x:v>2.733538000000003</x:v>
      </x:c>
      <x:c r="AA779" s="41" t="n">
        <x:v>11490</x:v>
      </x:c>
      <x:c r="AB779" s="41" t="n">
        <x:v>5385</x:v>
      </x:c>
    </x:row>
    <x:row r="780">
      <x:c r="A780" s="41" t="str">
        <x:v>HYP_REFINE_AUTO002_TOPN_6_V1_DDGRID_LONG_R12_C22_E75_CR45_REDD_RECOVERED_DD8_SL20</x:v>
      </x:c>
      <x:c r="B780" s="41" t="str">
        <x:v>dd_guard_grid</x:v>
      </x:c>
      <x:c r="C780" s="41" t="str">
        <x:v>1999-01-04</x:v>
      </x:c>
      <x:c r="D780" s="41" t="str">
        <x:v>2026-05-22</x:v>
      </x:c>
      <x:c r="E780" s="41" t="n">
        <x:v>14.189268</x:v>
      </x:c>
      <x:c r="F780" s="41" t="n">
        <x:v>-33.754857</x:v>
      </x:c>
      <x:c r="G780" s="41" t="n">
        <x:v>3681.764125</x:v>
      </x:c>
      <x:c r="H780" s="41" t="n">
        <x:f>IFERROR(E780/ABS(F780),"")</x:f>
        <x:v>0.42036226075554106</x:v>
      </x:c>
      <x:c r="I780" s="41" t="n">
        <x:v>13.961714</x:v>
      </x:c>
      <x:c r="J780" s="41" t="n">
        <x:v>-29.842062</x:v>
      </x:c>
      <x:c r="K780" s="41" t="n">
        <x:v>3480.766566</x:v>
      </x:c>
      <x:c r="L780" s="41" t="n">
        <x:f>IFERROR(I780/ABS(J780),"")</x:f>
        <x:v>0.4678535283520288</x:v>
      </x:c>
      <x:c r="M780" s="41" t="n">
        <x:v>6.802475</x:v>
      </x:c>
      <x:c r="N780" s="41" t="n">
        <x:v>-56.473669</x:v>
      </x:c>
      <x:c r="O780" s="41" t="n">
        <x:v>506.057416</x:v>
      </x:c>
      <x:c r="P780" s="41" t="n">
        <x:f>IFERROR(M780/ABS(N780),"")</x:f>
        <x:v>0.12045392340278087</x:v>
      </x:c>
      <x:c r="Q780" s="41" t="str">
        <x:f>IF(L780&gt;=MAX(H780,P780),"Weekly",IF(H780&gt;=MAX(L780,P780),"No weekly","SPY"))</x:f>
        <x:v>Weekly</x:v>
      </x:c>
      <x:c r="R780" s="41" t="n">
        <x:f>IFERROR(L780-P780,"")</x:f>
        <x:v>0.34739960494924793</x:v>
      </x:c>
      <x:c r="S780" s="41" t="n">
        <x:f>IFERROR(H780-P780,"")</x:f>
        <x:v>0.2999083373527602</x:v>
      </x:c>
      <x:c r="T780" s="41" t="n">
        <x:f>IFERROR(I780-M780,"")</x:f>
        <x:v>7.159239</x:v>
      </x:c>
      <x:c r="U780" s="41" t="n">
        <x:f>IFERROR(E780-M780,"")</x:f>
        <x:v>7.386793</x:v>
      </x:c>
      <x:c r="V780" s="41" t="str">
        <x:f>IF(AND(I780&gt;M780,J780&gt;N780),"Sí","No")</x:f>
        <x:v>Sí</x:v>
      </x:c>
      <x:c r="W780" s="41" t="str">
        <x:f>IF(AND(E780&gt;M780,F780&gt;N780),"Sí","No")</x:f>
        <x:v>Sí</x:v>
      </x:c>
      <x:c r="X780" s="41" t="str">
        <x:f>IF(L780&gt;=H780,"Weekly","No weekly")</x:f>
        <x:v>Weekly</x:v>
      </x:c>
      <x:c r="Y780" s="41" t="n">
        <x:f>IFERROR(I780-E780,"")</x:f>
        <x:v>-0.2275539999999996</x:v>
      </x:c>
      <x:c r="Z780" s="41" t="n">
        <x:f>IFERROR(J780-F780,"")</x:f>
        <x:v>3.9127950000000027</x:v>
      </x:c>
      <x:c r="AA780" s="41" t="n">
        <x:v>11384</x:v>
      </x:c>
      <x:c r="AB780" s="41" t="n">
        <x:v>5369</x:v>
      </x:c>
    </x:row>
    <x:row r="781">
      <x:c r="A781" s="41" t="str">
        <x:v>HYP_REFINE_AUTO002_TOPN_6_V1_DDGRID_LONG_R12_C22_E75_CR45_REDD_RECOVERED_DD8_SL22</x:v>
      </x:c>
      <x:c r="B781" s="41" t="str">
        <x:v>dd_guard_grid</x:v>
      </x:c>
      <x:c r="C781" s="41" t="str">
        <x:v>1999-01-04</x:v>
      </x:c>
      <x:c r="D781" s="41" t="str">
        <x:v>2026-05-22</x:v>
      </x:c>
      <x:c r="E781" s="41" t="n">
        <x:v>13.782584</x:v>
      </x:c>
      <x:c r="F781" s="41" t="n">
        <x:v>-34.278714</x:v>
      </x:c>
      <x:c r="G781" s="41" t="n">
        <x:v>3329.821368</x:v>
      </x:c>
      <x:c r="H781" s="41" t="n">
        <x:f>IFERROR(E781/ABS(F781),"")</x:f>
        <x:v>0.40207412681817645</x:v>
      </x:c>
      <x:c r="I781" s="41" t="n">
        <x:v>14.158128</x:v>
      </x:c>
      <x:c r="J781" s="41" t="n">
        <x:v>-29.714556</x:v>
      </x:c>
      <x:c r="K781" s="41" t="n">
        <x:v>3653.629837</x:v>
      </x:c>
      <x:c r="L781" s="41" t="n">
        <x:f>IFERROR(I781/ABS(J781),"")</x:f>
        <x:v>0.4764711274837827</x:v>
      </x:c>
      <x:c r="M781" s="41" t="n">
        <x:v>6.802475</x:v>
      </x:c>
      <x:c r="N781" s="41" t="n">
        <x:v>-56.473669</x:v>
      </x:c>
      <x:c r="O781" s="41" t="n">
        <x:v>506.057416</x:v>
      </x:c>
      <x:c r="P781" s="41" t="n">
        <x:f>IFERROR(M781/ABS(N781),"")</x:f>
        <x:v>0.12045392340278087</x:v>
      </x:c>
      <x:c r="Q781" s="41" t="str">
        <x:f>IF(L781&gt;=MAX(H781,P781),"Weekly",IF(H781&gt;=MAX(L781,P781),"No weekly","SPY"))</x:f>
        <x:v>Weekly</x:v>
      </x:c>
      <x:c r="R781" s="41" t="n">
        <x:f>IFERROR(L781-P781,"")</x:f>
        <x:v>0.3560172040810018</x:v>
      </x:c>
      <x:c r="S781" s="41" t="n">
        <x:f>IFERROR(H781-P781,"")</x:f>
        <x:v>0.28162020341539556</x:v>
      </x:c>
      <x:c r="T781" s="41" t="n">
        <x:f>IFERROR(I781-M781,"")</x:f>
        <x:v>7.355652999999999</x:v>
      </x:c>
      <x:c r="U781" s="41" t="n">
        <x:f>IFERROR(E781-M781,"")</x:f>
        <x:v>6.980109</x:v>
      </x:c>
      <x:c r="V781" s="41" t="str">
        <x:f>IF(AND(I781&gt;M781,J781&gt;N781),"Sí","No")</x:f>
        <x:v>Sí</x:v>
      </x:c>
      <x:c r="W781" s="41" t="str">
        <x:f>IF(AND(E781&gt;M781,F781&gt;N781),"Sí","No")</x:f>
        <x:v>Sí</x:v>
      </x:c>
      <x:c r="X781" s="41" t="str">
        <x:f>IF(L781&gt;=H781,"Weekly","No weekly")</x:f>
        <x:v>Weekly</x:v>
      </x:c>
      <x:c r="Y781" s="41" t="n">
        <x:f>IFERROR(I781-E781,"")</x:f>
        <x:v>0.37554399999999966</x:v>
      </x:c>
      <x:c r="Z781" s="41" t="n">
        <x:f>IFERROR(J781-F781,"")</x:f>
        <x:v>4.564157999999999</x:v>
      </x:c>
      <x:c r="AA781" s="41" t="n">
        <x:v>11521</x:v>
      </x:c>
      <x:c r="AB781" s="41" t="n">
        <x:v>5597</x:v>
      </x:c>
    </x:row>
    <x:row r="782">
      <x:c r="A782" s="41" t="str">
        <x:v>HYP_REFINE_AUTO002_TOPN_6_V1_DDGRID_LONG_R12_C22_E75_CR45_REDD_RECOVERED_DD8_SL24</x:v>
      </x:c>
      <x:c r="B782" s="41" t="str">
        <x:v>dd_guard_grid</x:v>
      </x:c>
      <x:c r="C782" s="41" t="str">
        <x:v>1999-01-04</x:v>
      </x:c>
      <x:c r="D782" s="41" t="str">
        <x:v>2026-05-22</x:v>
      </x:c>
      <x:c r="E782" s="41" t="n">
        <x:v>12.495408</x:v>
      </x:c>
      <x:c r="F782" s="41" t="n">
        <x:v>-34.864887</x:v>
      </x:c>
      <x:c r="G782" s="41" t="n">
        <x:v>2411.854196</x:v>
      </x:c>
      <x:c r="H782" s="41" t="n">
        <x:f>IFERROR(E782/ABS(F782),"")</x:f>
        <x:v>0.3583951957165385</x:v>
      </x:c>
      <x:c r="I782" s="41" t="n">
        <x:v>14.098604</x:v>
      </x:c>
      <x:c r="J782" s="41" t="n">
        <x:v>-29.867351</x:v>
      </x:c>
      <x:c r="K782" s="41" t="n">
        <x:v>3600.411414</x:v>
      </x:c>
      <x:c r="L782" s="41" t="n">
        <x:f>IFERROR(I782/ABS(J782),"")</x:f>
        <x:v>0.47204065737199125</x:v>
      </x:c>
      <x:c r="M782" s="41" t="n">
        <x:v>6.802475</x:v>
      </x:c>
      <x:c r="N782" s="41" t="n">
        <x:v>-56.473669</x:v>
      </x:c>
      <x:c r="O782" s="41" t="n">
        <x:v>506.057416</x:v>
      </x:c>
      <x:c r="P782" s="41" t="n">
        <x:f>IFERROR(M782/ABS(N782),"")</x:f>
        <x:v>0.12045392340278087</x:v>
      </x:c>
      <x:c r="Q782" s="41" t="str">
        <x:f>IF(L782&gt;=MAX(H782,P782),"Weekly",IF(H782&gt;=MAX(L782,P782),"No weekly","SPY"))</x:f>
        <x:v>Weekly</x:v>
      </x:c>
      <x:c r="R782" s="41" t="n">
        <x:f>IFERROR(L782-P782,"")</x:f>
        <x:v>0.35158673396921036</x:v>
      </x:c>
      <x:c r="S782" s="41" t="n">
        <x:f>IFERROR(H782-P782,"")</x:f>
        <x:v>0.2379412723137576</x:v>
      </x:c>
      <x:c r="T782" s="41" t="n">
        <x:f>IFERROR(I782-M782,"")</x:f>
        <x:v>7.296129</x:v>
      </x:c>
      <x:c r="U782" s="41" t="n">
        <x:f>IFERROR(E782-M782,"")</x:f>
        <x:v>5.692932999999999</x:v>
      </x:c>
      <x:c r="V782" s="41" t="str">
        <x:f>IF(AND(I782&gt;M782,J782&gt;N782),"Sí","No")</x:f>
        <x:v>Sí</x:v>
      </x:c>
      <x:c r="W782" s="41" t="str">
        <x:f>IF(AND(E782&gt;M782,F782&gt;N782),"Sí","No")</x:f>
        <x:v>Sí</x:v>
      </x:c>
      <x:c r="X782" s="41" t="str">
        <x:f>IF(L782&gt;=H782,"Weekly","No weekly")</x:f>
        <x:v>Weekly</x:v>
      </x:c>
      <x:c r="Y782" s="41" t="n">
        <x:f>IFERROR(I782-E782,"")</x:f>
        <x:v>1.6031960000000005</x:v>
      </x:c>
      <x:c r="Z782" s="41" t="n">
        <x:f>IFERROR(J782-F782,"")</x:f>
        <x:v>4.997536000000004</x:v>
      </x:c>
      <x:c r="AA782" s="41" t="n">
        <x:v>11504</x:v>
      </x:c>
      <x:c r="AB782" s="41" t="n">
        <x:v>5839</x:v>
      </x:c>
    </x:row>
    <x:row r="783">
      <x:c r="A783" s="41" t="str">
        <x:v>HYP_REFINE_AUTO002_TOPN_6_V1_DDGRID_LONG_R12_C22_E75_CR45_REDD_RECOVERED_DD8_SLNONE</x:v>
      </x:c>
      <x:c r="B783" s="41" t="str">
        <x:v>dd_guard_grid</x:v>
      </x:c>
      <x:c r="C783" s="41" t="str">
        <x:v>1999-01-04</x:v>
      </x:c>
      <x:c r="D783" s="41" t="str">
        <x:v>2026-05-22</x:v>
      </x:c>
      <x:c r="E783" s="41" t="n">
        <x:v>12.951839</x:v>
      </x:c>
      <x:c r="F783" s="41" t="n">
        <x:v>-34.658845</x:v>
      </x:c>
      <x:c r="G783" s="41" t="n">
        <x:v>2706.337088</x:v>
      </x:c>
      <x:c r="H783" s="41" t="n">
        <x:f>IFERROR(E783/ABS(F783),"")</x:f>
        <x:v>0.37369505533147457</x:v>
      </x:c>
      <x:c r="I783" s="41" t="n">
        <x:v>14.292315</x:v>
      </x:c>
      <x:c r="J783" s="41" t="n">
        <x:v>-28.507531</x:v>
      </x:c>
      <x:c r="K783" s="41" t="n">
        <x:v>3776.321066</x:v>
      </x:c>
      <x:c r="L783" s="41" t="n">
        <x:f>IFERROR(I783/ABS(J783),"")</x:f>
        <x:v>0.5013522567071838</x:v>
      </x:c>
      <x:c r="M783" s="41" t="n">
        <x:v>6.802475</x:v>
      </x:c>
      <x:c r="N783" s="41" t="n">
        <x:v>-56.473669</x:v>
      </x:c>
      <x:c r="O783" s="41" t="n">
        <x:v>506.057416</x:v>
      </x:c>
      <x:c r="P783" s="41" t="n">
        <x:f>IFERROR(M783/ABS(N783),"")</x:f>
        <x:v>0.12045392340278087</x:v>
      </x:c>
      <x:c r="Q783" s="41" t="str">
        <x:f>IF(L783&gt;=MAX(H783,P783),"Weekly",IF(H783&gt;=MAX(L783,P783),"No weekly","SPY"))</x:f>
        <x:v>Weekly</x:v>
      </x:c>
      <x:c r="R783" s="41" t="n">
        <x:f>IFERROR(L783-P783,"")</x:f>
        <x:v>0.38089833330440287</x:v>
      </x:c>
      <x:c r="S783" s="41" t="n">
        <x:f>IFERROR(H783-P783,"")</x:f>
        <x:v>0.2532411319286937</x:v>
      </x:c>
      <x:c r="T783" s="41" t="n">
        <x:f>IFERROR(I783-M783,"")</x:f>
        <x:v>7.48984</x:v>
      </x:c>
      <x:c r="U783" s="41" t="n">
        <x:f>IFERROR(E783-M783,"")</x:f>
        <x:v>6.149363999999999</x:v>
      </x:c>
      <x:c r="V783" s="41" t="str">
        <x:f>IF(AND(I783&gt;M783,J783&gt;N783),"Sí","No")</x:f>
        <x:v>Sí</x:v>
      </x:c>
      <x:c r="W783" s="41" t="str">
        <x:f>IF(AND(E783&gt;M783,F783&gt;N783),"Sí","No")</x:f>
        <x:v>Sí</x:v>
      </x:c>
      <x:c r="X783" s="41" t="str">
        <x:f>IF(L783&gt;=H783,"Weekly","No weekly")</x:f>
        <x:v>Weekly</x:v>
      </x:c>
      <x:c r="Y783" s="41" t="n">
        <x:f>IFERROR(I783-E783,"")</x:f>
        <x:v>1.3404760000000007</x:v>
      </x:c>
      <x:c r="Z783" s="41" t="n">
        <x:f>IFERROR(J783-F783,"")</x:f>
        <x:v>6.151313999999999</x:v>
      </x:c>
      <x:c r="AA783" s="41" t="n">
        <x:v>11758</x:v>
      </x:c>
      <x:c r="AB783" s="41" t="n">
        <x:v>6204</x:v>
      </x:c>
    </x:row>
    <x:row r="784">
      <x:c r="A784" s="41" t="str">
        <x:v>HYP_REFINE_AUTO002_TOPN_6_V1_DDGRID_LONG_R12_C22_E75_CR45_REDD_RECOVERED_DD9_SL18</x:v>
      </x:c>
      <x:c r="B784" s="41" t="str">
        <x:v>dd_guard_grid</x:v>
      </x:c>
      <x:c r="C784" s="41" t="str">
        <x:v>1999-01-04</x:v>
      </x:c>
      <x:c r="D784" s="41" t="str">
        <x:v>2026-05-22</x:v>
      </x:c>
      <x:c r="E784" s="41" t="n">
        <x:v>13.010319</x:v>
      </x:c>
      <x:c r="F784" s="41" t="n">
        <x:v>-32.879641</x:v>
      </x:c>
      <x:c r="G784" s="41" t="n">
        <x:v>2746.389686</x:v>
      </x:c>
      <x:c r="H784" s="41" t="n">
        <x:f>IFERROR(E784/ABS(F784),"")</x:f>
        <x:v>0.39569528754891214</x:v>
      </x:c>
      <x:c r="I784" s="41" t="n">
        <x:v>13.057604</x:v>
      </x:c>
      <x:c r="J784" s="41" t="n">
        <x:v>-30.147391</x:v>
      </x:c>
      <x:c r="K784" s="41" t="n">
        <x:v>2779.177377</x:v>
      </x:c>
      <x:c r="L784" s="41" t="n">
        <x:f>IFERROR(I784/ABS(J784),"")</x:f>
        <x:v>0.43312550661514954</x:v>
      </x:c>
      <x:c r="M784" s="41" t="n">
        <x:v>6.802475</x:v>
      </x:c>
      <x:c r="N784" s="41" t="n">
        <x:v>-56.473669</x:v>
      </x:c>
      <x:c r="O784" s="41" t="n">
        <x:v>506.057416</x:v>
      </x:c>
      <x:c r="P784" s="41" t="n">
        <x:f>IFERROR(M784/ABS(N784),"")</x:f>
        <x:v>0.12045392340278087</x:v>
      </x:c>
      <x:c r="Q784" s="41" t="str">
        <x:f>IF(L784&gt;=MAX(H784,P784),"Weekly",IF(H784&gt;=MAX(L784,P784),"No weekly","SPY"))</x:f>
        <x:v>Weekly</x:v>
      </x:c>
      <x:c r="R784" s="41" t="n">
        <x:f>IFERROR(L784-P784,"")</x:f>
        <x:v>0.31267158321236865</x:v>
      </x:c>
      <x:c r="S784" s="41" t="n">
        <x:f>IFERROR(H784-P784,"")</x:f>
        <x:v>0.27524136414613126</x:v>
      </x:c>
      <x:c r="T784" s="41" t="n">
        <x:f>IFERROR(I784-M784,"")</x:f>
        <x:v>6.255128999999999</x:v>
      </x:c>
      <x:c r="U784" s="41" t="n">
        <x:f>IFERROR(E784-M784,"")</x:f>
        <x:v>6.207844000000001</x:v>
      </x:c>
      <x:c r="V784" s="41" t="str">
        <x:f>IF(AND(I784&gt;M784,J784&gt;N784),"Sí","No")</x:f>
        <x:v>Sí</x:v>
      </x:c>
      <x:c r="W784" s="41" t="str">
        <x:f>IF(AND(E784&gt;M784,F784&gt;N784),"Sí","No")</x:f>
        <x:v>Sí</x:v>
      </x:c>
      <x:c r="X784" s="41" t="str">
        <x:f>IF(L784&gt;=H784,"Weekly","No weekly")</x:f>
        <x:v>Weekly</x:v>
      </x:c>
      <x:c r="Y784" s="41" t="n">
        <x:f>IFERROR(I784-E784,"")</x:f>
        <x:v>0.04728499999999869</x:v>
      </x:c>
      <x:c r="Z784" s="41" t="n">
        <x:f>IFERROR(J784-F784,"")</x:f>
        <x:v>2.7322500000000005</x:v>
      </x:c>
      <x:c r="AA784" s="41" t="n">
        <x:v>11456</x:v>
      </x:c>
      <x:c r="AB784" s="41" t="n">
        <x:v>5203</x:v>
      </x:c>
    </x:row>
    <x:row r="785">
      <x:c r="A785" s="41" t="str">
        <x:v>HYP_REFINE_AUTO002_TOPN_6_V1_DDGRID_LONG_R12_C22_E75_CR45_REDD_RECOVERED_DD9_SL20</x:v>
      </x:c>
      <x:c r="B785" s="41" t="str">
        <x:v>dd_guard_grid</x:v>
      </x:c>
      <x:c r="C785" s="41" t="str">
        <x:v>1999-01-04</x:v>
      </x:c>
      <x:c r="D785" s="41" t="str">
        <x:v>2026-05-22</x:v>
      </x:c>
      <x:c r="E785" s="41" t="n">
        <x:v>13.918128</x:v>
      </x:c>
      <x:c r="F785" s="41" t="n">
        <x:v>-33.754857</x:v>
      </x:c>
      <x:c r="G785" s="41" t="n">
        <x:v>3443.459619</x:v>
      </x:c>
      <x:c r="H785" s="41" t="n">
        <x:f>IFERROR(E785/ABS(F785),"")</x:f>
        <x:v>0.41232963896129077</x:v>
      </x:c>
      <x:c r="I785" s="41" t="n">
        <x:v>13.231036</x:v>
      </x:c>
      <x:c r="J785" s="41" t="n">
        <x:v>-29.842062</x:v>
      </x:c>
      <x:c r="K785" s="41" t="n">
        <x:v>2902.57815</x:v>
      </x:c>
      <x:c r="L785" s="41" t="n">
        <x:f>IFERROR(I785/ABS(J785),"")</x:f>
        <x:v>0.4433686921500264</x:v>
      </x:c>
      <x:c r="M785" s="41" t="n">
        <x:v>6.802475</x:v>
      </x:c>
      <x:c r="N785" s="41" t="n">
        <x:v>-56.473669</x:v>
      </x:c>
      <x:c r="O785" s="41" t="n">
        <x:v>506.057416</x:v>
      </x:c>
      <x:c r="P785" s="41" t="n">
        <x:f>IFERROR(M785/ABS(N785),"")</x:f>
        <x:v>0.12045392340278087</x:v>
      </x:c>
      <x:c r="Q785" s="41" t="str">
        <x:f>IF(L785&gt;=MAX(H785,P785),"Weekly",IF(H785&gt;=MAX(L785,P785),"No weekly","SPY"))</x:f>
        <x:v>Weekly</x:v>
      </x:c>
      <x:c r="R785" s="41" t="n">
        <x:f>IFERROR(L785-P785,"")</x:f>
        <x:v>0.3229147687472455</x:v>
      </x:c>
      <x:c r="S785" s="41" t="n">
        <x:f>IFERROR(H785-P785,"")</x:f>
        <x:v>0.2918757155585099</x:v>
      </x:c>
      <x:c r="T785" s="41" t="n">
        <x:f>IFERROR(I785-M785,"")</x:f>
        <x:v>6.428560999999999</x:v>
      </x:c>
      <x:c r="U785" s="41" t="n">
        <x:f>IFERROR(E785-M785,"")</x:f>
        <x:v>7.115652999999999</x:v>
      </x:c>
      <x:c r="V785" s="41" t="str">
        <x:f>IF(AND(I785&gt;M785,J785&gt;N785),"Sí","No")</x:f>
        <x:v>Sí</x:v>
      </x:c>
      <x:c r="W785" s="41" t="str">
        <x:f>IF(AND(E785&gt;M785,F785&gt;N785),"Sí","No")</x:f>
        <x:v>Sí</x:v>
      </x:c>
      <x:c r="X785" s="41" t="str">
        <x:f>IF(L785&gt;=H785,"Weekly","No weekly")</x:f>
        <x:v>Weekly</x:v>
      </x:c>
      <x:c r="Y785" s="41" t="n">
        <x:f>IFERROR(I785-E785,"")</x:f>
        <x:v>-0.6870919999999998</x:v>
      </x:c>
      <x:c r="Z785" s="41" t="n">
        <x:f>IFERROR(J785-F785,"")</x:f>
        <x:v>3.9127950000000027</x:v>
      </x:c>
      <x:c r="AA785" s="41" t="n">
        <x:v>11742</x:v>
      </x:c>
      <x:c r="AB785" s="41" t="n">
        <x:v>5221</x:v>
      </x:c>
    </x:row>
    <x:row r="786">
      <x:c r="A786" s="41" t="str">
        <x:v>HYP_REFINE_AUTO002_TOPN_6_V1_DDGRID_LONG_R12_C22_E75_CR45_REDD_RECOVERED_DD9_SL22</x:v>
      </x:c>
      <x:c r="B786" s="41" t="str">
        <x:v>dd_guard_grid</x:v>
      </x:c>
      <x:c r="C786" s="41" t="str">
        <x:v>1999-01-04</x:v>
      </x:c>
      <x:c r="D786" s="41" t="str">
        <x:v>2026-05-22</x:v>
      </x:c>
      <x:c r="E786" s="41" t="n">
        <x:v>13.33917</x:v>
      </x:c>
      <x:c r="F786" s="41" t="n">
        <x:v>-34.278714</x:v>
      </x:c>
      <x:c r="G786" s="41" t="n">
        <x:v>2982.080979</x:v>
      </x:c>
      <x:c r="H786" s="41" t="n">
        <x:f>IFERROR(E786/ABS(F786),"")</x:f>
        <x:v>0.3891385773690343</x:v>
      </x:c>
      <x:c r="I786" s="41" t="n">
        <x:v>13.641017</x:v>
      </x:c>
      <x:c r="J786" s="41" t="n">
        <x:v>-29.714556</x:v>
      </x:c>
      <x:c r="K786" s="41" t="n">
        <x:v>3214.884868</x:v>
      </x:c>
      <x:c r="L786" s="41" t="n">
        <x:f>IFERROR(I786/ABS(J786),"")</x:f>
        <x:v>0.4590685117421912</x:v>
      </x:c>
      <x:c r="M786" s="41" t="n">
        <x:v>6.802475</x:v>
      </x:c>
      <x:c r="N786" s="41" t="n">
        <x:v>-56.473669</x:v>
      </x:c>
      <x:c r="O786" s="41" t="n">
        <x:v>506.057416</x:v>
      </x:c>
      <x:c r="P786" s="41" t="n">
        <x:f>IFERROR(M786/ABS(N786),"")</x:f>
        <x:v>0.12045392340278087</x:v>
      </x:c>
      <x:c r="Q786" s="41" t="str">
        <x:f>IF(L786&gt;=MAX(H786,P786),"Weekly",IF(H786&gt;=MAX(L786,P786),"No weekly","SPY"))</x:f>
        <x:v>Weekly</x:v>
      </x:c>
      <x:c r="R786" s="41" t="n">
        <x:f>IFERROR(L786-P786,"")</x:f>
        <x:v>0.3386145883394103</x:v>
      </x:c>
      <x:c r="S786" s="41" t="n">
        <x:f>IFERROR(H786-P786,"")</x:f>
        <x:v>0.2686846539662534</x:v>
      </x:c>
      <x:c r="T786" s="41" t="n">
        <x:f>IFERROR(I786-M786,"")</x:f>
        <x:v>6.8385419999999995</x:v>
      </x:c>
      <x:c r="U786" s="41" t="n">
        <x:f>IFERROR(E786-M786,"")</x:f>
        <x:v>6.536694999999999</x:v>
      </x:c>
      <x:c r="V786" s="41" t="str">
        <x:f>IF(AND(I786&gt;M786,J786&gt;N786),"Sí","No")</x:f>
        <x:v>Sí</x:v>
      </x:c>
      <x:c r="W786" s="41" t="str">
        <x:f>IF(AND(E786&gt;M786,F786&gt;N786),"Sí","No")</x:f>
        <x:v>Sí</x:v>
      </x:c>
      <x:c r="X786" s="41" t="str">
        <x:f>IF(L786&gt;=H786,"Weekly","No weekly")</x:f>
        <x:v>Weekly</x:v>
      </x:c>
      <x:c r="Y786" s="41" t="n">
        <x:f>IFERROR(I786-E786,"")</x:f>
        <x:v>0.3018470000000004</x:v>
      </x:c>
      <x:c r="Z786" s="41" t="n">
        <x:f>IFERROR(J786-F786,"")</x:f>
        <x:v>4.564157999999999</x:v>
      </x:c>
      <x:c r="AA786" s="41" t="n">
        <x:v>11704</x:v>
      </x:c>
      <x:c r="AB786" s="41" t="n">
        <x:v>5468</x:v>
      </x:c>
    </x:row>
    <x:row r="787">
      <x:c r="A787" s="41" t="str">
        <x:v>HYP_REFINE_AUTO002_TOPN_6_V1_DDGRID_LONG_R12_C22_E75_CR50_REDD_RECOVERED_DD7_SL18</x:v>
      </x:c>
      <x:c r="B787" s="41" t="str">
        <x:v>dd_guard_grid</x:v>
      </x:c>
      <x:c r="C787" s="41" t="str">
        <x:v>1999-01-04</x:v>
      </x:c>
      <x:c r="D787" s="41" t="str">
        <x:v>2026-05-22</x:v>
      </x:c>
      <x:c r="E787" s="41" t="n">
        <x:v>14.007178</x:v>
      </x:c>
      <x:c r="F787" s="41" t="n">
        <x:v>-33.946842</x:v>
      </x:c>
      <x:c r="G787" s="41" t="n">
        <x:v>3520.08357</x:v>
      </x:c>
      <x:c r="H787" s="41" t="n">
        <x:f>IFERROR(E787/ABS(F787),"")</x:f>
        <x:v>0.41262094423982065</x:v>
      </x:c>
      <x:c r="I787" s="41" t="n">
        <x:v>13.616481</x:v>
      </x:c>
      <x:c r="J787" s="41" t="n">
        <x:v>-30.624296</x:v>
      </x:c>
      <x:c r="K787" s="41" t="n">
        <x:v>3195.345864</x:v>
      </x:c>
      <x:c r="L787" s="41" t="n">
        <x:f>IFERROR(I787/ABS(J787),"")</x:f>
        <x:v>0.44463000880085535</x:v>
      </x:c>
      <x:c r="M787" s="41" t="n">
        <x:v>6.802475</x:v>
      </x:c>
      <x:c r="N787" s="41" t="n">
        <x:v>-56.473669</x:v>
      </x:c>
      <x:c r="O787" s="41" t="n">
        <x:v>506.057416</x:v>
      </x:c>
      <x:c r="P787" s="41" t="n">
        <x:f>IFERROR(M787/ABS(N787),"")</x:f>
        <x:v>0.12045392340278087</x:v>
      </x:c>
      <x:c r="Q787" s="41" t="str">
        <x:f>IF(L787&gt;=MAX(H787,P787),"Weekly",IF(H787&gt;=MAX(L787,P787),"No weekly","SPY"))</x:f>
        <x:v>Weekly</x:v>
      </x:c>
      <x:c r="R787" s="41" t="n">
        <x:f>IFERROR(L787-P787,"")</x:f>
        <x:v>0.32417608539807446</x:v>
      </x:c>
      <x:c r="S787" s="41" t="n">
        <x:f>IFERROR(H787-P787,"")</x:f>
        <x:v>0.29216702083703977</x:v>
      </x:c>
      <x:c r="T787" s="41" t="n">
        <x:f>IFERROR(I787-M787,"")</x:f>
        <x:v>6.814006</x:v>
      </x:c>
      <x:c r="U787" s="41" t="n">
        <x:f>IFERROR(E787-M787,"")</x:f>
        <x:v>7.204702999999999</x:v>
      </x:c>
      <x:c r="V787" s="41" t="str">
        <x:f>IF(AND(I787&gt;M787,J787&gt;N787),"Sí","No")</x:f>
        <x:v>Sí</x:v>
      </x:c>
      <x:c r="W787" s="41" t="str">
        <x:f>IF(AND(E787&gt;M787,F787&gt;N787),"Sí","No")</x:f>
        <x:v>Sí</x:v>
      </x:c>
      <x:c r="X787" s="41" t="str">
        <x:f>IF(L787&gt;=H787,"Weekly","No weekly")</x:f>
        <x:v>Weekly</x:v>
      </x:c>
      <x:c r="Y787" s="41" t="n">
        <x:f>IFERROR(I787-E787,"")</x:f>
        <x:v>-0.3906969999999994</x:v>
      </x:c>
      <x:c r="Z787" s="41" t="n">
        <x:f>IFERROR(J787-F787,"")</x:f>
        <x:v>3.3225459999999956</x:v>
      </x:c>
      <x:c r="AA787" s="41" t="n">
        <x:v>11438</x:v>
      </x:c>
      <x:c r="AB787" s="41" t="n">
        <x:v>5383</x:v>
      </x:c>
    </x:row>
    <x:row r="788">
      <x:c r="A788" s="41" t="str">
        <x:v>HYP_REFINE_AUTO002_TOPN_6_V1_DDGRID_LONG_R12_C22_E75_CR50_REDD_RECOVERED_DD8_SL20</x:v>
      </x:c>
      <x:c r="B788" s="41" t="str">
        <x:v>dd_guard_grid</x:v>
      </x:c>
      <x:c r="C788" s="41" t="str">
        <x:v>1999-01-04</x:v>
      </x:c>
      <x:c r="D788" s="41" t="str">
        <x:v>2026-05-22</x:v>
      </x:c>
      <x:c r="E788" s="41" t="n">
        <x:v>14.401143</x:v>
      </x:c>
      <x:c r="F788" s="41" t="n">
        <x:v>-35.17068</x:v>
      </x:c>
      <x:c r="G788" s="41" t="n">
        <x:v>3878.654269</x:v>
      </x:c>
      <x:c r="H788" s="41" t="n">
        <x:f>IFERROR(E788/ABS(F788),"")</x:f>
        <x:v>0.409464445953277</x:v>
      </x:c>
      <x:c r="I788" s="41" t="n">
        <x:v>14.590292</x:v>
      </x:c>
      <x:c r="J788" s="41" t="n">
        <x:v>-30.250145</x:v>
      </x:c>
      <x:c r="K788" s="41" t="n">
        <x:v>4062.739073</x:v>
      </x:c>
      <x:c r="L788" s="41" t="n">
        <x:f>IFERROR(I788/ABS(J788),"")</x:f>
        <x:v>0.48232139052556605</x:v>
      </x:c>
      <x:c r="M788" s="41" t="n">
        <x:v>6.802475</x:v>
      </x:c>
      <x:c r="N788" s="41" t="n">
        <x:v>-56.473669</x:v>
      </x:c>
      <x:c r="O788" s="41" t="n">
        <x:v>506.057416</x:v>
      </x:c>
      <x:c r="P788" s="41" t="n">
        <x:f>IFERROR(M788/ABS(N788),"")</x:f>
        <x:v>0.12045392340278087</x:v>
      </x:c>
      <x:c r="Q788" s="41" t="str">
        <x:f>IF(L788&gt;=MAX(H788,P788),"Weekly",IF(H788&gt;=MAX(L788,P788),"No weekly","SPY"))</x:f>
        <x:v>Weekly</x:v>
      </x:c>
      <x:c r="R788" s="41" t="n">
        <x:f>IFERROR(L788-P788,"")</x:f>
        <x:v>0.36186746712278517</x:v>
      </x:c>
      <x:c r="S788" s="41" t="n">
        <x:f>IFERROR(H788-P788,"")</x:f>
        <x:v>0.28901052255049614</x:v>
      </x:c>
      <x:c r="T788" s="41" t="n">
        <x:f>IFERROR(I788-M788,"")</x:f>
        <x:v>7.7878169999999995</x:v>
      </x:c>
      <x:c r="U788" s="41" t="n">
        <x:f>IFERROR(E788-M788,"")</x:f>
        <x:v>7.598667999999999</x:v>
      </x:c>
      <x:c r="V788" s="41" t="str">
        <x:f>IF(AND(I788&gt;M788,J788&gt;N788),"Sí","No")</x:f>
        <x:v>Sí</x:v>
      </x:c>
      <x:c r="W788" s="41" t="str">
        <x:f>IF(AND(E788&gt;M788,F788&gt;N788),"Sí","No")</x:f>
        <x:v>Sí</x:v>
      </x:c>
      <x:c r="X788" s="41" t="str">
        <x:f>IF(L788&gt;=H788,"Weekly","No weekly")</x:f>
        <x:v>Weekly</x:v>
      </x:c>
      <x:c r="Y788" s="41" t="n">
        <x:f>IFERROR(I788-E788,"")</x:f>
        <x:v>0.18914900000000046</x:v>
      </x:c>
      <x:c r="Z788" s="41" t="n">
        <x:f>IFERROR(J788-F788,"")</x:f>
        <x:v>4.920534999999997</x:v>
      </x:c>
      <x:c r="AA788" s="41" t="n">
        <x:v>11037</x:v>
      </x:c>
      <x:c r="AB788" s="41" t="n">
        <x:v>5429</x:v>
      </x:c>
    </x:row>
    <x:row r="789">
      <x:c r="A789" s="41" t="str">
        <x:v>HYP_REFINE_AUTO002_TOPN_6_V1_DDGRID_LONG_R12_C22_E78_CR33_REDD_RECOVERED_DD8_SL20</x:v>
      </x:c>
      <x:c r="B789" s="41" t="str">
        <x:v>dd_guard_grid</x:v>
      </x:c>
      <x:c r="C789" s="41" t="str">
        <x:v>1999-01-04</x:v>
      </x:c>
      <x:c r="D789" s="41" t="str">
        <x:v>2026-05-22</x:v>
      </x:c>
      <x:c r="E789" s="41" t="n">
        <x:v>10.895039</x:v>
      </x:c>
      <x:c r="F789" s="41" t="n">
        <x:v>-32.260048</x:v>
      </x:c>
      <x:c r="G789" s="41" t="n">
        <x:v>1596.784639</x:v>
      </x:c>
      <x:c r="H789" s="41" t="n">
        <x:f>IFERROR(E789/ABS(F789),"")</x:f>
        <x:v>0.3377254429379647</x:v>
      </x:c>
      <x:c r="I789" s="41" t="n">
        <x:v>12.093269</x:v>
      </x:c>
      <x:c r="J789" s="41" t="n">
        <x:v>-29.754264</x:v>
      </x:c>
      <x:c r="K789" s="41" t="n">
        <x:v>2177.265679</x:v>
      </x:c>
      <x:c r="L789" s="41" t="n">
        <x:f>IFERROR(I789/ABS(J789),"")</x:f>
        <x:v>0.4064381831121751</x:v>
      </x:c>
      <x:c r="M789" s="41" t="n">
        <x:v>6.802475</x:v>
      </x:c>
      <x:c r="N789" s="41" t="n">
        <x:v>-56.473669</x:v>
      </x:c>
      <x:c r="O789" s="41" t="n">
        <x:v>506.057416</x:v>
      </x:c>
      <x:c r="P789" s="41" t="n">
        <x:f>IFERROR(M789/ABS(N789),"")</x:f>
        <x:v>0.12045392340278087</x:v>
      </x:c>
      <x:c r="Q789" s="41" t="str">
        <x:f>IF(L789&gt;=MAX(H789,P789),"Weekly",IF(H789&gt;=MAX(L789,P789),"No weekly","SPY"))</x:f>
        <x:v>Weekly</x:v>
      </x:c>
      <x:c r="R789" s="41" t="n">
        <x:f>IFERROR(L789-P789,"")</x:f>
        <x:v>0.28598425970939423</x:v>
      </x:c>
      <x:c r="S789" s="41" t="n">
        <x:f>IFERROR(H789-P789,"")</x:f>
        <x:v>0.2172715195351838</x:v>
      </x:c>
      <x:c r="T789" s="41" t="n">
        <x:f>IFERROR(I789-M789,"")</x:f>
        <x:v>5.290793999999999</x:v>
      </x:c>
      <x:c r="U789" s="41" t="n">
        <x:f>IFERROR(E789-M789,"")</x:f>
        <x:v>4.092564</x:v>
      </x:c>
      <x:c r="V789" s="41" t="str">
        <x:f>IF(AND(I789&gt;M789,J789&gt;N789),"Sí","No")</x:f>
        <x:v>Sí</x:v>
      </x:c>
      <x:c r="W789" s="41" t="str">
        <x:f>IF(AND(E789&gt;M789,F789&gt;N789),"Sí","No")</x:f>
        <x:v>Sí</x:v>
      </x:c>
      <x:c r="X789" s="41" t="str">
        <x:f>IF(L789&gt;=H789,"Weekly","No weekly")</x:f>
        <x:v>Weekly</x:v>
      </x:c>
      <x:c r="Y789" s="41" t="n">
        <x:f>IFERROR(I789-E789,"")</x:f>
        <x:v>1.1982299999999988</x:v>
      </x:c>
      <x:c r="Z789" s="41" t="n">
        <x:f>IFERROR(J789-F789,"")</x:f>
        <x:v>2.5057839999999985</x:v>
      </x:c>
      <x:c r="AA789" s="41" t="n">
        <x:v>12272</x:v>
      </x:c>
      <x:c r="AB789" s="41" t="n">
        <x:v>6166</x:v>
      </x:c>
    </x:row>
    <x:row r="790">
      <x:c r="A790" s="41" t="str">
        <x:v>HYP_REFINE_AUTO002_TOPN_6_V1_DDGRID_LONG_R12_C22_E78_CR36_REDD_RECOVERED_DD8_SL20</x:v>
      </x:c>
      <x:c r="B790" s="41" t="str">
        <x:v>dd_guard_grid</x:v>
      </x:c>
      <x:c r="C790" s="41" t="str">
        <x:v>1999-01-04</x:v>
      </x:c>
      <x:c r="D790" s="41" t="str">
        <x:v>2026-05-22</x:v>
      </x:c>
      <x:c r="E790" s="41" t="n">
        <x:v>11.645978</x:v>
      </x:c>
      <x:c r="F790" s="41" t="n">
        <x:v>-32.455242</x:v>
      </x:c>
      <x:c r="G790" s="41" t="n">
        <x:v>1941.137301</x:v>
      </x:c>
      <x:c r="H790" s="41" t="n">
        <x:f>IFERROR(E790/ABS(F790),"")</x:f>
        <x:v>0.3588319569455067</x:v>
      </x:c>
      <x:c r="I790" s="41" t="n">
        <x:v>13.140918</x:v>
      </x:c>
      <x:c r="J790" s="41" t="n">
        <x:v>-30.856663</x:v>
      </x:c>
      <x:c r="K790" s="41" t="n">
        <x:v>2837.834295</x:v>
      </x:c>
      <x:c r="L790" s="41" t="n">
        <x:f>IFERROR(I790/ABS(J790),"")</x:f>
        <x:v>0.4258697060015854</x:v>
      </x:c>
      <x:c r="M790" s="41" t="n">
        <x:v>6.802475</x:v>
      </x:c>
      <x:c r="N790" s="41" t="n">
        <x:v>-56.473669</x:v>
      </x:c>
      <x:c r="O790" s="41" t="n">
        <x:v>506.057416</x:v>
      </x:c>
      <x:c r="P790" s="41" t="n">
        <x:f>IFERROR(M790/ABS(N790),"")</x:f>
        <x:v>0.12045392340278087</x:v>
      </x:c>
      <x:c r="Q790" s="41" t="str">
        <x:f>IF(L790&gt;=MAX(H790,P790),"Weekly",IF(H790&gt;=MAX(L790,P790),"No weekly","SPY"))</x:f>
        <x:v>Weekly</x:v>
      </x:c>
      <x:c r="R790" s="41" t="n">
        <x:f>IFERROR(L790-P790,"")</x:f>
        <x:v>0.30541578259880453</x:v>
      </x:c>
      <x:c r="S790" s="41" t="n">
        <x:f>IFERROR(H790-P790,"")</x:f>
        <x:v>0.2383780335427258</x:v>
      </x:c>
      <x:c r="T790" s="41" t="n">
        <x:f>IFERROR(I790-M790,"")</x:f>
        <x:v>6.338442999999999</x:v>
      </x:c>
      <x:c r="U790" s="41" t="n">
        <x:f>IFERROR(E790-M790,"")</x:f>
        <x:v>4.843502999999999</x:v>
      </x:c>
      <x:c r="V790" s="41" t="str">
        <x:f>IF(AND(I790&gt;M790,J790&gt;N790),"Sí","No")</x:f>
        <x:v>Sí</x:v>
      </x:c>
      <x:c r="W790" s="41" t="str">
        <x:f>IF(AND(E790&gt;M790,F790&gt;N790),"Sí","No")</x:f>
        <x:v>Sí</x:v>
      </x:c>
      <x:c r="X790" s="41" t="str">
        <x:f>IF(L790&gt;=H790,"Weekly","No weekly")</x:f>
        <x:v>Weekly</x:v>
      </x:c>
      <x:c r="Y790" s="41" t="n">
        <x:f>IFERROR(I790-E790,"")</x:f>
        <x:v>1.4949399999999997</x:v>
      </x:c>
      <x:c r="Z790" s="41" t="n">
        <x:f>IFERROR(J790-F790,"")</x:f>
        <x:v>1.5985789999999973</x:v>
      </x:c>
      <x:c r="AA790" s="41" t="n">
        <x:v>11964</x:v>
      </x:c>
      <x:c r="AB790" s="41" t="n">
        <x:v>6121</x:v>
      </x:c>
    </x:row>
    <x:row r="791">
      <x:c r="A791" s="41" t="str">
        <x:v>HYP_REFINE_AUTO002_TOPN_6_V1_DDGRID_LONG_R12_C22_E78_CR40_REDD_RECOVERED_DD10_SL18</x:v>
      </x:c>
      <x:c r="B791" s="41" t="str">
        <x:v>dd_guard_grid</x:v>
      </x:c>
      <x:c r="C791" s="41" t="str">
        <x:v>1999-01-04</x:v>
      </x:c>
      <x:c r="D791" s="41" t="str">
        <x:v>2026-05-22</x:v>
      </x:c>
      <x:c r="E791" s="41" t="n">
        <x:v>11.155716</x:v>
      </x:c>
      <x:c r="F791" s="41" t="n">
        <x:v>-31.850591</x:v>
      </x:c>
      <x:c r="G791" s="41" t="n">
        <x:v>1709.440064</x:v>
      </x:c>
      <x:c r="H791" s="41" t="n">
        <x:f>IFERROR(E791/ABS(F791),"")</x:f>
        <x:v>0.35025146001215485</x:v>
      </x:c>
      <x:c r="I791" s="41" t="n">
        <x:v>12.258919</x:v>
      </x:c>
      <x:c r="J791" s="41" t="n">
        <x:v>-29.985068</x:v>
      </x:c>
      <x:c r="K791" s="41" t="n">
        <x:v>2271.221565</x:v>
      </x:c>
      <x:c r="L791" s="41" t="n">
        <x:f>IFERROR(I791/ABS(J791),"")</x:f>
        <x:v>0.4088341237045052</x:v>
      </x:c>
      <x:c r="M791" s="41" t="n">
        <x:v>6.802475</x:v>
      </x:c>
      <x:c r="N791" s="41" t="n">
        <x:v>-56.473669</x:v>
      </x:c>
      <x:c r="O791" s="41" t="n">
        <x:v>506.057416</x:v>
      </x:c>
      <x:c r="P791" s="41" t="n">
        <x:f>IFERROR(M791/ABS(N791),"")</x:f>
        <x:v>0.12045392340278087</x:v>
      </x:c>
      <x:c r="Q791" s="41" t="str">
        <x:f>IF(L791&gt;=MAX(H791,P791),"Weekly",IF(H791&gt;=MAX(L791,P791),"No weekly","SPY"))</x:f>
        <x:v>Weekly</x:v>
      </x:c>
      <x:c r="R791" s="41" t="n">
        <x:f>IFERROR(L791-P791,"")</x:f>
        <x:v>0.28838020030172434</x:v>
      </x:c>
      <x:c r="S791" s="41" t="n">
        <x:f>IFERROR(H791-P791,"")</x:f>
        <x:v>0.22979753660937396</x:v>
      </x:c>
      <x:c r="T791" s="41" t="n">
        <x:f>IFERROR(I791-M791,"")</x:f>
        <x:v>5.456444</x:v>
      </x:c>
      <x:c r="U791" s="41" t="n">
        <x:f>IFERROR(E791-M791,"")</x:f>
        <x:v>4.353241</x:v>
      </x:c>
      <x:c r="V791" s="41" t="str">
        <x:f>IF(AND(I791&gt;M791,J791&gt;N791),"Sí","No")</x:f>
        <x:v>Sí</x:v>
      </x:c>
      <x:c r="W791" s="41" t="str">
        <x:f>IF(AND(E791&gt;M791,F791&gt;N791),"Sí","No")</x:f>
        <x:v>Sí</x:v>
      </x:c>
      <x:c r="X791" s="41" t="str">
        <x:f>IF(L791&gt;=H791,"Weekly","No weekly")</x:f>
        <x:v>Weekly</x:v>
      </x:c>
      <x:c r="Y791" s="41" t="n">
        <x:f>IFERROR(I791-E791,"")</x:f>
        <x:v>1.1032030000000006</x:v>
      </x:c>
      <x:c r="Z791" s="41" t="n">
        <x:f>IFERROR(J791-F791,"")</x:f>
        <x:v>1.8655230000000032</x:v>
      </x:c>
      <x:c r="AA791" s="41" t="n">
        <x:v>11417</x:v>
      </x:c>
      <x:c r="AB791" s="41" t="n">
        <x:v>5585</x:v>
      </x:c>
    </x:row>
    <x:row r="792">
      <x:c r="A792" s="41" t="str">
        <x:v>HYP_REFINE_AUTO002_TOPN_6_V1_DDGRID_LONG_R12_C22_E78_CR40_REDD_RECOVERED_DD10_SL20</x:v>
      </x:c>
      <x:c r="B792" s="41" t="str">
        <x:v>dd_guard_grid</x:v>
      </x:c>
      <x:c r="C792" s="41" t="str">
        <x:v>1999-01-04</x:v>
      </x:c>
      <x:c r="D792" s="41" t="str">
        <x:v>2026-05-22</x:v>
      </x:c>
      <x:c r="E792" s="41" t="n">
        <x:v>12.166648</x:v>
      </x:c>
      <x:c r="F792" s="41" t="n">
        <x:v>-33.055814</x:v>
      </x:c>
      <x:c r="G792" s="41" t="n">
        <x:v>2218.434333</x:v>
      </x:c>
      <x:c r="H792" s="41" t="n">
        <x:f>IFERROR(E792/ABS(F792),"")</x:f>
        <x:v>0.36806378448281446</x:v>
      </x:c>
      <x:c r="I792" s="41" t="n">
        <x:v>12.958969</x:v>
      </x:c>
      <x:c r="J792" s="41" t="n">
        <x:v>-29.178315</x:v>
      </x:c>
      <x:c r="K792" s="41" t="n">
        <x:v>2711.191271</x:v>
      </x:c>
      <x:c r="L792" s="41" t="n">
        <x:f>IFERROR(I792/ABS(J792),"")</x:f>
        <x:v>0.4441301356846685</x:v>
      </x:c>
      <x:c r="M792" s="41" t="n">
        <x:v>6.802475</x:v>
      </x:c>
      <x:c r="N792" s="41" t="n">
        <x:v>-56.473669</x:v>
      </x:c>
      <x:c r="O792" s="41" t="n">
        <x:v>506.057416</x:v>
      </x:c>
      <x:c r="P792" s="41" t="n">
        <x:f>IFERROR(M792/ABS(N792),"")</x:f>
        <x:v>0.12045392340278087</x:v>
      </x:c>
      <x:c r="Q792" s="41" t="str">
        <x:f>IF(L792&gt;=MAX(H792,P792),"Weekly",IF(H792&gt;=MAX(L792,P792),"No weekly","SPY"))</x:f>
        <x:v>Weekly</x:v>
      </x:c>
      <x:c r="R792" s="41" t="n">
        <x:f>IFERROR(L792-P792,"")</x:f>
        <x:v>0.32367621228188764</x:v>
      </x:c>
      <x:c r="S792" s="41" t="n">
        <x:f>IFERROR(H792-P792,"")</x:f>
        <x:v>0.24760986108003358</x:v>
      </x:c>
      <x:c r="T792" s="41" t="n">
        <x:f>IFERROR(I792-M792,"")</x:f>
        <x:v>6.1564939999999995</x:v>
      </x:c>
      <x:c r="U792" s="41" t="n">
        <x:f>IFERROR(E792-M792,"")</x:f>
        <x:v>5.364173</x:v>
      </x:c>
      <x:c r="V792" s="41" t="str">
        <x:f>IF(AND(I792&gt;M792,J792&gt;N792),"Sí","No")</x:f>
        <x:v>Sí</x:v>
      </x:c>
      <x:c r="W792" s="41" t="str">
        <x:f>IF(AND(E792&gt;M792,F792&gt;N792),"Sí","No")</x:f>
        <x:v>Sí</x:v>
      </x:c>
      <x:c r="X792" s="41" t="str">
        <x:f>IF(L792&gt;=H792,"Weekly","No weekly")</x:f>
        <x:v>Weekly</x:v>
      </x:c>
      <x:c r="Y792" s="41" t="n">
        <x:f>IFERROR(I792-E792,"")</x:f>
        <x:v>0.7923209999999994</x:v>
      </x:c>
      <x:c r="Z792" s="41" t="n">
        <x:f>IFERROR(J792-F792,"")</x:f>
        <x:v>3.8774989999999967</x:v>
      </x:c>
      <x:c r="AA792" s="41" t="n">
        <x:v>11389</x:v>
      </x:c>
      <x:c r="AB792" s="41" t="n">
        <x:v>5682</x:v>
      </x:c>
    </x:row>
    <x:row r="793">
      <x:c r="A793" s="41" t="str">
        <x:v>HYP_REFINE_AUTO002_TOPN_6_V1_DDGRID_LONG_R12_C22_E78_CR40_REDD_RECOVERED_DD6_SL18</x:v>
      </x:c>
      <x:c r="B793" s="41" t="str">
        <x:v>dd_guard_grid</x:v>
      </x:c>
      <x:c r="C793" s="41" t="str">
        <x:v>1999-01-04</x:v>
      </x:c>
      <x:c r="D793" s="41" t="str">
        <x:v>2026-05-22</x:v>
      </x:c>
      <x:c r="E793" s="41" t="n">
        <x:v>11.659923</x:v>
      </x:c>
      <x:c r="F793" s="41" t="n">
        <x:v>-31.850591</x:v>
      </x:c>
      <x:c r="G793" s="41" t="n">
        <x:v>1948.128546</x:v>
      </x:c>
      <x:c r="H793" s="41" t="n">
        <x:f>IFERROR(E793/ABS(F793),"")</x:f>
        <x:v>0.36608184130712046</x:v>
      </x:c>
      <x:c r="I793" s="41" t="n">
        <x:v>12.085878</x:v>
      </x:c>
      <x:c r="J793" s="41" t="n">
        <x:v>-29.985068</x:v>
      </x:c>
      <x:c r="K793" s="41" t="n">
        <x:v>2173.157938</x:v>
      </x:c>
      <x:c r="L793" s="41" t="n">
        <x:f>IFERROR(I793/ABS(J793),"")</x:f>
        <x:v>0.4030632179990387</x:v>
      </x:c>
      <x:c r="M793" s="41" t="n">
        <x:v>6.802475</x:v>
      </x:c>
      <x:c r="N793" s="41" t="n">
        <x:v>-56.473669</x:v>
      </x:c>
      <x:c r="O793" s="41" t="n">
        <x:v>506.057416</x:v>
      </x:c>
      <x:c r="P793" s="41" t="n">
        <x:f>IFERROR(M793/ABS(N793),"")</x:f>
        <x:v>0.12045392340278087</x:v>
      </x:c>
      <x:c r="Q793" s="41" t="str">
        <x:f>IF(L793&gt;=MAX(H793,P793),"Weekly",IF(H793&gt;=MAX(L793,P793),"No weekly","SPY"))</x:f>
        <x:v>Weekly</x:v>
      </x:c>
      <x:c r="R793" s="41" t="n">
        <x:f>IFERROR(L793-P793,"")</x:f>
        <x:v>0.28260929459625783</x:v>
      </x:c>
      <x:c r="S793" s="41" t="n">
        <x:f>IFERROR(H793-P793,"")</x:f>
        <x:v>0.24562791790433958</x:v>
      </x:c>
      <x:c r="T793" s="41" t="n">
        <x:f>IFERROR(I793-M793,"")</x:f>
        <x:v>5.283402999999999</x:v>
      </x:c>
      <x:c r="U793" s="41" t="n">
        <x:f>IFERROR(E793-M793,"")</x:f>
        <x:v>4.857447999999999</x:v>
      </x:c>
      <x:c r="V793" s="41" t="str">
        <x:f>IF(AND(I793&gt;M793,J793&gt;N793),"Sí","No")</x:f>
        <x:v>Sí</x:v>
      </x:c>
      <x:c r="W793" s="41" t="str">
        <x:f>IF(AND(E793&gt;M793,F793&gt;N793),"Sí","No")</x:f>
        <x:v>Sí</x:v>
      </x:c>
      <x:c r="X793" s="41" t="str">
        <x:f>IF(L793&gt;=H793,"Weekly","No weekly")</x:f>
        <x:v>Weekly</x:v>
      </x:c>
      <x:c r="Y793" s="41" t="n">
        <x:f>IFERROR(I793-E793,"")</x:f>
        <x:v>0.4259550000000001</x:v>
      </x:c>
      <x:c r="Z793" s="41" t="n">
        <x:f>IFERROR(J793-F793,"")</x:f>
        <x:v>1.8655230000000032</x:v>
      </x:c>
      <x:c r="AA793" s="41" t="n">
        <x:v>12192</x:v>
      </x:c>
      <x:c r="AB793" s="41" t="n">
        <x:v>5927</x:v>
      </x:c>
    </x:row>
    <x:row r="794">
      <x:c r="A794" s="41" t="str">
        <x:v>HYP_REFINE_AUTO002_TOPN_6_V1_DDGRID_LONG_R12_C22_E78_CR40_REDD_RECOVERED_DD6_SL20</x:v>
      </x:c>
      <x:c r="B794" s="41" t="str">
        <x:v>dd_guard_grid</x:v>
      </x:c>
      <x:c r="C794" s="41" t="str">
        <x:v>1999-01-04</x:v>
      </x:c>
      <x:c r="D794" s="41" t="str">
        <x:v>2026-05-22</x:v>
      </x:c>
      <x:c r="E794" s="41" t="n">
        <x:v>12.637347</x:v>
      </x:c>
      <x:c r="F794" s="41" t="n">
        <x:v>-33.055814</x:v>
      </x:c>
      <x:c r="G794" s="41" t="n">
        <x:v>2500.084046</x:v>
      </x:c>
      <x:c r="H794" s="41" t="n">
        <x:f>IFERROR(E794/ABS(F794),"")</x:f>
        <x:v>0.38230330676473434</x:v>
      </x:c>
      <x:c r="I794" s="41" t="n">
        <x:v>12.311944</x:v>
      </x:c>
      <x:c r="J794" s="41" t="n">
        <x:v>-29.481704</x:v>
      </x:c>
      <x:c r="K794" s="41" t="n">
        <x:v>2302.078134</x:v>
      </x:c>
      <x:c r="L794" s="41" t="n">
        <x:f>IFERROR(I794/ABS(J794),"")</x:f>
        <x:v>0.41761303892068113</x:v>
      </x:c>
      <x:c r="M794" s="41" t="n">
        <x:v>6.802475</x:v>
      </x:c>
      <x:c r="N794" s="41" t="n">
        <x:v>-56.473669</x:v>
      </x:c>
      <x:c r="O794" s="41" t="n">
        <x:v>506.057416</x:v>
      </x:c>
      <x:c r="P794" s="41" t="n">
        <x:f>IFERROR(M794/ABS(N794),"")</x:f>
        <x:v>0.12045392340278087</x:v>
      </x:c>
      <x:c r="Q794" s="41" t="str">
        <x:f>IF(L794&gt;=MAX(H794,P794),"Weekly",IF(H794&gt;=MAX(L794,P794),"No weekly","SPY"))</x:f>
        <x:v>Weekly</x:v>
      </x:c>
      <x:c r="R794" s="41" t="n">
        <x:f>IFERROR(L794-P794,"")</x:f>
        <x:v>0.29715911551790025</x:v>
      </x:c>
      <x:c r="S794" s="41" t="n">
        <x:f>IFERROR(H794-P794,"")</x:f>
        <x:v>0.26184938336195346</x:v>
      </x:c>
      <x:c r="T794" s="41" t="n">
        <x:f>IFERROR(I794-M794,"")</x:f>
        <x:v>5.509469</x:v>
      </x:c>
      <x:c r="U794" s="41" t="n">
        <x:f>IFERROR(E794-M794,"")</x:f>
        <x:v>5.834872</x:v>
      </x:c>
      <x:c r="V794" s="41" t="str">
        <x:f>IF(AND(I794&gt;M794,J794&gt;N794),"Sí","No")</x:f>
        <x:v>Sí</x:v>
      </x:c>
      <x:c r="W794" s="41" t="str">
        <x:f>IF(AND(E794&gt;M794,F794&gt;N794),"Sí","No")</x:f>
        <x:v>Sí</x:v>
      </x:c>
      <x:c r="X794" s="41" t="str">
        <x:f>IF(L794&gt;=H794,"Weekly","No weekly")</x:f>
        <x:v>Weekly</x:v>
      </x:c>
      <x:c r="Y794" s="41" t="n">
        <x:f>IFERROR(I794-E794,"")</x:f>
        <x:v>-0.32540299999999966</x:v>
      </x:c>
      <x:c r="Z794" s="41" t="n">
        <x:f>IFERROR(J794-F794,"")</x:f>
        <x:v>3.5741099999999975</x:v>
      </x:c>
      <x:c r="AA794" s="41" t="n">
        <x:v>12320</x:v>
      </x:c>
      <x:c r="AB794" s="41" t="n">
        <x:v>6381</x:v>
      </x:c>
    </x:row>
    <x:row r="795">
      <x:c r="A795" s="41" t="str">
        <x:v>HYP_REFINE_AUTO002_TOPN_6_V1_DDGRID_LONG_R12_C22_E78_CR40_REDD_RECOVERED_DD7_SL18</x:v>
      </x:c>
      <x:c r="B795" s="41" t="str">
        <x:v>dd_guard_grid</x:v>
      </x:c>
      <x:c r="C795" s="41" t="str">
        <x:v>1999-01-04</x:v>
      </x:c>
      <x:c r="D795" s="41" t="str">
        <x:v>2026-05-22</x:v>
      </x:c>
      <x:c r="E795" s="41" t="n">
        <x:v>11.445271</x:v>
      </x:c>
      <x:c r="F795" s="41" t="n">
        <x:v>-31.850591</x:v>
      </x:c>
      <x:c r="G795" s="41" t="n">
        <x:v>1843.021419</x:v>
      </x:c>
      <x:c r="H795" s="41" t="n">
        <x:f>IFERROR(E795/ABS(F795),"")</x:f>
        <x:v>0.35934250011247826</x:v>
      </x:c>
      <x:c r="I795" s="41" t="n">
        <x:v>12.067162</x:v>
      </x:c>
      <x:c r="J795" s="41" t="n">
        <x:v>-29.985068</x:v>
      </x:c>
      <x:c r="K795" s="41" t="n">
        <x:v>2162.789107</x:v>
      </x:c>
      <x:c r="L795" s="41" t="n">
        <x:f>IFERROR(I795/ABS(J795),"")</x:f>
        <x:v>0.4024390406585038</x:v>
      </x:c>
      <x:c r="M795" s="41" t="n">
        <x:v>6.802475</x:v>
      </x:c>
      <x:c r="N795" s="41" t="n">
        <x:v>-56.473669</x:v>
      </x:c>
      <x:c r="O795" s="41" t="n">
        <x:v>506.057416</x:v>
      </x:c>
      <x:c r="P795" s="41" t="n">
        <x:f>IFERROR(M795/ABS(N795),"")</x:f>
        <x:v>0.12045392340278087</x:v>
      </x:c>
      <x:c r="Q795" s="41" t="str">
        <x:f>IF(L795&gt;=MAX(H795,P795),"Weekly",IF(H795&gt;=MAX(L795,P795),"No weekly","SPY"))</x:f>
        <x:v>Weekly</x:v>
      </x:c>
      <x:c r="R795" s="41" t="n">
        <x:f>IFERROR(L795-P795,"")</x:f>
        <x:v>0.2819851172557229</x:v>
      </x:c>
      <x:c r="S795" s="41" t="n">
        <x:f>IFERROR(H795-P795,"")</x:f>
        <x:v>0.23888857670969738</x:v>
      </x:c>
      <x:c r="T795" s="41" t="n">
        <x:f>IFERROR(I795-M795,"")</x:f>
        <x:v>5.2646869999999995</x:v>
      </x:c>
      <x:c r="U795" s="41" t="n">
        <x:f>IFERROR(E795-M795,"")</x:f>
        <x:v>4.642796</x:v>
      </x:c>
      <x:c r="V795" s="41" t="str">
        <x:f>IF(AND(I795&gt;M795,J795&gt;N795),"Sí","No")</x:f>
        <x:v>Sí</x:v>
      </x:c>
      <x:c r="W795" s="41" t="str">
        <x:f>IF(AND(E795&gt;M795,F795&gt;N795),"Sí","No")</x:f>
        <x:v>Sí</x:v>
      </x:c>
      <x:c r="X795" s="41" t="str">
        <x:f>IF(L795&gt;=H795,"Weekly","No weekly")</x:f>
        <x:v>Weekly</x:v>
      </x:c>
      <x:c r="Y795" s="41" t="n">
        <x:f>IFERROR(I795-E795,"")</x:f>
        <x:v>0.6218909999999997</x:v>
      </x:c>
      <x:c r="Z795" s="41" t="n">
        <x:f>IFERROR(J795-F795,"")</x:f>
        <x:v>1.8655230000000032</x:v>
      </x:c>
      <x:c r="AA795" s="41" t="n">
        <x:v>12079</x:v>
      </x:c>
      <x:c r="AB795" s="41" t="n">
        <x:v>6170</x:v>
      </x:c>
    </x:row>
    <x:row r="796">
      <x:c r="A796" s="41" t="str">
        <x:v>HYP_REFINE_AUTO002_TOPN_6_V1_DDGRID_LONG_R12_C22_E78_CR40_REDD_RECOVERED_DD7_SL20</x:v>
      </x:c>
      <x:c r="B796" s="41" t="str">
        <x:v>dd_guard_grid</x:v>
      </x:c>
      <x:c r="C796" s="41" t="str">
        <x:v>1999-01-04</x:v>
      </x:c>
      <x:c r="D796" s="41" t="str">
        <x:v>2026-05-22</x:v>
      </x:c>
      <x:c r="E796" s="41" t="n">
        <x:v>12.688278</x:v>
      </x:c>
      <x:c r="F796" s="41" t="n">
        <x:v>-33.055814</x:v>
      </x:c>
      <x:c r="G796" s="41" t="n">
        <x:v>2532.464646</x:v>
      </x:c>
      <x:c r="H796" s="41" t="n">
        <x:f>IFERROR(E796/ABS(F796),"")</x:f>
        <x:v>0.38384406446623887</x:v>
      </x:c>
      <x:c r="I796" s="41" t="n">
        <x:v>12.356396</x:v>
      </x:c>
      <x:c r="J796" s="41" t="n">
        <x:v>-29.481704</x:v>
      </x:c>
      <x:c r="K796" s="41" t="n">
        <x:v>2328.243976</x:v>
      </x:c>
      <x:c r="L796" s="41" t="n">
        <x:f>IFERROR(I796/ABS(J796),"")</x:f>
        <x:v>0.4191208215101814</x:v>
      </x:c>
      <x:c r="M796" s="41" t="n">
        <x:v>6.802475</x:v>
      </x:c>
      <x:c r="N796" s="41" t="n">
        <x:v>-56.473669</x:v>
      </x:c>
      <x:c r="O796" s="41" t="n">
        <x:v>506.057416</x:v>
      </x:c>
      <x:c r="P796" s="41" t="n">
        <x:f>IFERROR(M796/ABS(N796),"")</x:f>
        <x:v>0.12045392340278087</x:v>
      </x:c>
      <x:c r="Q796" s="41" t="str">
        <x:f>IF(L796&gt;=MAX(H796,P796),"Weekly",IF(H796&gt;=MAX(L796,P796),"No weekly","SPY"))</x:f>
        <x:v>Weekly</x:v>
      </x:c>
      <x:c r="R796" s="41" t="n">
        <x:f>IFERROR(L796-P796,"")</x:f>
        <x:v>0.2986668981074005</x:v>
      </x:c>
      <x:c r="S796" s="41" t="n">
        <x:f>IFERROR(H796-P796,"")</x:f>
        <x:v>0.263390141063458</x:v>
      </x:c>
      <x:c r="T796" s="41" t="n">
        <x:f>IFERROR(I796-M796,"")</x:f>
        <x:v>5.553921</x:v>
      </x:c>
      <x:c r="U796" s="41" t="n">
        <x:f>IFERROR(E796-M796,"")</x:f>
        <x:v>5.885803</x:v>
      </x:c>
      <x:c r="V796" s="41" t="str">
        <x:f>IF(AND(I796&gt;M796,J796&gt;N796),"Sí","No")</x:f>
        <x:v>Sí</x:v>
      </x:c>
      <x:c r="W796" s="41" t="str">
        <x:f>IF(AND(E796&gt;M796,F796&gt;N796),"Sí","No")</x:f>
        <x:v>Sí</x:v>
      </x:c>
      <x:c r="X796" s="41" t="str">
        <x:f>IF(L796&gt;=H796,"Weekly","No weekly")</x:f>
        <x:v>Weekly</x:v>
      </x:c>
      <x:c r="Y796" s="41" t="n">
        <x:f>IFERROR(I796-E796,"")</x:f>
        <x:v>-0.33188200000000023</x:v>
      </x:c>
      <x:c r="Z796" s="41" t="n">
        <x:f>IFERROR(J796-F796,"")</x:f>
        <x:v>3.5741099999999975</x:v>
      </x:c>
      <x:c r="AA796" s="41" t="n">
        <x:v>12161</x:v>
      </x:c>
      <x:c r="AB796" s="41" t="n">
        <x:v>6242</x:v>
      </x:c>
    </x:row>
    <x:row r="797">
      <x:c r="A797" s="41" t="str">
        <x:v>HYP_REFINE_AUTO002_TOPN_6_V1_DDGRID_LONG_R12_C22_E78_CR40_REDD_RECOVERED_DD7_SL22</x:v>
      </x:c>
      <x:c r="B797" s="41" t="str">
        <x:v>dd_guard_grid</x:v>
      </x:c>
      <x:c r="C797" s="41" t="str">
        <x:v>1999-01-04</x:v>
      </x:c>
      <x:c r="D797" s="41" t="str">
        <x:v>2026-05-22</x:v>
      </x:c>
      <x:c r="E797" s="41" t="n">
        <x:v>12.699377</x:v>
      </x:c>
      <x:c r="F797" s="41" t="n">
        <x:v>-33.643498</x:v>
      </x:c>
      <x:c r="G797" s="41" t="n">
        <x:v>2539.572449</x:v>
      </x:c>
      <x:c r="H797" s="41" t="n">
        <x:f>IFERROR(E797/ABS(F797),"")</x:f>
        <x:v>0.3774689837543052</x:v>
      </x:c>
      <x:c r="I797" s="41" t="n">
        <x:v>12.238715</x:v>
      </x:c>
      <x:c r="J797" s="41" t="n">
        <x:v>-29.776406</x:v>
      </x:c>
      <x:c r="K797" s="41" t="n">
        <x:v>2259.564655</x:v>
      </x:c>
      <x:c r="L797" s="41" t="n">
        <x:f>IFERROR(I797/ABS(J797),"")</x:f>
        <x:v>0.4110205576858402</x:v>
      </x:c>
      <x:c r="M797" s="41" t="n">
        <x:v>6.802475</x:v>
      </x:c>
      <x:c r="N797" s="41" t="n">
        <x:v>-56.473669</x:v>
      </x:c>
      <x:c r="O797" s="41" t="n">
        <x:v>506.057416</x:v>
      </x:c>
      <x:c r="P797" s="41" t="n">
        <x:f>IFERROR(M797/ABS(N797),"")</x:f>
        <x:v>0.12045392340278087</x:v>
      </x:c>
      <x:c r="Q797" s="41" t="str">
        <x:f>IF(L797&gt;=MAX(H797,P797),"Weekly",IF(H797&gt;=MAX(L797,P797),"No weekly","SPY"))</x:f>
        <x:v>Weekly</x:v>
      </x:c>
      <x:c r="R797" s="41" t="n">
        <x:f>IFERROR(L797-P797,"")</x:f>
        <x:v>0.29056663428305934</x:v>
      </x:c>
      <x:c r="S797" s="41" t="n">
        <x:f>IFERROR(H797-P797,"")</x:f>
        <x:v>0.2570150603515243</x:v>
      </x:c>
      <x:c r="T797" s="41" t="n">
        <x:f>IFERROR(I797-M797,"")</x:f>
        <x:v>5.436239999999999</x:v>
      </x:c>
      <x:c r="U797" s="41" t="n">
        <x:f>IFERROR(E797-M797,"")</x:f>
        <x:v>5.896902</x:v>
      </x:c>
      <x:c r="V797" s="41" t="str">
        <x:f>IF(AND(I797&gt;M797,J797&gt;N797),"Sí","No")</x:f>
        <x:v>Sí</x:v>
      </x:c>
      <x:c r="W797" s="41" t="str">
        <x:f>IF(AND(E797&gt;M797,F797&gt;N797),"Sí","No")</x:f>
        <x:v>Sí</x:v>
      </x:c>
      <x:c r="X797" s="41" t="str">
        <x:f>IF(L797&gt;=H797,"Weekly","No weekly")</x:f>
        <x:v>Weekly</x:v>
      </x:c>
      <x:c r="Y797" s="41" t="n">
        <x:f>IFERROR(I797-E797,"")</x:f>
        <x:v>-0.460662000000001</x:v>
      </x:c>
      <x:c r="Z797" s="41" t="n">
        <x:f>IFERROR(J797-F797,"")</x:f>
        <x:v>3.8670919999999995</x:v>
      </x:c>
      <x:c r="AA797" s="41" t="n">
        <x:v>12334</x:v>
      </x:c>
      <x:c r="AB797" s="41" t="n">
        <x:v>5898</x:v>
      </x:c>
    </x:row>
    <x:row r="798">
      <x:c r="A798" s="41" t="str">
        <x:v>HYP_REFINE_AUTO002_TOPN_6_V1_DDGRID_LONG_R12_C22_E78_CR40_REDD_RECOVERED_DD7_SL24</x:v>
      </x:c>
      <x:c r="B798" s="41" t="str">
        <x:v>dd_guard_grid</x:v>
      </x:c>
      <x:c r="C798" s="41" t="str">
        <x:v>1999-01-04</x:v>
      </x:c>
      <x:c r="D798" s="41" t="str">
        <x:v>2026-05-22</x:v>
      </x:c>
      <x:c r="E798" s="41" t="n">
        <x:v>11.419585</x:v>
      </x:c>
      <x:c r="F798" s="41" t="n">
        <x:v>-34.555388</x:v>
      </x:c>
      <x:c r="G798" s="41" t="n">
        <x:v>1830.797999</x:v>
      </x:c>
      <x:c r="H798" s="41" t="n">
        <x:f>IFERROR(E798/ABS(F798),"")</x:f>
        <x:v>0.33047190788307745</x:v>
      </x:c>
      <x:c r="I798" s="41" t="n">
        <x:v>11.812298</x:v>
      </x:c>
      <x:c r="J798" s="41" t="n">
        <x:v>-31.163514</x:v>
      </x:c>
      <x:c r="K798" s="41" t="n">
        <x:v>2026.04358</x:v>
      </x:c>
      <x:c r="L798" s="41" t="n">
        <x:f>IFERROR(I798/ABS(J798),"")</x:f>
        <x:v>0.37904255598389835</x:v>
      </x:c>
      <x:c r="M798" s="41" t="n">
        <x:v>6.802475</x:v>
      </x:c>
      <x:c r="N798" s="41" t="n">
        <x:v>-56.473669</x:v>
      </x:c>
      <x:c r="O798" s="41" t="n">
        <x:v>506.057416</x:v>
      </x:c>
      <x:c r="P798" s="41" t="n">
        <x:f>IFERROR(M798/ABS(N798),"")</x:f>
        <x:v>0.12045392340278087</x:v>
      </x:c>
      <x:c r="Q798" s="41" t="str">
        <x:f>IF(L798&gt;=MAX(H798,P798),"Weekly",IF(H798&gt;=MAX(L798,P798),"No weekly","SPY"))</x:f>
        <x:v>Weekly</x:v>
      </x:c>
      <x:c r="R798" s="41" t="n">
        <x:f>IFERROR(L798-P798,"")</x:f>
        <x:v>0.2585886325811175</x:v>
      </x:c>
      <x:c r="S798" s="41" t="n">
        <x:f>IFERROR(H798-P798,"")</x:f>
        <x:v>0.21001798448029657</x:v>
      </x:c>
      <x:c r="T798" s="41" t="n">
        <x:f>IFERROR(I798-M798,"")</x:f>
        <x:v>5.009823</x:v>
      </x:c>
      <x:c r="U798" s="41" t="n">
        <x:f>IFERROR(E798-M798,"")</x:f>
        <x:v>4.617109999999999</x:v>
      </x:c>
      <x:c r="V798" s="41" t="str">
        <x:f>IF(AND(I798&gt;M798,J798&gt;N798),"Sí","No")</x:f>
        <x:v>Sí</x:v>
      </x:c>
      <x:c r="W798" s="41" t="str">
        <x:f>IF(AND(E798&gt;M798,F798&gt;N798),"Sí","No")</x:f>
        <x:v>Sí</x:v>
      </x:c>
      <x:c r="X798" s="41" t="str">
        <x:f>IF(L798&gt;=H798,"Weekly","No weekly")</x:f>
        <x:v>Weekly</x:v>
      </x:c>
      <x:c r="Y798" s="41" t="n">
        <x:f>IFERROR(I798-E798,"")</x:f>
        <x:v>0.39271300000000053</x:v>
      </x:c>
      <x:c r="Z798" s="41" t="n">
        <x:f>IFERROR(J798-F798,"")</x:f>
        <x:v>3.3918740000000014</x:v>
      </x:c>
      <x:c r="AA798" s="41" t="n">
        <x:v>12515</x:v>
      </x:c>
      <x:c r="AB798" s="41" t="n">
        <x:v>6068</x:v>
      </x:c>
    </x:row>
    <x:row r="799">
      <x:c r="A799" s="41" t="str">
        <x:v>HYP_REFINE_AUTO002_TOPN_6_V1_DDGRID_LONG_R12_C22_E78_CR40_REDD_RECOVERED_DD7_SLNONE</x:v>
      </x:c>
      <x:c r="B799" s="41" t="str">
        <x:v>dd_guard_grid</x:v>
      </x:c>
      <x:c r="C799" s="41" t="str">
        <x:v>1999-01-04</x:v>
      </x:c>
      <x:c r="D799" s="41" t="str">
        <x:v>2026-05-22</x:v>
      </x:c>
      <x:c r="E799" s="41" t="n">
        <x:v>12.450598</x:v>
      </x:c>
      <x:c r="F799" s="41" t="n">
        <x:v>-33.892678</x:v>
      </x:c>
      <x:c r="G799" s="41" t="n">
        <x:v>2384.604009</x:v>
      </x:c>
      <x:c r="H799" s="41" t="n">
        <x:f>IFERROR(E799/ABS(F799),"")</x:f>
        <x:v>0.3673536213337878</x:v>
      </x:c>
      <x:c r="I799" s="41" t="n">
        <x:v>13.129149</x:v>
      </x:c>
      <x:c r="J799" s="41" t="n">
        <x:v>-29.769101</x:v>
      </x:c>
      <x:c r="K799" s="41" t="n">
        <x:v>2829.478979</x:v>
      </x:c>
      <x:c r="L799" s="41" t="n">
        <x:f>IFERROR(I799/ABS(J799),"")</x:f>
        <x:v>0.4410327674994284</x:v>
      </x:c>
      <x:c r="M799" s="41" t="n">
        <x:v>6.802475</x:v>
      </x:c>
      <x:c r="N799" s="41" t="n">
        <x:v>-56.473669</x:v>
      </x:c>
      <x:c r="O799" s="41" t="n">
        <x:v>506.057416</x:v>
      </x:c>
      <x:c r="P799" s="41" t="n">
        <x:f>IFERROR(M799/ABS(N799),"")</x:f>
        <x:v>0.12045392340278087</x:v>
      </x:c>
      <x:c r="Q799" s="41" t="str">
        <x:f>IF(L799&gt;=MAX(H799,P799),"Weekly",IF(H799&gt;=MAX(L799,P799),"No weekly","SPY"))</x:f>
        <x:v>Weekly</x:v>
      </x:c>
      <x:c r="R799" s="41" t="n">
        <x:f>IFERROR(L799-P799,"")</x:f>
        <x:v>0.3205788440966475</x:v>
      </x:c>
      <x:c r="S799" s="41" t="n">
        <x:f>IFERROR(H799-P799,"")</x:f>
        <x:v>0.2468996979310069</x:v>
      </x:c>
      <x:c r="T799" s="41" t="n">
        <x:f>IFERROR(I799-M799,"")</x:f>
        <x:v>6.326674</x:v>
      </x:c>
      <x:c r="U799" s="41" t="n">
        <x:f>IFERROR(E799-M799,"")</x:f>
        <x:v>5.648122999999999</x:v>
      </x:c>
      <x:c r="V799" s="41" t="str">
        <x:f>IF(AND(I799&gt;M799,J799&gt;N799),"Sí","No")</x:f>
        <x:v>Sí</x:v>
      </x:c>
      <x:c r="W799" s="41" t="str">
        <x:f>IF(AND(E799&gt;M799,F799&gt;N799),"Sí","No")</x:f>
        <x:v>Sí</x:v>
      </x:c>
      <x:c r="X799" s="41" t="str">
        <x:f>IF(L799&gt;=H799,"Weekly","No weekly")</x:f>
        <x:v>Weekly</x:v>
      </x:c>
      <x:c r="Y799" s="41" t="n">
        <x:f>IFERROR(I799-E799,"")</x:f>
        <x:v>0.6785510000000006</x:v>
      </x:c>
      <x:c r="Z799" s="41" t="n">
        <x:f>IFERROR(J799-F799,"")</x:f>
        <x:v>4.123576999999997</x:v>
      </x:c>
      <x:c r="AA799" s="41" t="n">
        <x:v>12413</x:v>
      </x:c>
      <x:c r="AB799" s="41" t="n">
        <x:v>6766</x:v>
      </x:c>
    </x:row>
    <x:row r="800">
      <x:c r="A800" s="41" t="str">
        <x:v>HYP_REFINE_AUTO002_TOPN_6_V1_DDGRID_LONG_R12_C22_E78_CR40_REDD_RECOVERED_DD8_SL18</x:v>
      </x:c>
      <x:c r="B800" s="41" t="str">
        <x:v>dd_guard_grid</x:v>
      </x:c>
      <x:c r="C800" s="41" t="str">
        <x:v>1999-01-04</x:v>
      </x:c>
      <x:c r="D800" s="41" t="str">
        <x:v>2026-05-22</x:v>
      </x:c>
      <x:c r="E800" s="41" t="n">
        <x:v>11.512133</x:v>
      </x:c>
      <x:c r="F800" s="41" t="n">
        <x:v>-31.850591</x:v>
      </x:c>
      <x:c r="G800" s="41" t="n">
        <x:v>1875.191141</x:v>
      </x:c>
      <x:c r="H800" s="41" t="n">
        <x:f>IFERROR(E800/ABS(F800),"")</x:f>
        <x:v>0.36144173902456</x:v>
      </x:c>
      <x:c r="I800" s="41" t="n">
        <x:v>12.427581</x:v>
      </x:c>
      <x:c r="J800" s="41" t="n">
        <x:v>-29.985068</x:v>
      </x:c>
      <x:c r="K800" s="41" t="n">
        <x:v>2370.718045</x:v>
      </x:c>
      <x:c r="L800" s="41" t="n">
        <x:f>IFERROR(I800/ABS(J800),"")</x:f>
        <x:v>0.41445899005464987</x:v>
      </x:c>
      <x:c r="M800" s="41" t="n">
        <x:v>6.802475</x:v>
      </x:c>
      <x:c r="N800" s="41" t="n">
        <x:v>-56.473669</x:v>
      </x:c>
      <x:c r="O800" s="41" t="n">
        <x:v>506.057416</x:v>
      </x:c>
      <x:c r="P800" s="41" t="n">
        <x:f>IFERROR(M800/ABS(N800),"")</x:f>
        <x:v>0.12045392340278087</x:v>
      </x:c>
      <x:c r="Q800" s="41" t="str">
        <x:f>IF(L800&gt;=MAX(H800,P800),"Weekly",IF(H800&gt;=MAX(L800,P800),"No weekly","SPY"))</x:f>
        <x:v>Weekly</x:v>
      </x:c>
      <x:c r="R800" s="41" t="n">
        <x:f>IFERROR(L800-P800,"")</x:f>
        <x:v>0.294005066651869</x:v>
      </x:c>
      <x:c r="S800" s="41" t="n">
        <x:f>IFERROR(H800-P800,"")</x:f>
        <x:v>0.24098781562177912</x:v>
      </x:c>
      <x:c r="T800" s="41" t="n">
        <x:f>IFERROR(I800-M800,"")</x:f>
        <x:v>5.625106</x:v>
      </x:c>
      <x:c r="U800" s="41" t="n">
        <x:f>IFERROR(E800-M800,"")</x:f>
        <x:v>4.709658</x:v>
      </x:c>
      <x:c r="V800" s="41" t="str">
        <x:f>IF(AND(I800&gt;M800,J800&gt;N800),"Sí","No")</x:f>
        <x:v>Sí</x:v>
      </x:c>
      <x:c r="W800" s="41" t="str">
        <x:f>IF(AND(E800&gt;M800,F800&gt;N800),"Sí","No")</x:f>
        <x:v>Sí</x:v>
      </x:c>
      <x:c r="X800" s="41" t="str">
        <x:f>IF(L800&gt;=H800,"Weekly","No weekly")</x:f>
        <x:v>Weekly</x:v>
      </x:c>
      <x:c r="Y800" s="41" t="n">
        <x:f>IFERROR(I800-E800,"")</x:f>
        <x:v>0.9154479999999996</x:v>
      </x:c>
      <x:c r="Z800" s="41" t="n">
        <x:f>IFERROR(J800-F800,"")</x:f>
        <x:v>1.8655230000000032</x:v>
      </x:c>
      <x:c r="AA800" s="41" t="n">
        <x:v>11855</x:v>
      </x:c>
      <x:c r="AB800" s="41" t="n">
        <x:v>5945</x:v>
      </x:c>
    </x:row>
    <x:row r="801">
      <x:c r="A801" s="41" t="str">
        <x:v>HYP_REFINE_AUTO002_TOPN_6_V1_DDGRID_LONG_R12_C22_E78_CR40_REDD_RECOVERED_DD8_SL20</x:v>
      </x:c>
      <x:c r="B801" s="41" t="str">
        <x:v>dd_guard_grid</x:v>
      </x:c>
      <x:c r="C801" s="41" t="str">
        <x:v>1999-01-04</x:v>
      </x:c>
      <x:c r="D801" s="41" t="str">
        <x:v>2026-05-22</x:v>
      </x:c>
      <x:c r="E801" s="41" t="n">
        <x:v>12.530123</x:v>
      </x:c>
      <x:c r="F801" s="41" t="n">
        <x:v>-33.055814</x:v>
      </x:c>
      <x:c r="G801" s="41" t="n">
        <x:v>2433.162747</x:v>
      </x:c>
      <x:c r="H801" s="41" t="n">
        <x:f>IFERROR(E801/ABS(F801),"")</x:f>
        <x:v>0.3790595808652602</x:v>
      </x:c>
      <x:c r="I801" s="41" t="n">
        <x:v>12.665888</x:v>
      </x:c>
      <x:c r="J801" s="41" t="n">
        <x:v>-29.481704</x:v>
      </x:c>
      <x:c r="K801" s="41" t="n">
        <x:v>2518.182189</x:v>
      </x:c>
      <x:c r="L801" s="41" t="n">
        <x:f>IFERROR(I801/ABS(J801),"")</x:f>
        <x:v>0.42961858649689993</x:v>
      </x:c>
      <x:c r="M801" s="41" t="n">
        <x:v>6.802475</x:v>
      </x:c>
      <x:c r="N801" s="41" t="n">
        <x:v>-56.473669</x:v>
      </x:c>
      <x:c r="O801" s="41" t="n">
        <x:v>506.057416</x:v>
      </x:c>
      <x:c r="P801" s="41" t="n">
        <x:f>IFERROR(M801/ABS(N801),"")</x:f>
        <x:v>0.12045392340278087</x:v>
      </x:c>
      <x:c r="Q801" s="41" t="str">
        <x:f>IF(L801&gt;=MAX(H801,P801),"Weekly",IF(H801&gt;=MAX(L801,P801),"No weekly","SPY"))</x:f>
        <x:v>Weekly</x:v>
      </x:c>
      <x:c r="R801" s="41" t="n">
        <x:f>IFERROR(L801-P801,"")</x:f>
        <x:v>0.30916466309411905</x:v>
      </x:c>
      <x:c r="S801" s="41" t="n">
        <x:f>IFERROR(H801-P801,"")</x:f>
        <x:v>0.2586056574624793</x:v>
      </x:c>
      <x:c r="T801" s="41" t="n">
        <x:f>IFERROR(I801-M801,"")</x:f>
        <x:v>5.863413</x:v>
      </x:c>
      <x:c r="U801" s="41" t="n">
        <x:f>IFERROR(E801-M801,"")</x:f>
        <x:v>5.727647999999999</x:v>
      </x:c>
      <x:c r="V801" s="41" t="str">
        <x:f>IF(AND(I801&gt;M801,J801&gt;N801),"Sí","No")</x:f>
        <x:v>Sí</x:v>
      </x:c>
      <x:c r="W801" s="41" t="str">
        <x:f>IF(AND(E801&gt;M801,F801&gt;N801),"Sí","No")</x:f>
        <x:v>Sí</x:v>
      </x:c>
      <x:c r="X801" s="41" t="str">
        <x:f>IF(L801&gt;=H801,"Weekly","No weekly")</x:f>
        <x:v>Weekly</x:v>
      </x:c>
      <x:c r="Y801" s="41" t="n">
        <x:f>IFERROR(I801-E801,"")</x:f>
        <x:v>0.13576500000000102</x:v>
      </x:c>
      <x:c r="Z801" s="41" t="n">
        <x:f>IFERROR(J801-F801,"")</x:f>
        <x:v>3.5741099999999975</x:v>
      </x:c>
      <x:c r="AA801" s="41" t="n">
        <x:v>11903</x:v>
      </x:c>
      <x:c r="AB801" s="41" t="n">
        <x:v>6009</x:v>
      </x:c>
    </x:row>
    <x:row r="802">
      <x:c r="A802" s="41" t="str">
        <x:v>HYP_REFINE_AUTO002_TOPN_6_V1_DDGRID_LONG_R12_C22_E78_CR40_REDD_RECOVERED_DD8_SL22</x:v>
      </x:c>
      <x:c r="B802" s="41" t="str">
        <x:v>dd_guard_grid</x:v>
      </x:c>
      <x:c r="C802" s="41" t="str">
        <x:v>1999-01-04</x:v>
      </x:c>
      <x:c r="D802" s="41" t="str">
        <x:v>2026-05-22</x:v>
      </x:c>
      <x:c r="E802" s="41" t="n">
        <x:v>12.542135</x:v>
      </x:c>
      <x:c r="F802" s="41" t="n">
        <x:v>-33.643498</x:v>
      </x:c>
      <x:c r="G802" s="41" t="n">
        <x:v>2440.576185</x:v>
      </x:c>
      <x:c r="H802" s="41" t="n">
        <x:f>IFERROR(E802/ABS(F802),"")</x:f>
        <x:v>0.3727952129115706</x:v>
      </x:c>
      <x:c r="I802" s="41" t="n">
        <x:v>12.427091</x:v>
      </x:c>
      <x:c r="J802" s="41" t="n">
        <x:v>-29.776406</x:v>
      </x:c>
      <x:c r="K802" s="41" t="n">
        <x:v>2370.423341</x:v>
      </x:c>
      <x:c r="L802" s="41" t="n">
        <x:f>IFERROR(I802/ABS(J802),"")</x:f>
        <x:v>0.41734690882438935</x:v>
      </x:c>
      <x:c r="M802" s="41" t="n">
        <x:v>6.802475</x:v>
      </x:c>
      <x:c r="N802" s="41" t="n">
        <x:v>-56.473669</x:v>
      </x:c>
      <x:c r="O802" s="41" t="n">
        <x:v>506.057416</x:v>
      </x:c>
      <x:c r="P802" s="41" t="n">
        <x:f>IFERROR(M802/ABS(N802),"")</x:f>
        <x:v>0.12045392340278087</x:v>
      </x:c>
      <x:c r="Q802" s="41" t="str">
        <x:f>IF(L802&gt;=MAX(H802,P802),"Weekly",IF(H802&gt;=MAX(L802,P802),"No weekly","SPY"))</x:f>
        <x:v>Weekly</x:v>
      </x:c>
      <x:c r="R802" s="41" t="n">
        <x:f>IFERROR(L802-P802,"")</x:f>
        <x:v>0.29689298542160847</x:v>
      </x:c>
      <x:c r="S802" s="41" t="n">
        <x:f>IFERROR(H802-P802,"")</x:f>
        <x:v>0.2523412895087897</x:v>
      </x:c>
      <x:c r="T802" s="41" t="n">
        <x:f>IFERROR(I802-M802,"")</x:f>
        <x:v>5.6246160000000005</x:v>
      </x:c>
      <x:c r="U802" s="41" t="n">
        <x:f>IFERROR(E802-M802,"")</x:f>
        <x:v>5.73966</x:v>
      </x:c>
      <x:c r="V802" s="41" t="str">
        <x:f>IF(AND(I802&gt;M802,J802&gt;N802),"Sí","No")</x:f>
        <x:v>Sí</x:v>
      </x:c>
      <x:c r="W802" s="41" t="str">
        <x:f>IF(AND(E802&gt;M802,F802&gt;N802),"Sí","No")</x:f>
        <x:v>Sí</x:v>
      </x:c>
      <x:c r="X802" s="41" t="str">
        <x:f>IF(L802&gt;=H802,"Weekly","No weekly")</x:f>
        <x:v>Weekly</x:v>
      </x:c>
      <x:c r="Y802" s="41" t="n">
        <x:f>IFERROR(I802-E802,"")</x:f>
        <x:v>-0.11504399999999926</x:v>
      </x:c>
      <x:c r="Z802" s="41" t="n">
        <x:f>IFERROR(J802-F802,"")</x:f>
        <x:v>3.8670919999999995</x:v>
      </x:c>
      <x:c r="AA802" s="41" t="n">
        <x:v>12149</x:v>
      </x:c>
      <x:c r="AB802" s="41" t="n">
        <x:v>5969</x:v>
      </x:c>
    </x:row>
    <x:row r="803">
      <x:c r="A803" s="41" t="str">
        <x:v>HYP_REFINE_AUTO002_TOPN_6_V1_DDGRID_LONG_R12_C22_E78_CR40_REDD_RECOVERED_DD8_SL24</x:v>
      </x:c>
      <x:c r="B803" s="41" t="str">
        <x:v>dd_guard_grid</x:v>
      </x:c>
      <x:c r="C803" s="41" t="str">
        <x:v>1999-01-04</x:v>
      </x:c>
      <x:c r="D803" s="41" t="str">
        <x:v>2026-05-22</x:v>
      </x:c>
      <x:c r="E803" s="41" t="n">
        <x:v>11.548569</x:v>
      </x:c>
      <x:c r="F803" s="41" t="n">
        <x:v>-34.555388</x:v>
      </x:c>
      <x:c r="G803" s="41" t="n">
        <x:v>1892.937299</x:v>
      </x:c>
      <x:c r="H803" s="41" t="n">
        <x:f>IFERROR(E803/ABS(F803),"")</x:f>
        <x:v>0.3342045819308989</x:v>
      </x:c>
      <x:c r="I803" s="41" t="n">
        <x:v>11.969229</x:v>
      </x:c>
      <x:c r="J803" s="41" t="n">
        <x:v>-31.163514</x:v>
      </x:c>
      <x:c r="K803" s="41" t="n">
        <x:v>2109.270002</x:v>
      </x:c>
      <x:c r="L803" s="41" t="n">
        <x:f>IFERROR(I803/ABS(J803),"")</x:f>
        <x:v>0.3840782846247699</x:v>
      </x:c>
      <x:c r="M803" s="41" t="n">
        <x:v>6.802475</x:v>
      </x:c>
      <x:c r="N803" s="41" t="n">
        <x:v>-56.473669</x:v>
      </x:c>
      <x:c r="O803" s="41" t="n">
        <x:v>506.057416</x:v>
      </x:c>
      <x:c r="P803" s="41" t="n">
        <x:f>IFERROR(M803/ABS(N803),"")</x:f>
        <x:v>0.12045392340278087</x:v>
      </x:c>
      <x:c r="Q803" s="41" t="str">
        <x:f>IF(L803&gt;=MAX(H803,P803),"Weekly",IF(H803&gt;=MAX(L803,P803),"No weekly","SPY"))</x:f>
        <x:v>Weekly</x:v>
      </x:c>
      <x:c r="R803" s="41" t="n">
        <x:f>IFERROR(L803-P803,"")</x:f>
        <x:v>0.263624361221989</x:v>
      </x:c>
      <x:c r="S803" s="41" t="n">
        <x:f>IFERROR(H803-P803,"")</x:f>
        <x:v>0.21375065852811803</x:v>
      </x:c>
      <x:c r="T803" s="41" t="n">
        <x:f>IFERROR(I803-M803,"")</x:f>
        <x:v>5.166754</x:v>
      </x:c>
      <x:c r="U803" s="41" t="n">
        <x:f>IFERROR(E803-M803,"")</x:f>
        <x:v>4.746094</x:v>
      </x:c>
      <x:c r="V803" s="41" t="str">
        <x:f>IF(AND(I803&gt;M803,J803&gt;N803),"Sí","No")</x:f>
        <x:v>Sí</x:v>
      </x:c>
      <x:c r="W803" s="41" t="str">
        <x:f>IF(AND(E803&gt;M803,F803&gt;N803),"Sí","No")</x:f>
        <x:v>Sí</x:v>
      </x:c>
      <x:c r="X803" s="41" t="str">
        <x:f>IF(L803&gt;=H803,"Weekly","No weekly")</x:f>
        <x:v>Weekly</x:v>
      </x:c>
      <x:c r="Y803" s="41" t="n">
        <x:f>IFERROR(I803-E803,"")</x:f>
        <x:v>0.4206599999999998</x:v>
      </x:c>
      <x:c r="Z803" s="41" t="n">
        <x:f>IFERROR(J803-F803,"")</x:f>
        <x:v>3.3918740000000014</x:v>
      </x:c>
      <x:c r="AA803" s="41" t="n">
        <x:v>12291</x:v>
      </x:c>
      <x:c r="AB803" s="41" t="n">
        <x:v>5943</x:v>
      </x:c>
    </x:row>
    <x:row r="804">
      <x:c r="A804" s="41" t="str">
        <x:v>HYP_REFINE_AUTO002_TOPN_6_V1_DDGRID_LONG_R12_C22_E78_CR40_REDD_RECOVERED_DD8_SLNONE</x:v>
      </x:c>
      <x:c r="B804" s="41" t="str">
        <x:v>dd_guard_grid</x:v>
      </x:c>
      <x:c r="C804" s="41" t="str">
        <x:v>1999-01-04</x:v>
      </x:c>
      <x:c r="D804" s="41" t="str">
        <x:v>2026-05-22</x:v>
      </x:c>
      <x:c r="E804" s="41" t="n">
        <x:v>12.776917</x:v>
      </x:c>
      <x:c r="F804" s="41" t="n">
        <x:v>-33.892678</x:v>
      </x:c>
      <x:c r="G804" s="41" t="n">
        <x:v>2589.748031</x:v>
      </x:c>
      <x:c r="H804" s="41" t="n">
        <x:f>IFERROR(E804/ABS(F804),"")</x:f>
        <x:v>0.37698163007361063</x:v>
      </x:c>
      <x:c r="I804" s="41" t="n">
        <x:v>13.360087</x:v>
      </x:c>
      <x:c r="J804" s="41" t="n">
        <x:v>-29.769101</x:v>
      </x:c>
      <x:c r="K804" s="41" t="n">
        <x:v>2997.69208</x:v>
      </x:c>
      <x:c r="L804" s="41" t="n">
        <x:f>IFERROR(I804/ABS(J804),"")</x:f>
        <x:v>0.4487904085514709</x:v>
      </x:c>
      <x:c r="M804" s="41" t="n">
        <x:v>6.802475</x:v>
      </x:c>
      <x:c r="N804" s="41" t="n">
        <x:v>-56.473669</x:v>
      </x:c>
      <x:c r="O804" s="41" t="n">
        <x:v>506.057416</x:v>
      </x:c>
      <x:c r="P804" s="41" t="n">
        <x:f>IFERROR(M804/ABS(N804),"")</x:f>
        <x:v>0.12045392340278087</x:v>
      </x:c>
      <x:c r="Q804" s="41" t="str">
        <x:f>IF(L804&gt;=MAX(H804,P804),"Weekly",IF(H804&gt;=MAX(L804,P804),"No weekly","SPY"))</x:f>
        <x:v>Weekly</x:v>
      </x:c>
      <x:c r="R804" s="41" t="n">
        <x:f>IFERROR(L804-P804,"")</x:f>
        <x:v>0.32833648514869</x:v>
      </x:c>
      <x:c r="S804" s="41" t="n">
        <x:f>IFERROR(H804-P804,"")</x:f>
        <x:v>0.25652770667082975</x:v>
      </x:c>
      <x:c r="T804" s="41" t="n">
        <x:f>IFERROR(I804-M804,"")</x:f>
        <x:v>6.557612</x:v>
      </x:c>
      <x:c r="U804" s="41" t="n">
        <x:f>IFERROR(E804-M804,"")</x:f>
        <x:v>5.974441999999999</x:v>
      </x:c>
      <x:c r="V804" s="41" t="str">
        <x:f>IF(AND(I804&gt;M804,J804&gt;N804),"Sí","No")</x:f>
        <x:v>Sí</x:v>
      </x:c>
      <x:c r="W804" s="41" t="str">
        <x:f>IF(AND(E804&gt;M804,F804&gt;N804),"Sí","No")</x:f>
        <x:v>Sí</x:v>
      </x:c>
      <x:c r="X804" s="41" t="str">
        <x:f>IF(L804&gt;=H804,"Weekly","No weekly")</x:f>
        <x:v>Weekly</x:v>
      </x:c>
      <x:c r="Y804" s="41" t="n">
        <x:f>IFERROR(I804-E804,"")</x:f>
        <x:v>0.5831700000000009</x:v>
      </x:c>
      <x:c r="Z804" s="41" t="n">
        <x:f>IFERROR(J804-F804,"")</x:f>
        <x:v>4.123576999999997</x:v>
      </x:c>
      <x:c r="AA804" s="41" t="n">
        <x:v>12238</x:v>
      </x:c>
      <x:c r="AB804" s="41" t="n">
        <x:v>6427</x:v>
      </x:c>
    </x:row>
    <x:row r="805">
      <x:c r="A805" s="41" t="str">
        <x:v>HYP_REFINE_AUTO002_TOPN_6_V1_DDGRID_LONG_R12_C22_E78_CR40_REDD_RECOVERED_DD9_SL18</x:v>
      </x:c>
      <x:c r="B805" s="41" t="str">
        <x:v>dd_guard_grid</x:v>
      </x:c>
      <x:c r="C805" s="41" t="str">
        <x:v>1999-01-04</x:v>
      </x:c>
      <x:c r="D805" s="41" t="str">
        <x:v>2026-05-22</x:v>
      </x:c>
      <x:c r="E805" s="41" t="n">
        <x:v>11.184511</x:v>
      </x:c>
      <x:c r="F805" s="41" t="n">
        <x:v>-31.850591</x:v>
      </x:c>
      <x:c r="G805" s="41" t="n">
        <x:v>1722.31737</x:v>
      </x:c>
      <x:c r="H805" s="41" t="n">
        <x:f>IFERROR(E805/ABS(F805),"")</x:f>
        <x:v>0.3511555248692246</x:v>
      </x:c>
      <x:c r="I805" s="41" t="n">
        <x:v>12.203094</x:v>
      </x:c>
      <x:c r="J805" s="41" t="n">
        <x:v>-29.985068</x:v>
      </x:c>
      <x:c r="K805" s="41" t="n">
        <x:v>2239.147886</x:v>
      </x:c>
      <x:c r="L805" s="41" t="n">
        <x:f>IFERROR(I805/ABS(J805),"")</x:f>
        <x:v>0.4069723637111645</x:v>
      </x:c>
      <x:c r="M805" s="41" t="n">
        <x:v>6.802475</x:v>
      </x:c>
      <x:c r="N805" s="41" t="n">
        <x:v>-56.473669</x:v>
      </x:c>
      <x:c r="O805" s="41" t="n">
        <x:v>506.057416</x:v>
      </x:c>
      <x:c r="P805" s="41" t="n">
        <x:f>IFERROR(M805/ABS(N805),"")</x:f>
        <x:v>0.12045392340278087</x:v>
      </x:c>
      <x:c r="Q805" s="41" t="str">
        <x:f>IF(L805&gt;=MAX(H805,P805),"Weekly",IF(H805&gt;=MAX(L805,P805),"No weekly","SPY"))</x:f>
        <x:v>Weekly</x:v>
      </x:c>
      <x:c r="R805" s="41" t="n">
        <x:f>IFERROR(L805-P805,"")</x:f>
        <x:v>0.28651844030838364</x:v>
      </x:c>
      <x:c r="S805" s="41" t="n">
        <x:f>IFERROR(H805-P805,"")</x:f>
        <x:v>0.2307016014664437</x:v>
      </x:c>
      <x:c r="T805" s="41" t="n">
        <x:f>IFERROR(I805-M805,"")</x:f>
        <x:v>5.400619</x:v>
      </x:c>
      <x:c r="U805" s="41" t="n">
        <x:f>IFERROR(E805-M805,"")</x:f>
        <x:v>4.382036</x:v>
      </x:c>
      <x:c r="V805" s="41" t="str">
        <x:f>IF(AND(I805&gt;M805,J805&gt;N805),"Sí","No")</x:f>
        <x:v>Sí</x:v>
      </x:c>
      <x:c r="W805" s="41" t="str">
        <x:f>IF(AND(E805&gt;M805,F805&gt;N805),"Sí","No")</x:f>
        <x:v>Sí</x:v>
      </x:c>
      <x:c r="X805" s="41" t="str">
        <x:f>IF(L805&gt;=H805,"Weekly","No weekly")</x:f>
        <x:v>Weekly</x:v>
      </x:c>
      <x:c r="Y805" s="41" t="n">
        <x:f>IFERROR(I805-E805,"")</x:f>
        <x:v>1.0185829999999996</x:v>
      </x:c>
      <x:c r="Z805" s="41" t="n">
        <x:f>IFERROR(J805-F805,"")</x:f>
        <x:v>1.8655230000000032</x:v>
      </x:c>
      <x:c r="AA805" s="41" t="n">
        <x:v>11710</x:v>
      </x:c>
      <x:c r="AB805" s="41" t="n">
        <x:v>5767</x:v>
      </x:c>
    </x:row>
    <x:row r="806">
      <x:c r="A806" s="41" t="str">
        <x:v>HYP_REFINE_AUTO002_TOPN_6_V1_DDGRID_LONG_R12_C22_E78_CR40_REDD_RECOVERED_DD9_SL20</x:v>
      </x:c>
      <x:c r="B806" s="41" t="str">
        <x:v>dd_guard_grid</x:v>
      </x:c>
      <x:c r="C806" s="41" t="str">
        <x:v>1999-01-04</x:v>
      </x:c>
      <x:c r="D806" s="41" t="str">
        <x:v>2026-05-22</x:v>
      </x:c>
      <x:c r="E806" s="41" t="n">
        <x:v>12.226224</x:v>
      </x:c>
      <x:c r="F806" s="41" t="n">
        <x:v>-33.055814</x:v>
      </x:c>
      <x:c r="G806" s="41" t="n">
        <x:v>2252.38569</x:v>
      </x:c>
      <x:c r="H806" s="41" t="n">
        <x:f>IFERROR(E806/ABS(F806),"")</x:f>
        <x:v>0.3698660695513352</x:v>
      </x:c>
      <x:c r="I806" s="41" t="n">
        <x:v>12.643499</x:v>
      </x:c>
      <x:c r="J806" s="41" t="n">
        <x:v>-29.481704</x:v>
      </x:c>
      <x:c r="K806" s="41" t="n">
        <x:v>2503.974328</x:v>
      </x:c>
      <x:c r="L806" s="41" t="n">
        <x:f>IFERROR(I806/ABS(J806),"")</x:f>
        <x:v>0.42885916634940774</x:v>
      </x:c>
      <x:c r="M806" s="41" t="n">
        <x:v>6.802475</x:v>
      </x:c>
      <x:c r="N806" s="41" t="n">
        <x:v>-56.473669</x:v>
      </x:c>
      <x:c r="O806" s="41" t="n">
        <x:v>506.057416</x:v>
      </x:c>
      <x:c r="P806" s="41" t="n">
        <x:f>IFERROR(M806/ABS(N806),"")</x:f>
        <x:v>0.12045392340278087</x:v>
      </x:c>
      <x:c r="Q806" s="41" t="str">
        <x:f>IF(L806&gt;=MAX(H806,P806),"Weekly",IF(H806&gt;=MAX(L806,P806),"No weekly","SPY"))</x:f>
        <x:v>Weekly</x:v>
      </x:c>
      <x:c r="R806" s="41" t="n">
        <x:f>IFERROR(L806-P806,"")</x:f>
        <x:v>0.30840524294662686</x:v>
      </x:c>
      <x:c r="S806" s="41" t="n">
        <x:f>IFERROR(H806-P806,"")</x:f>
        <x:v>0.24941214614855434</x:v>
      </x:c>
      <x:c r="T806" s="41" t="n">
        <x:f>IFERROR(I806-M806,"")</x:f>
        <x:v>5.841024</x:v>
      </x:c>
      <x:c r="U806" s="41" t="n">
        <x:f>IFERROR(E806-M806,"")</x:f>
        <x:v>5.423749</x:v>
      </x:c>
      <x:c r="V806" s="41" t="str">
        <x:f>IF(AND(I806&gt;M806,J806&gt;N806),"Sí","No")</x:f>
        <x:v>Sí</x:v>
      </x:c>
      <x:c r="W806" s="41" t="str">
        <x:f>IF(AND(E806&gt;M806,F806&gt;N806),"Sí","No")</x:f>
        <x:v>Sí</x:v>
      </x:c>
      <x:c r="X806" s="41" t="str">
        <x:f>IF(L806&gt;=H806,"Weekly","No weekly")</x:f>
        <x:v>Weekly</x:v>
      </x:c>
      <x:c r="Y806" s="41" t="n">
        <x:f>IFERROR(I806-E806,"")</x:f>
        <x:v>0.41727500000000006</x:v>
      </x:c>
      <x:c r="Z806" s="41" t="n">
        <x:f>IFERROR(J806-F806,"")</x:f>
        <x:v>3.5741099999999975</x:v>
      </x:c>
      <x:c r="AA806" s="41" t="n">
        <x:v>11731</x:v>
      </x:c>
      <x:c r="AB806" s="41" t="n">
        <x:v>5856</x:v>
      </x:c>
    </x:row>
    <x:row r="807">
      <x:c r="A807" s="41" t="str">
        <x:v>HYP_REFINE_AUTO002_TOPN_6_V1_DDGRID_LONG_R12_C22_E78_CR42_REDD_RECOVERED_DD7_SL18</x:v>
      </x:c>
      <x:c r="B807" s="41" t="str">
        <x:v>dd_guard_grid</x:v>
      </x:c>
      <x:c r="C807" s="41" t="str">
        <x:v>1999-01-04</x:v>
      </x:c>
      <x:c r="D807" s="41" t="str">
        <x:v>2026-05-22</x:v>
      </x:c>
      <x:c r="E807" s="41" t="n">
        <x:v>12.784937</x:v>
      </x:c>
      <x:c r="F807" s="41" t="n">
        <x:v>-32.250844</x:v>
      </x:c>
      <x:c r="G807" s="41" t="n">
        <x:v>2594.990476</x:v>
      </x:c>
      <x:c r="H807" s="41" t="n">
        <x:f>IFERROR(E807/ABS(F807),"")</x:f>
        <x:v>0.3964217804656523</x:v>
      </x:c>
      <x:c r="I807" s="41" t="n">
        <x:v>12.454646</x:v>
      </x:c>
      <x:c r="J807" s="41" t="n">
        <x:v>-30.18583</x:v>
      </x:c>
      <x:c r="K807" s="41" t="n">
        <x:v>2387.053858</x:v>
      </x:c>
      <x:c r="L807" s="41" t="n">
        <x:f>IFERROR(I807/ABS(J807),"")</x:f>
        <x:v>0.4125990903678978</x:v>
      </x:c>
      <x:c r="M807" s="41" t="n">
        <x:v>6.802475</x:v>
      </x:c>
      <x:c r="N807" s="41" t="n">
        <x:v>-56.473669</x:v>
      </x:c>
      <x:c r="O807" s="41" t="n">
        <x:v>506.057416</x:v>
      </x:c>
      <x:c r="P807" s="41" t="n">
        <x:f>IFERROR(M807/ABS(N807),"")</x:f>
        <x:v>0.12045392340278087</x:v>
      </x:c>
      <x:c r="Q807" s="41" t="str">
        <x:f>IF(L807&gt;=MAX(H807,P807),"Weekly",IF(H807&gt;=MAX(L807,P807),"No weekly","SPY"))</x:f>
        <x:v>Weekly</x:v>
      </x:c>
      <x:c r="R807" s="41" t="n">
        <x:f>IFERROR(L807-P807,"")</x:f>
        <x:v>0.29214516696511694</x:v>
      </x:c>
      <x:c r="S807" s="41" t="n">
        <x:f>IFERROR(H807-P807,"")</x:f>
        <x:v>0.2759678570628714</x:v>
      </x:c>
      <x:c r="T807" s="41" t="n">
        <x:f>IFERROR(I807-M807,"")</x:f>
        <x:v>5.652171</x:v>
      </x:c>
      <x:c r="U807" s="41" t="n">
        <x:f>IFERROR(E807-M807,"")</x:f>
        <x:v>5.982461999999999</x:v>
      </x:c>
      <x:c r="V807" s="41" t="str">
        <x:f>IF(AND(I807&gt;M807,J807&gt;N807),"Sí","No")</x:f>
        <x:v>Sí</x:v>
      </x:c>
      <x:c r="W807" s="41" t="str">
        <x:f>IF(AND(E807&gt;M807,F807&gt;N807),"Sí","No")</x:f>
        <x:v>Sí</x:v>
      </x:c>
      <x:c r="X807" s="41" t="str">
        <x:f>IF(L807&gt;=H807,"Weekly","No weekly")</x:f>
        <x:v>Weekly</x:v>
      </x:c>
      <x:c r="Y807" s="41" t="n">
        <x:f>IFERROR(I807-E807,"")</x:f>
        <x:v>-0.330290999999999</x:v>
      </x:c>
      <x:c r="Z807" s="41" t="n">
        <x:f>IFERROR(J807-F807,"")</x:f>
        <x:v>2.0650140000000015</x:v>
      </x:c>
      <x:c r="AA807" s="41" t="n">
        <x:v>11778</x:v>
      </x:c>
      <x:c r="AB807" s="41" t="n">
        <x:v>5927</x:v>
      </x:c>
    </x:row>
    <x:row r="808">
      <x:c r="A808" s="41" t="str">
        <x:v>HYP_REFINE_AUTO002_TOPN_6_V1_DDGRID_LONG_R12_C22_E78_CR42_REDD_RECOVERED_DD8_SL20</x:v>
      </x:c>
      <x:c r="B808" s="41" t="str">
        <x:v>dd_guard_grid</x:v>
      </x:c>
      <x:c r="C808" s="41" t="str">
        <x:v>1999-01-04</x:v>
      </x:c>
      <x:c r="D808" s="41" t="str">
        <x:v>2026-05-22</x:v>
      </x:c>
      <x:c r="E808" s="41" t="n">
        <x:v>13.944998</x:v>
      </x:c>
      <x:c r="F808" s="41" t="n">
        <x:v>-33.387616</x:v>
      </x:c>
      <x:c r="G808" s="41" t="n">
        <x:v>3466.413925</x:v>
      </x:c>
      <x:c r="H808" s="41" t="n">
        <x:f>IFERROR(E808/ABS(F808),"")</x:f>
        <x:v>0.41766977312785675</x:v>
      </x:c>
      <x:c r="I808" s="41" t="n">
        <x:v>13.249247</x:v>
      </x:c>
      <x:c r="J808" s="41" t="n">
        <x:v>-30.070484</x:v>
      </x:c>
      <x:c r="K808" s="41" t="n">
        <x:v>2915.827651</x:v>
      </x:c>
      <x:c r="L808" s="41" t="n">
        <x:f>IFERROR(I808/ABS(J808),"")</x:f>
        <x:v>0.44060637667155605</x:v>
      </x:c>
      <x:c r="M808" s="41" t="n">
        <x:v>6.802475</x:v>
      </x:c>
      <x:c r="N808" s="41" t="n">
        <x:v>-56.473669</x:v>
      </x:c>
      <x:c r="O808" s="41" t="n">
        <x:v>506.057416</x:v>
      </x:c>
      <x:c r="P808" s="41" t="n">
        <x:f>IFERROR(M808/ABS(N808),"")</x:f>
        <x:v>0.12045392340278087</x:v>
      </x:c>
      <x:c r="Q808" s="41" t="str">
        <x:f>IF(L808&gt;=MAX(H808,P808),"Weekly",IF(H808&gt;=MAX(L808,P808),"No weekly","SPY"))</x:f>
        <x:v>Weekly</x:v>
      </x:c>
      <x:c r="R808" s="41" t="n">
        <x:f>IFERROR(L808-P808,"")</x:f>
        <x:v>0.3201524532687752</x:v>
      </x:c>
      <x:c r="S808" s="41" t="n">
        <x:f>IFERROR(H808-P808,"")</x:f>
        <x:v>0.29721584972507586</x:v>
      </x:c>
      <x:c r="T808" s="41" t="n">
        <x:f>IFERROR(I808-M808,"")</x:f>
        <x:v>6.446772</x:v>
      </x:c>
      <x:c r="U808" s="41" t="n">
        <x:f>IFERROR(E808-M808,"")</x:f>
        <x:v>7.142523</x:v>
      </x:c>
      <x:c r="V808" s="41" t="str">
        <x:f>IF(AND(I808&gt;M808,J808&gt;N808),"Sí","No")</x:f>
        <x:v>Sí</x:v>
      </x:c>
      <x:c r="W808" s="41" t="str">
        <x:f>IF(AND(E808&gt;M808,F808&gt;N808),"Sí","No")</x:f>
        <x:v>Sí</x:v>
      </x:c>
      <x:c r="X808" s="41" t="str">
        <x:f>IF(L808&gt;=H808,"Weekly","No weekly")</x:f>
        <x:v>Weekly</x:v>
      </x:c>
      <x:c r="Y808" s="41" t="n">
        <x:f>IFERROR(I808-E808,"")</x:f>
        <x:v>-0.6957509999999996</x:v>
      </x:c>
      <x:c r="Z808" s="41" t="n">
        <x:f>IFERROR(J808-F808,"")</x:f>
        <x:v>3.317132000000001</x:v>
      </x:c>
      <x:c r="AA808" s="41" t="n">
        <x:v>11644</x:v>
      </x:c>
      <x:c r="AB808" s="41" t="n">
        <x:v>5888</x:v>
      </x:c>
    </x:row>
    <x:row r="809">
      <x:c r="A809" s="41" t="str">
        <x:v>HYP_REFINE_AUTO002_TOPN_6_V1_DDGRID_LONG_R12_C22_E78_CR45_REDD_RECOVERED_DD7_SL20</x:v>
      </x:c>
      <x:c r="B809" s="41" t="str">
        <x:v>dd_guard_grid</x:v>
      </x:c>
      <x:c r="C809" s="41" t="str">
        <x:v>1999-01-04</x:v>
      </x:c>
      <x:c r="D809" s="41" t="str">
        <x:v>2026-05-22</x:v>
      </x:c>
      <x:c r="E809" s="41" t="n">
        <x:v>14.212391</x:v>
      </x:c>
      <x:c r="F809" s="41" t="n">
        <x:v>-34.178215</x:v>
      </x:c>
      <x:c r="G809" s="41" t="n">
        <x:v>3702.786713</x:v>
      </x:c>
      <x:c r="H809" s="41" t="n">
        <x:f>IFERROR(E809/ABS(F809),"")</x:f>
        <x:v>0.41583186834069596</x:v>
      </x:c>
      <x:c r="I809" s="41" t="n">
        <x:v>13.826433</x:v>
      </x:c>
      <x:c r="J809" s="41" t="n">
        <x:v>-30.313514</x:v>
      </x:c>
      <x:c r="K809" s="41" t="n">
        <x:v>3366.194051</x:v>
      </x:c>
      <x:c r="L809" s="41" t="n">
        <x:f>IFERROR(I809/ABS(J809),"")</x:f>
        <x:v>0.45611449071856197</x:v>
      </x:c>
      <x:c r="M809" s="41" t="n">
        <x:v>6.802475</x:v>
      </x:c>
      <x:c r="N809" s="41" t="n">
        <x:v>-56.473669</x:v>
      </x:c>
      <x:c r="O809" s="41" t="n">
        <x:v>506.057416</x:v>
      </x:c>
      <x:c r="P809" s="41" t="n">
        <x:f>IFERROR(M809/ABS(N809),"")</x:f>
        <x:v>0.12045392340278087</x:v>
      </x:c>
      <x:c r="Q809" s="41" t="str">
        <x:f>IF(L809&gt;=MAX(H809,P809),"Weekly",IF(H809&gt;=MAX(L809,P809),"No weekly","SPY"))</x:f>
        <x:v>Weekly</x:v>
      </x:c>
      <x:c r="R809" s="41" t="n">
        <x:f>IFERROR(L809-P809,"")</x:f>
        <x:v>0.3356605673157811</x:v>
      </x:c>
      <x:c r="S809" s="41" t="n">
        <x:f>IFERROR(H809-P809,"")</x:f>
        <x:v>0.2953779449379151</x:v>
      </x:c>
      <x:c r="T809" s="41" t="n">
        <x:f>IFERROR(I809-M809,"")</x:f>
        <x:v>7.0239579999999995</x:v>
      </x:c>
      <x:c r="U809" s="41" t="n">
        <x:f>IFERROR(E809-M809,"")</x:f>
        <x:v>7.409916</x:v>
      </x:c>
      <x:c r="V809" s="41" t="str">
        <x:f>IF(AND(I809&gt;M809,J809&gt;N809),"Sí","No")</x:f>
        <x:v>Sí</x:v>
      </x:c>
      <x:c r="W809" s="41" t="str">
        <x:f>IF(AND(E809&gt;M809,F809&gt;N809),"Sí","No")</x:f>
        <x:v>Sí</x:v>
      </x:c>
      <x:c r="X809" s="41" t="str">
        <x:f>IF(L809&gt;=H809,"Weekly","No weekly")</x:f>
        <x:v>Weekly</x:v>
      </x:c>
      <x:c r="Y809" s="41" t="n">
        <x:f>IFERROR(I809-E809,"")</x:f>
        <x:v>-0.38595800000000047</x:v>
      </x:c>
      <x:c r="Z809" s="41" t="n">
        <x:f>IFERROR(J809-F809,"")</x:f>
        <x:v>3.864701</x:v>
      </x:c>
      <x:c r="AA809" s="41" t="n">
        <x:v>11646</x:v>
      </x:c>
      <x:c r="AB809" s="41" t="n">
        <x:v>5669</x:v>
      </x:c>
    </x:row>
    <x:row r="810">
      <x:c r="A810" s="41" t="str">
        <x:v>HYP_REFINE_AUTO002_TOPN_6_V1_DDGRID_LONG_R12_C22_E78_CR45_REDD_RECOVERED_DD8_SL18</x:v>
      </x:c>
      <x:c r="B810" s="41" t="str">
        <x:v>dd_guard_grid</x:v>
      </x:c>
      <x:c r="C810" s="41" t="str">
        <x:v>1999-01-04</x:v>
      </x:c>
      <x:c r="D810" s="41" t="str">
        <x:v>2026-05-22</x:v>
      </x:c>
      <x:c r="E810" s="41" t="n">
        <x:v>12.756816</x:v>
      </x:c>
      <x:c r="F810" s="41" t="n">
        <x:v>-33.16339</x:v>
      </x:c>
      <x:c r="G810" s="41" t="n">
        <x:v>2576.653348</x:v>
      </x:c>
      <x:c r="H810" s="41" t="n">
        <x:f>IFERROR(E810/ABS(F810),"")</x:f>
        <x:v>0.38466562073418914</x:v>
      </x:c>
      <x:c r="I810" s="41" t="n">
        <x:v>12.715109</x:v>
      </x:c>
      <x:c r="J810" s="41" t="n">
        <x:v>-30.486969</x:v>
      </x:c>
      <x:c r="K810" s="41" t="n">
        <x:v>2549.678977</x:v>
      </x:c>
      <x:c r="L810" s="41" t="n">
        <x:f>IFERROR(I810/ABS(J810),"")</x:f>
        <x:v>0.4170670098427955</x:v>
      </x:c>
      <x:c r="M810" s="41" t="n">
        <x:v>6.802475</x:v>
      </x:c>
      <x:c r="N810" s="41" t="n">
        <x:v>-56.473669</x:v>
      </x:c>
      <x:c r="O810" s="41" t="n">
        <x:v>506.057416</x:v>
      </x:c>
      <x:c r="P810" s="41" t="n">
        <x:f>IFERROR(M810/ABS(N810),"")</x:f>
        <x:v>0.12045392340278087</x:v>
      </x:c>
      <x:c r="Q810" s="41" t="str">
        <x:f>IF(L810&gt;=MAX(H810,P810),"Weekly",IF(H810&gt;=MAX(L810,P810),"No weekly","SPY"))</x:f>
        <x:v>Weekly</x:v>
      </x:c>
      <x:c r="R810" s="41" t="n">
        <x:f>IFERROR(L810-P810,"")</x:f>
        <x:v>0.2966130864400146</x:v>
      </x:c>
      <x:c r="S810" s="41" t="n">
        <x:f>IFERROR(H810-P810,"")</x:f>
        <x:v>0.26421169733140826</x:v>
      </x:c>
      <x:c r="T810" s="41" t="n">
        <x:f>IFERROR(I810-M810,"")</x:f>
        <x:v>5.912634</x:v>
      </x:c>
      <x:c r="U810" s="41" t="n">
        <x:f>IFERROR(E810-M810,"")</x:f>
        <x:v>5.954341</x:v>
      </x:c>
      <x:c r="V810" s="41" t="str">
        <x:f>IF(AND(I810&gt;M810,J810&gt;N810),"Sí","No")</x:f>
        <x:v>Sí</x:v>
      </x:c>
      <x:c r="W810" s="41" t="str">
        <x:f>IF(AND(E810&gt;M810,F810&gt;N810),"Sí","No")</x:f>
        <x:v>Sí</x:v>
      </x:c>
      <x:c r="X810" s="41" t="str">
        <x:f>IF(L810&gt;=H810,"Weekly","No weekly")</x:f>
        <x:v>Weekly</x:v>
      </x:c>
      <x:c r="Y810" s="41" t="n">
        <x:f>IFERROR(I810-E810,"")</x:f>
        <x:v>-0.041707000000000605</x:v>
      </x:c>
      <x:c r="Z810" s="41" t="n">
        <x:f>IFERROR(J810-F810,"")</x:f>
        <x:v>2.6764210000000013</x:v>
      </x:c>
      <x:c r="AA810" s="41" t="n">
        <x:v>11710</x:v>
      </x:c>
      <x:c r="AB810" s="41" t="n">
        <x:v>5346</x:v>
      </x:c>
    </x:row>
    <x:row r="811">
      <x:c r="A811" s="41" t="str">
        <x:v>HYP_REFINE_AUTO002_TOPN_6_V1_DDGRID_LONG_R12_C22_E78_CR45_REDD_RECOVERED_DD8_SL20</x:v>
      </x:c>
      <x:c r="B811" s="41" t="str">
        <x:v>dd_guard_grid</x:v>
      </x:c>
      <x:c r="C811" s="41" t="str">
        <x:v>1999-01-04</x:v>
      </x:c>
      <x:c r="D811" s="41" t="str">
        <x:v>2026-05-22</x:v>
      </x:c>
      <x:c r="E811" s="41" t="n">
        <x:v>14.170129</x:v>
      </x:c>
      <x:c r="F811" s="41" t="n">
        <x:v>-34.178215</x:v>
      </x:c>
      <x:c r="G811" s="41" t="n">
        <x:v>3664.448423</x:v>
      </x:c>
      <x:c r="H811" s="41" t="n">
        <x:f>IFERROR(E811/ABS(F811),"")</x:f>
        <x:v>0.4145953496986311</x:v>
      </x:c>
      <x:c r="I811" s="41" t="n">
        <x:v>14.093567</x:v>
      </x:c>
      <x:c r="J811" s="41" t="n">
        <x:v>-30.313514</x:v>
      </x:c>
      <x:c r="K811" s="41" t="n">
        <x:v>3595.941294</x:v>
      </x:c>
      <x:c r="L811" s="41" t="n">
        <x:f>IFERROR(I811/ABS(J811),"")</x:f>
        <x:v>0.4649268639722864</x:v>
      </x:c>
      <x:c r="M811" s="41" t="n">
        <x:v>6.802475</x:v>
      </x:c>
      <x:c r="N811" s="41" t="n">
        <x:v>-56.473669</x:v>
      </x:c>
      <x:c r="O811" s="41" t="n">
        <x:v>506.057416</x:v>
      </x:c>
      <x:c r="P811" s="41" t="n">
        <x:f>IFERROR(M811/ABS(N811),"")</x:f>
        <x:v>0.12045392340278087</x:v>
      </x:c>
      <x:c r="Q811" s="41" t="str">
        <x:f>IF(L811&gt;=MAX(H811,P811),"Weekly",IF(H811&gt;=MAX(L811,P811),"No weekly","SPY"))</x:f>
        <x:v>Weekly</x:v>
      </x:c>
      <x:c r="R811" s="41" t="n">
        <x:f>IFERROR(L811-P811,"")</x:f>
        <x:v>0.3444729405695055</x:v>
      </x:c>
      <x:c r="S811" s="41" t="n">
        <x:f>IFERROR(H811-P811,"")</x:f>
        <x:v>0.2941414262958502</x:v>
      </x:c>
      <x:c r="T811" s="41" t="n">
        <x:f>IFERROR(I811-M811,"")</x:f>
        <x:v>7.291092</x:v>
      </x:c>
      <x:c r="U811" s="41" t="n">
        <x:f>IFERROR(E811-M811,"")</x:f>
        <x:v>7.367653999999999</x:v>
      </x:c>
      <x:c r="V811" s="41" t="str">
        <x:f>IF(AND(I811&gt;M811,J811&gt;N811),"Sí","No")</x:f>
        <x:v>Sí</x:v>
      </x:c>
      <x:c r="W811" s="41" t="str">
        <x:f>IF(AND(E811&gt;M811,F811&gt;N811),"Sí","No")</x:f>
        <x:v>Sí</x:v>
      </x:c>
      <x:c r="X811" s="41" t="str">
        <x:f>IF(L811&gt;=H811,"Weekly","No weekly")</x:f>
        <x:v>Weekly</x:v>
      </x:c>
      <x:c r="Y811" s="41" t="n">
        <x:f>IFERROR(I811-E811,"")</x:f>
        <x:v>-0.07656199999999913</x:v>
      </x:c>
      <x:c r="Z811" s="41" t="n">
        <x:f>IFERROR(J811-F811,"")</x:f>
        <x:v>3.864701</x:v>
      </x:c>
      <x:c r="AA811" s="41" t="n">
        <x:v>11517</x:v>
      </x:c>
      <x:c r="AB811" s="41" t="n">
        <x:v>5516</x:v>
      </x:c>
    </x:row>
    <x:row r="812">
      <x:c r="A812" s="41" t="str">
        <x:v>HYP_REFINE_AUTO002_TOPN_6_V1_DDGRID_LONG_R12_C22_E78_CR45_REDD_RECOVERED_DD8_SL22</x:v>
      </x:c>
      <x:c r="B812" s="41" t="str">
        <x:v>dd_guard_grid</x:v>
      </x:c>
      <x:c r="C812" s="41" t="str">
        <x:v>1999-01-04</x:v>
      </x:c>
      <x:c r="D812" s="41" t="str">
        <x:v>2026-05-22</x:v>
      </x:c>
      <x:c r="E812" s="41" t="n">
        <x:v>13.077788</x:v>
      </x:c>
      <x:c r="F812" s="41" t="n">
        <x:v>-34.878285</x:v>
      </x:c>
      <x:c r="G812" s="41" t="n">
        <x:v>2793.283457</x:v>
      </x:c>
      <x:c r="H812" s="41" t="n">
        <x:f>IFERROR(E812/ABS(F812),"")</x:f>
        <x:v>0.3749550185738777</x:v>
      </x:c>
      <x:c r="I812" s="41" t="n">
        <x:v>14.316256</x:v>
      </x:c>
      <x:c r="J812" s="41" t="n">
        <x:v>-30.186864</x:v>
      </x:c>
      <x:c r="K812" s="41" t="n">
        <x:v>3798.613099</x:v>
      </x:c>
      <x:c r="L812" s="41" t="n">
        <x:f>IFERROR(I812/ABS(J812),"")</x:f>
        <x:v>0.47425449692289995</x:v>
      </x:c>
      <x:c r="M812" s="41" t="n">
        <x:v>6.802475</x:v>
      </x:c>
      <x:c r="N812" s="41" t="n">
        <x:v>-56.473669</x:v>
      </x:c>
      <x:c r="O812" s="41" t="n">
        <x:v>506.057416</x:v>
      </x:c>
      <x:c r="P812" s="41" t="n">
        <x:f>IFERROR(M812/ABS(N812),"")</x:f>
        <x:v>0.12045392340278087</x:v>
      </x:c>
      <x:c r="Q812" s="41" t="str">
        <x:f>IF(L812&gt;=MAX(H812,P812),"Weekly",IF(H812&gt;=MAX(L812,P812),"No weekly","SPY"))</x:f>
        <x:v>Weekly</x:v>
      </x:c>
      <x:c r="R812" s="41" t="n">
        <x:f>IFERROR(L812-P812,"")</x:f>
        <x:v>0.35380057352011907</x:v>
      </x:c>
      <x:c r="S812" s="41" t="n">
        <x:f>IFERROR(H812-P812,"")</x:f>
        <x:v>0.2545010951710968</x:v>
      </x:c>
      <x:c r="T812" s="41" t="n">
        <x:f>IFERROR(I812-M812,"")</x:f>
        <x:v>7.513780999999999</x:v>
      </x:c>
      <x:c r="U812" s="41" t="n">
        <x:f>IFERROR(E812-M812,"")</x:f>
        <x:v>6.275313</x:v>
      </x:c>
      <x:c r="V812" s="41" t="str">
        <x:f>IF(AND(I812&gt;M812,J812&gt;N812),"Sí","No")</x:f>
        <x:v>Sí</x:v>
      </x:c>
      <x:c r="W812" s="41" t="str">
        <x:f>IF(AND(E812&gt;M812,F812&gt;N812),"Sí","No")</x:f>
        <x:v>Sí</x:v>
      </x:c>
      <x:c r="X812" s="41" t="str">
        <x:f>IF(L812&gt;=H812,"Weekly","No weekly")</x:f>
        <x:v>Weekly</x:v>
      </x:c>
      <x:c r="Y812" s="41" t="n">
        <x:f>IFERROR(I812-E812,"")</x:f>
        <x:v>1.2384679999999992</x:v>
      </x:c>
      <x:c r="Z812" s="41" t="n">
        <x:f>IFERROR(J812-F812,"")</x:f>
        <x:v>4.691420999999998</x:v>
      </x:c>
      <x:c r="AA812" s="41" t="n">
        <x:v>11449</x:v>
      </x:c>
      <x:c r="AB812" s="41" t="n">
        <x:v>5742</x:v>
      </x:c>
    </x:row>
    <x:row r="813">
      <x:c r="A813" s="41" t="str">
        <x:v>HYP_REFINE_AUTO002_TOPN_6_V1_DDGRID_LONG_R12_C22_E78_CR45_REDD_RECOVERED_DD9_SL20</x:v>
      </x:c>
      <x:c r="B813" s="41" t="str">
        <x:v>dd_guard_grid</x:v>
      </x:c>
      <x:c r="C813" s="41" t="str">
        <x:v>1999-01-04</x:v>
      </x:c>
      <x:c r="D813" s="41" t="str">
        <x:v>2026-05-22</x:v>
      </x:c>
      <x:c r="E813" s="41" t="n">
        <x:v>13.908997</x:v>
      </x:c>
      <x:c r="F813" s="41" t="n">
        <x:v>-34.178215</x:v>
      </x:c>
      <x:c r="G813" s="41" t="n">
        <x:v>3435.691762</x:v>
      </x:c>
      <x:c r="H813" s="41" t="n">
        <x:f>IFERROR(E813/ABS(F813),"")</x:f>
        <x:v>0.40695504431697205</x:v>
      </x:c>
      <x:c r="I813" s="41" t="n">
        <x:v>13.941016</x:v>
      </x:c>
      <x:c r="J813" s="41" t="n">
        <x:v>-30.313514</x:v>
      </x:c>
      <x:c r="K813" s="41" t="n">
        <x:v>3463.003172</x:v>
      </x:c>
      <x:c r="L813" s="41" t="n">
        <x:f>IFERROR(I813/ABS(J813),"")</x:f>
        <x:v>0.4598944220059739</x:v>
      </x:c>
      <x:c r="M813" s="41" t="n">
        <x:v>6.802475</x:v>
      </x:c>
      <x:c r="N813" s="41" t="n">
        <x:v>-56.473669</x:v>
      </x:c>
      <x:c r="O813" s="41" t="n">
        <x:v>506.057416</x:v>
      </x:c>
      <x:c r="P813" s="41" t="n">
        <x:f>IFERROR(M813/ABS(N813),"")</x:f>
        <x:v>0.12045392340278087</x:v>
      </x:c>
      <x:c r="Q813" s="41" t="str">
        <x:f>IF(L813&gt;=MAX(H813,P813),"Weekly",IF(H813&gt;=MAX(L813,P813),"No weekly","SPY"))</x:f>
        <x:v>Weekly</x:v>
      </x:c>
      <x:c r="R813" s="41" t="n">
        <x:f>IFERROR(L813-P813,"")</x:f>
        <x:v>0.33944049860319303</x:v>
      </x:c>
      <x:c r="S813" s="41" t="n">
        <x:f>IFERROR(H813-P813,"")</x:f>
        <x:v>0.28650112091419117</x:v>
      </x:c>
      <x:c r="T813" s="41" t="n">
        <x:f>IFERROR(I813-M813,"")</x:f>
        <x:v>7.138540999999999</x:v>
      </x:c>
      <x:c r="U813" s="41" t="n">
        <x:f>IFERROR(E813-M813,"")</x:f>
        <x:v>7.106521999999999</x:v>
      </x:c>
      <x:c r="V813" s="41" t="str">
        <x:f>IF(AND(I813&gt;M813,J813&gt;N813),"Sí","No")</x:f>
        <x:v>Sí</x:v>
      </x:c>
      <x:c r="W813" s="41" t="str">
        <x:f>IF(AND(E813&gt;M813,F813&gt;N813),"Sí","No")</x:f>
        <x:v>Sí</x:v>
      </x:c>
      <x:c r="X813" s="41" t="str">
        <x:f>IF(L813&gt;=H813,"Weekly","No weekly")</x:f>
        <x:v>Weekly</x:v>
      </x:c>
      <x:c r="Y813" s="41" t="n">
        <x:f>IFERROR(I813-E813,"")</x:f>
        <x:v>0.03201900000000002</x:v>
      </x:c>
      <x:c r="Z813" s="41" t="n">
        <x:f>IFERROR(J813-F813,"")</x:f>
        <x:v>3.864701</x:v>
      </x:c>
      <x:c r="AA813" s="41" t="n">
        <x:v>11448</x:v>
      </x:c>
      <x:c r="AB813" s="41" t="n">
        <x:v>5345</x:v>
      </x:c>
    </x:row>
    <x:row r="814">
      <x:c r="A814" s="41" t="str">
        <x:v>HYP_REFINE_AUTO002_TOPN_6_V1_DDGRID_LONG_R12_C22_E80_CR36_REDD_RECOVERED_DD8_SL20</x:v>
      </x:c>
      <x:c r="B814" s="41" t="str">
        <x:v>dd_guard_grid</x:v>
      </x:c>
      <x:c r="C814" s="41" t="str">
        <x:v>1999-01-04</x:v>
      </x:c>
      <x:c r="D814" s="41" t="str">
        <x:v>2026-05-22</x:v>
      </x:c>
      <x:c r="E814" s="41" t="n">
        <x:v>10.983158</x:v>
      </x:c>
      <x:c r="F814" s="41" t="n">
        <x:v>-33.059477</x:v>
      </x:c>
      <x:c r="G814" s="41" t="n">
        <x:v>1634.088377</x:v>
      </x:c>
      <x:c r="H814" s="41" t="n">
        <x:f>IFERROR(E814/ABS(F814),"")</x:f>
        <x:v>0.3322241909634565</x:v>
      </x:c>
      <x:c r="I814" s="41" t="n">
        <x:v>12.965749</x:v>
      </x:c>
      <x:c r="J814" s="41" t="n">
        <x:v>-29.472613</x:v>
      </x:c>
      <x:c r="K814" s="41" t="n">
        <x:v>2715.814571</x:v>
      </x:c>
      <x:c r="L814" s="41" t="n">
        <x:f>IFERROR(I814/ABS(J814),"")</x:f>
        <x:v>0.43992533000043127</x:v>
      </x:c>
      <x:c r="M814" s="41" t="n">
        <x:v>6.802475</x:v>
      </x:c>
      <x:c r="N814" s="41" t="n">
        <x:v>-56.473669</x:v>
      </x:c>
      <x:c r="O814" s="41" t="n">
        <x:v>506.057416</x:v>
      </x:c>
      <x:c r="P814" s="41" t="n">
        <x:f>IFERROR(M814/ABS(N814),"")</x:f>
        <x:v>0.12045392340278087</x:v>
      </x:c>
      <x:c r="Q814" s="41" t="str">
        <x:f>IF(L814&gt;=MAX(H814,P814),"Weekly",IF(H814&gt;=MAX(L814,P814),"No weekly","SPY"))</x:f>
        <x:v>Weekly</x:v>
      </x:c>
      <x:c r="R814" s="41" t="n">
        <x:f>IFERROR(L814-P814,"")</x:f>
        <x:v>0.3194714065976504</x:v>
      </x:c>
      <x:c r="S814" s="41" t="n">
        <x:f>IFERROR(H814-P814,"")</x:f>
        <x:v>0.21177026756067563</x:v>
      </x:c>
      <x:c r="T814" s="41" t="n">
        <x:f>IFERROR(I814-M814,"")</x:f>
        <x:v>6.163274</x:v>
      </x:c>
      <x:c r="U814" s="41" t="n">
        <x:f>IFERROR(E814-M814,"")</x:f>
        <x:v>4.180682999999999</x:v>
      </x:c>
      <x:c r="V814" s="41" t="str">
        <x:f>IF(AND(I814&gt;M814,J814&gt;N814),"Sí","No")</x:f>
        <x:v>Sí</x:v>
      </x:c>
      <x:c r="W814" s="41" t="str">
        <x:f>IF(AND(E814&gt;M814,F814&gt;N814),"Sí","No")</x:f>
        <x:v>Sí</x:v>
      </x:c>
      <x:c r="X814" s="41" t="str">
        <x:f>IF(L814&gt;=H814,"Weekly","No weekly")</x:f>
        <x:v>Weekly</x:v>
      </x:c>
      <x:c r="Y814" s="41" t="n">
        <x:f>IFERROR(I814-E814,"")</x:f>
        <x:v>1.982591000000001</x:v>
      </x:c>
      <x:c r="Z814" s="41" t="n">
        <x:f>IFERROR(J814-F814,"")</x:f>
        <x:v>3.586864000000002</x:v>
      </x:c>
      <x:c r="AA814" s="41" t="n">
        <x:v>11754</x:v>
      </x:c>
      <x:c r="AB814" s="41" t="n">
        <x:v>6091</x:v>
      </x:c>
    </x:row>
    <x:row r="815">
      <x:c r="A815" s="41" t="str">
        <x:v>HYP_REFINE_AUTO002_TOPN_6_V1_DDGRID_LONG_R12_C22_E80_CR40_REDD_RECOVERED_DD10_SL20</x:v>
      </x:c>
      <x:c r="B815" s="41" t="str">
        <x:v>dd_guard_grid</x:v>
      </x:c>
      <x:c r="C815" s="41" t="str">
        <x:v>1999-01-04</x:v>
      </x:c>
      <x:c r="D815" s="41" t="str">
        <x:v>2026-05-22</x:v>
      </x:c>
      <x:c r="E815" s="41" t="n">
        <x:v>11.84168</x:v>
      </x:c>
      <x:c r="F815" s="41" t="n">
        <x:v>-33.329993</x:v>
      </x:c>
      <x:c r="G815" s="41" t="n">
        <x:v>2041.392389</x:v>
      </x:c>
      <x:c r="H815" s="41" t="n">
        <x:f>IFERROR(E815/ABS(F815),"")</x:f>
        <x:v>0.3552860032103817</x:v>
      </x:c>
      <x:c r="I815" s="41" t="n">
        <x:v>12.620978</x:v>
      </x:c>
      <x:c r="J815" s="41" t="n">
        <x:v>-29.571244</x:v>
      </x:c>
      <x:c r="K815" s="41" t="n">
        <x:v>2489.758332</x:v>
      </x:c>
      <x:c r="L815" s="41" t="n">
        <x:f>IFERROR(I815/ABS(J815),"")</x:f>
        <x:v>0.426799021373602</x:v>
      </x:c>
      <x:c r="M815" s="41" t="n">
        <x:v>6.802475</x:v>
      </x:c>
      <x:c r="N815" s="41" t="n">
        <x:v>-56.473669</x:v>
      </x:c>
      <x:c r="O815" s="41" t="n">
        <x:v>506.057416</x:v>
      </x:c>
      <x:c r="P815" s="41" t="n">
        <x:f>IFERROR(M815/ABS(N815),"")</x:f>
        <x:v>0.12045392340278087</x:v>
      </x:c>
      <x:c r="Q815" s="41" t="str">
        <x:f>IF(L815&gt;=MAX(H815,P815),"Weekly",IF(H815&gt;=MAX(L815,P815),"No weekly","SPY"))</x:f>
        <x:v>Weekly</x:v>
      </x:c>
      <x:c r="R815" s="41" t="n">
        <x:f>IFERROR(L815-P815,"")</x:f>
        <x:v>0.3063450979708211</x:v>
      </x:c>
      <x:c r="S815" s="41" t="n">
        <x:f>IFERROR(H815-P815,"")</x:f>
        <x:v>0.2348320798076008</x:v>
      </x:c>
      <x:c r="T815" s="41" t="n">
        <x:f>IFERROR(I815-M815,"")</x:f>
        <x:v>5.818502999999999</x:v>
      </x:c>
      <x:c r="U815" s="41" t="n">
        <x:f>IFERROR(E815-M815,"")</x:f>
        <x:v>5.039205</x:v>
      </x:c>
      <x:c r="V815" s="41" t="str">
        <x:f>IF(AND(I815&gt;M815,J815&gt;N815),"Sí","No")</x:f>
        <x:v>Sí</x:v>
      </x:c>
      <x:c r="W815" s="41" t="str">
        <x:f>IF(AND(E815&gt;M815,F815&gt;N815),"Sí","No")</x:f>
        <x:v>Sí</x:v>
      </x:c>
      <x:c r="X815" s="41" t="str">
        <x:f>IF(L815&gt;=H815,"Weekly","No weekly")</x:f>
        <x:v>Weekly</x:v>
      </x:c>
      <x:c r="Y815" s="41" t="n">
        <x:f>IFERROR(I815-E815,"")</x:f>
        <x:v>0.7792979999999989</x:v>
      </x:c>
      <x:c r="Z815" s="41" t="n">
        <x:f>IFERROR(J815-F815,"")</x:f>
        <x:v>3.7587490000000017</x:v>
      </x:c>
      <x:c r="AA815" s="41" t="n">
        <x:v>11497</x:v>
      </x:c>
      <x:c r="AB815" s="41" t="n">
        <x:v>5597</x:v>
      </x:c>
    </x:row>
    <x:row r="816">
      <x:c r="A816" s="41" t="str">
        <x:v>HYP_REFINE_AUTO002_TOPN_6_V1_DDGRID_LONG_R12_C22_E80_CR40_REDD_RECOVERED_DD6_SL20</x:v>
      </x:c>
      <x:c r="B816" s="41" t="str">
        <x:v>dd_guard_grid</x:v>
      </x:c>
      <x:c r="C816" s="41" t="str">
        <x:v>1999-01-04</x:v>
      </x:c>
      <x:c r="D816" s="41" t="str">
        <x:v>2026-05-22</x:v>
      </x:c>
      <x:c r="E816" s="41" t="n">
        <x:v>12.144877</x:v>
      </x:c>
      <x:c r="F816" s="41" t="n">
        <x:v>-33.329993</x:v>
      </x:c>
      <x:c r="G816" s="41" t="n">
        <x:v>2206.145656</x:v>
      </x:c>
      <x:c r="H816" s="41" t="n">
        <x:f>IFERROR(E816/ABS(F816),"")</x:f>
        <x:v>0.36438282480287343</x:v>
      </x:c>
      <x:c r="I816" s="41" t="n">
        <x:v>12.272025</x:v>
      </x:c>
      <x:c r="J816" s="41" t="n">
        <x:v>-29.600381</x:v>
      </x:c>
      <x:c r="K816" s="41" t="n">
        <x:v>2278.812414</x:v>
      </x:c>
      <x:c r="L816" s="41" t="n">
        <x:f>IFERROR(I816/ABS(J816),"")</x:f>
        <x:v>0.4145901027422586</x:v>
      </x:c>
      <x:c r="M816" s="41" t="n">
        <x:v>6.802475</x:v>
      </x:c>
      <x:c r="N816" s="41" t="n">
        <x:v>-56.473669</x:v>
      </x:c>
      <x:c r="O816" s="41" t="n">
        <x:v>506.057416</x:v>
      </x:c>
      <x:c r="P816" s="41" t="n">
        <x:f>IFERROR(M816/ABS(N816),"")</x:f>
        <x:v>0.12045392340278087</x:v>
      </x:c>
      <x:c r="Q816" s="41" t="str">
        <x:f>IF(L816&gt;=MAX(H816,P816),"Weekly",IF(H816&gt;=MAX(L816,P816),"No weekly","SPY"))</x:f>
        <x:v>Weekly</x:v>
      </x:c>
      <x:c r="R816" s="41" t="n">
        <x:f>IFERROR(L816-P816,"")</x:f>
        <x:v>0.2941361793394777</x:v>
      </x:c>
      <x:c r="S816" s="41" t="n">
        <x:f>IFERROR(H816-P816,"")</x:f>
        <x:v>0.24392890140009255</x:v>
      </x:c>
      <x:c r="T816" s="41" t="n">
        <x:f>IFERROR(I816-M816,"")</x:f>
        <x:v>5.469549999999999</x:v>
      </x:c>
      <x:c r="U816" s="41" t="n">
        <x:f>IFERROR(E816-M816,"")</x:f>
        <x:v>5.342401999999999</x:v>
      </x:c>
      <x:c r="V816" s="41" t="str">
        <x:f>IF(AND(I816&gt;M816,J816&gt;N816),"Sí","No")</x:f>
        <x:v>Sí</x:v>
      </x:c>
      <x:c r="W816" s="41" t="str">
        <x:f>IF(AND(E816&gt;M816,F816&gt;N816),"Sí","No")</x:f>
        <x:v>Sí</x:v>
      </x:c>
      <x:c r="X816" s="41" t="str">
        <x:f>IF(L816&gt;=H816,"Weekly","No weekly")</x:f>
        <x:v>Weekly</x:v>
      </x:c>
      <x:c r="Y816" s="41" t="n">
        <x:f>IFERROR(I816-E816,"")</x:f>
        <x:v>0.12714800000000004</x:v>
      </x:c>
      <x:c r="Z816" s="41" t="n">
        <x:f>IFERROR(J816-F816,"")</x:f>
        <x:v>3.729612000000003</x:v>
      </x:c>
      <x:c r="AA816" s="41" t="n">
        <x:v>12205</x:v>
      </x:c>
      <x:c r="AB816" s="41" t="n">
        <x:v>6319</x:v>
      </x:c>
    </x:row>
    <x:row r="817">
      <x:c r="A817" s="41" t="str">
        <x:v>HYP_REFINE_AUTO002_TOPN_6_V1_DDGRID_LONG_R12_C22_E80_CR40_REDD_RECOVERED_DD7_SL18</x:v>
      </x:c>
      <x:c r="B817" s="41" t="str">
        <x:v>dd_guard_grid</x:v>
      </x:c>
      <x:c r="C817" s="41" t="str">
        <x:v>1999-01-04</x:v>
      </x:c>
      <x:c r="D817" s="41" t="str">
        <x:v>2026-05-22</x:v>
      </x:c>
      <x:c r="E817" s="41" t="n">
        <x:v>10.827768</x:v>
      </x:c>
      <x:c r="F817" s="41" t="n">
        <x:v>-32.217018</x:v>
      </x:c>
      <x:c r="G817" s="41" t="n">
        <x:v>1568.828618</x:v>
      </x:c>
      <x:c r="H817" s="41" t="n">
        <x:f>IFERROR(E817/ABS(F817),"")</x:f>
        <x:v>0.33608846107358537</x:v>
      </x:c>
      <x:c r="I817" s="41" t="n">
        <x:v>12.246436</x:v>
      </x:c>
      <x:c r="J817" s="41" t="n">
        <x:v>-30.284949</x:v>
      </x:c>
      <x:c r="K817" s="41" t="n">
        <x:v>2264.012813</x:v>
      </x:c>
      <x:c r="L817" s="41" t="n">
        <x:f>IFERROR(I817/ABS(J817),"")</x:f>
        <x:v>0.40437367089507065</x:v>
      </x:c>
      <x:c r="M817" s="41" t="n">
        <x:v>6.802475</x:v>
      </x:c>
      <x:c r="N817" s="41" t="n">
        <x:v>-56.473669</x:v>
      </x:c>
      <x:c r="O817" s="41" t="n">
        <x:v>506.057416</x:v>
      </x:c>
      <x:c r="P817" s="41" t="n">
        <x:f>IFERROR(M817/ABS(N817),"")</x:f>
        <x:v>0.12045392340278087</x:v>
      </x:c>
      <x:c r="Q817" s="41" t="str">
        <x:f>IF(L817&gt;=MAX(H817,P817),"Weekly",IF(H817&gt;=MAX(L817,P817),"No weekly","SPY"))</x:f>
        <x:v>Weekly</x:v>
      </x:c>
      <x:c r="R817" s="41" t="n">
        <x:f>IFERROR(L817-P817,"")</x:f>
        <x:v>0.28391974749228976</x:v>
      </x:c>
      <x:c r="S817" s="41" t="n">
        <x:f>IFERROR(H817-P817,"")</x:f>
        <x:v>0.21563453767080448</x:v>
      </x:c>
      <x:c r="T817" s="41" t="n">
        <x:f>IFERROR(I817-M817,"")</x:f>
        <x:v>5.443960999999999</x:v>
      </x:c>
      <x:c r="U817" s="41" t="n">
        <x:f>IFERROR(E817-M817,"")</x:f>
        <x:v>4.0252930000000005</x:v>
      </x:c>
      <x:c r="V817" s="41" t="str">
        <x:f>IF(AND(I817&gt;M817,J817&gt;N817),"Sí","No")</x:f>
        <x:v>Sí</x:v>
      </x:c>
      <x:c r="W817" s="41" t="str">
        <x:f>IF(AND(E817&gt;M817,F817&gt;N817),"Sí","No")</x:f>
        <x:v>Sí</x:v>
      </x:c>
      <x:c r="X817" s="41" t="str">
        <x:f>IF(L817&gt;=H817,"Weekly","No weekly")</x:f>
        <x:v>Weekly</x:v>
      </x:c>
      <x:c r="Y817" s="41" t="n">
        <x:f>IFERROR(I817-E817,"")</x:f>
        <x:v>1.4186679999999985</x:v>
      </x:c>
      <x:c r="Z817" s="41" t="n">
        <x:f>IFERROR(J817-F817,"")</x:f>
        <x:v>1.932069000000002</x:v>
      </x:c>
      <x:c r="AA817" s="41" t="n">
        <x:v>11976</x:v>
      </x:c>
      <x:c r="AB817" s="41" t="n">
        <x:v>5855</x:v>
      </x:c>
    </x:row>
    <x:row r="818">
      <x:c r="A818" s="41" t="str">
        <x:v>HYP_REFINE_AUTO002_TOPN_6_V1_DDGRID_LONG_R12_C22_E80_CR40_REDD_RECOVERED_DD7_SL20</x:v>
      </x:c>
      <x:c r="B818" s="41" t="str">
        <x:v>dd_guard_grid</x:v>
      </x:c>
      <x:c r="C818" s="41" t="str">
        <x:v>1999-01-04</x:v>
      </x:c>
      <x:c r="D818" s="41" t="str">
        <x:v>2026-05-22</x:v>
      </x:c>
      <x:c r="E818" s="41" t="n">
        <x:v>12.174628</x:v>
      </x:c>
      <x:c r="F818" s="41" t="n">
        <x:v>-33.329993</x:v>
      </x:c>
      <x:c r="G818" s="41" t="n">
        <x:v>2222.954787</x:v>
      </x:c>
      <x:c r="H818" s="41" t="n">
        <x:f>IFERROR(E818/ABS(F818),"")</x:f>
        <x:v>0.3652754442522685</x:v>
      </x:c>
      <x:c r="I818" s="41" t="n">
        <x:v>12.505135</x:v>
      </x:c>
      <x:c r="J818" s="41" t="n">
        <x:v>-29.600381</x:v>
      </x:c>
      <x:c r="K818" s="41" t="n">
        <x:v>2417.806828</x:v>
      </x:c>
      <x:c r="L818" s="41" t="n">
        <x:f>IFERROR(I818/ABS(J818),"")</x:f>
        <x:v>0.4224653392130324</x:v>
      </x:c>
      <x:c r="M818" s="41" t="n">
        <x:v>6.802475</x:v>
      </x:c>
      <x:c r="N818" s="41" t="n">
        <x:v>-56.473669</x:v>
      </x:c>
      <x:c r="O818" s="41" t="n">
        <x:v>506.057416</x:v>
      </x:c>
      <x:c r="P818" s="41" t="n">
        <x:f>IFERROR(M818/ABS(N818),"")</x:f>
        <x:v>0.12045392340278087</x:v>
      </x:c>
      <x:c r="Q818" s="41" t="str">
        <x:f>IF(L818&gt;=MAX(H818,P818),"Weekly",IF(H818&gt;=MAX(L818,P818),"No weekly","SPY"))</x:f>
        <x:v>Weekly</x:v>
      </x:c>
      <x:c r="R818" s="41" t="n">
        <x:f>IFERROR(L818-P818,"")</x:f>
        <x:v>0.30201141581025154</x:v>
      </x:c>
      <x:c r="S818" s="41" t="n">
        <x:f>IFERROR(H818-P818,"")</x:f>
        <x:v>0.2448215208494876</x:v>
      </x:c>
      <x:c r="T818" s="41" t="n">
        <x:f>IFERROR(I818-M818,"")</x:f>
        <x:v>5.702659999999999</x:v>
      </x:c>
      <x:c r="U818" s="41" t="n">
        <x:f>IFERROR(E818-M818,"")</x:f>
        <x:v>5.372153</x:v>
      </x:c>
      <x:c r="V818" s="41" t="str">
        <x:f>IF(AND(I818&gt;M818,J818&gt;N818),"Sí","No")</x:f>
        <x:v>Sí</x:v>
      </x:c>
      <x:c r="W818" s="41" t="str">
        <x:f>IF(AND(E818&gt;M818,F818&gt;N818),"Sí","No")</x:f>
        <x:v>Sí</x:v>
      </x:c>
      <x:c r="X818" s="41" t="str">
        <x:f>IF(L818&gt;=H818,"Weekly","No weekly")</x:f>
        <x:v>Weekly</x:v>
      </x:c>
      <x:c r="Y818" s="41" t="n">
        <x:f>IFERROR(I818-E818,"")</x:f>
        <x:v>0.330506999999999</x:v>
      </x:c>
      <x:c r="Z818" s="41" t="n">
        <x:f>IFERROR(J818-F818,"")</x:f>
        <x:v>3.729612000000003</x:v>
      </x:c>
      <x:c r="AA818" s="41" t="n">
        <x:v>12041</x:v>
      </x:c>
      <x:c r="AB818" s="41" t="n">
        <x:v>6135</x:v>
      </x:c>
    </x:row>
    <x:row r="819">
      <x:c r="A819" s="41" t="str">
        <x:v>HYP_REFINE_AUTO002_TOPN_6_V1_DDGRID_LONG_R12_C22_E80_CR40_REDD_RECOVERED_DD7_SL22</x:v>
      </x:c>
      <x:c r="B819" s="41" t="str">
        <x:v>dd_guard_grid</x:v>
      </x:c>
      <x:c r="C819" s="41" t="str">
        <x:v>1999-01-04</x:v>
      </x:c>
      <x:c r="D819" s="41" t="str">
        <x:v>2026-05-22</x:v>
      </x:c>
      <x:c r="E819" s="41" t="n">
        <x:v>11.327066</x:v>
      </x:c>
      <x:c r="F819" s="41" t="n">
        <x:v>-34.569772</x:v>
      </x:c>
      <x:c r="G819" s="41" t="n">
        <x:v>1787.379962</x:v>
      </x:c>
      <x:c r="H819" s="41" t="n">
        <x:f>IFERROR(E819/ABS(F819),"")</x:f>
        <x:v>0.3276581054685579</x:v>
      </x:c>
      <x:c r="I819" s="41" t="n">
        <x:v>12.735921</x:v>
      </x:c>
      <x:c r="J819" s="41" t="n">
        <x:v>-30.077814</x:v>
      </x:c>
      <x:c r="K819" s="41" t="n">
        <x:v>2563.106649</x:v>
      </x:c>
      <x:c r="L819" s="41" t="n">
        <x:f>IFERROR(I819/ABS(J819),"")</x:f>
        <x:v>0.42343240103818713</x:v>
      </x:c>
      <x:c r="M819" s="41" t="n">
        <x:v>6.802475</x:v>
      </x:c>
      <x:c r="N819" s="41" t="n">
        <x:v>-56.473669</x:v>
      </x:c>
      <x:c r="O819" s="41" t="n">
        <x:v>506.057416</x:v>
      </x:c>
      <x:c r="P819" s="41" t="n">
        <x:f>IFERROR(M819/ABS(N819),"")</x:f>
        <x:v>0.12045392340278087</x:v>
      </x:c>
      <x:c r="Q819" s="41" t="str">
        <x:f>IF(L819&gt;=MAX(H819,P819),"Weekly",IF(H819&gt;=MAX(L819,P819),"No weekly","SPY"))</x:f>
        <x:v>Weekly</x:v>
      </x:c>
      <x:c r="R819" s="41" t="n">
        <x:f>IFERROR(L819-P819,"")</x:f>
        <x:v>0.30297847763540625</x:v>
      </x:c>
      <x:c r="S819" s="41" t="n">
        <x:f>IFERROR(H819-P819,"")</x:f>
        <x:v>0.207204182065777</x:v>
      </x:c>
      <x:c r="T819" s="41" t="n">
        <x:f>IFERROR(I819-M819,"")</x:f>
        <x:v>5.933445999999999</x:v>
      </x:c>
      <x:c r="U819" s="41" t="n">
        <x:f>IFERROR(E819-M819,"")</x:f>
        <x:v>4.524591</x:v>
      </x:c>
      <x:c r="V819" s="41" t="str">
        <x:f>IF(AND(I819&gt;M819,J819&gt;N819),"Sí","No")</x:f>
        <x:v>Sí</x:v>
      </x:c>
      <x:c r="W819" s="41" t="str">
        <x:f>IF(AND(E819&gt;M819,F819&gt;N819),"Sí","No")</x:f>
        <x:v>Sí</x:v>
      </x:c>
      <x:c r="X819" s="41" t="str">
        <x:f>IF(L819&gt;=H819,"Weekly","No weekly")</x:f>
        <x:v>Weekly</x:v>
      </x:c>
      <x:c r="Y819" s="41" t="n">
        <x:f>IFERROR(I819-E819,"")</x:f>
        <x:v>1.408854999999999</x:v>
      </x:c>
      <x:c r="Z819" s="41" t="n">
        <x:f>IFERROR(J819-F819,"")</x:f>
        <x:v>4.491958</x:v>
      </x:c>
      <x:c r="AA819" s="41" t="n">
        <x:v>12318</x:v>
      </x:c>
      <x:c r="AB819" s="41" t="n">
        <x:v>6197</x:v>
      </x:c>
    </x:row>
    <x:row r="820">
      <x:c r="A820" s="41" t="str">
        <x:v>HYP_REFINE_AUTO002_TOPN_6_V1_DDGRID_LONG_R12_C22_E80_CR40_REDD_RECOVERED_DD8_SL18</x:v>
      </x:c>
      <x:c r="B820" s="41" t="str">
        <x:v>dd_guard_grid</x:v>
      </x:c>
      <x:c r="C820" s="41" t="str">
        <x:v>1999-01-04</x:v>
      </x:c>
      <x:c r="D820" s="41" t="str">
        <x:v>2026-05-22</x:v>
      </x:c>
      <x:c r="E820" s="41" t="n">
        <x:v>10.833428</x:v>
      </x:c>
      <x:c r="F820" s="41" t="n">
        <x:v>-32.217018</x:v>
      </x:c>
      <x:c r="G820" s="41" t="n">
        <x:v>1571.163422</x:v>
      </x:c>
      <x:c r="H820" s="41" t="n">
        <x:f>IFERROR(E820/ABS(F820),"")</x:f>
        <x:v>0.3362641446207094</x:v>
      </x:c>
      <x:c r="I820" s="41" t="n">
        <x:v>12.440793</x:v>
      </x:c>
      <x:c r="J820" s="41" t="n">
        <x:v>-30.284949</x:v>
      </x:c>
      <x:c r="K820" s="41" t="n">
        <x:v>2378.679454</x:v>
      </x:c>
      <x:c r="L820" s="41" t="n">
        <x:f>IFERROR(I820/ABS(J820),"")</x:f>
        <x:v>0.41079128117402475</x:v>
      </x:c>
      <x:c r="M820" s="41" t="n">
        <x:v>6.802475</x:v>
      </x:c>
      <x:c r="N820" s="41" t="n">
        <x:v>-56.473669</x:v>
      </x:c>
      <x:c r="O820" s="41" t="n">
        <x:v>506.057416</x:v>
      </x:c>
      <x:c r="P820" s="41" t="n">
        <x:f>IFERROR(M820/ABS(N820),"")</x:f>
        <x:v>0.12045392340278087</x:v>
      </x:c>
      <x:c r="Q820" s="41" t="str">
        <x:f>IF(L820&gt;=MAX(H820,P820),"Weekly",IF(H820&gt;=MAX(L820,P820),"No weekly","SPY"))</x:f>
        <x:v>Weekly</x:v>
      </x:c>
      <x:c r="R820" s="41" t="n">
        <x:f>IFERROR(L820-P820,"")</x:f>
        <x:v>0.29033735777124386</x:v>
      </x:c>
      <x:c r="S820" s="41" t="n">
        <x:f>IFERROR(H820-P820,"")</x:f>
        <x:v>0.21581022121792853</x:v>
      </x:c>
      <x:c r="T820" s="41" t="n">
        <x:f>IFERROR(I820-M820,"")</x:f>
        <x:v>5.638317999999999</x:v>
      </x:c>
      <x:c r="U820" s="41" t="n">
        <x:f>IFERROR(E820-M820,"")</x:f>
        <x:v>4.030952999999999</x:v>
      </x:c>
      <x:c r="V820" s="41" t="str">
        <x:f>IF(AND(I820&gt;M820,J820&gt;N820),"Sí","No")</x:f>
        <x:v>Sí</x:v>
      </x:c>
      <x:c r="W820" s="41" t="str">
        <x:f>IF(AND(E820&gt;M820,F820&gt;N820),"Sí","No")</x:f>
        <x:v>Sí</x:v>
      </x:c>
      <x:c r="X820" s="41" t="str">
        <x:f>IF(L820&gt;=H820,"Weekly","No weekly")</x:f>
        <x:v>Weekly</x:v>
      </x:c>
      <x:c r="Y820" s="41" t="n">
        <x:f>IFERROR(I820-E820,"")</x:f>
        <x:v>1.6073649999999997</x:v>
      </x:c>
      <x:c r="Z820" s="41" t="n">
        <x:f>IFERROR(J820-F820,"")</x:f>
        <x:v>1.932069000000002</x:v>
      </x:c>
      <x:c r="AA820" s="41" t="n">
        <x:v>11760</x:v>
      </x:c>
      <x:c r="AB820" s="41" t="n">
        <x:v>5822</x:v>
      </x:c>
    </x:row>
    <x:row r="821">
      <x:c r="A821" s="41" t="str">
        <x:v>HYP_REFINE_AUTO002_TOPN_6_V1_DDGRID_LONG_R12_C22_E80_CR40_REDD_RECOVERED_DD8_SL20</x:v>
      </x:c>
      <x:c r="B821" s="41" t="str">
        <x:v>dd_guard_grid</x:v>
      </x:c>
      <x:c r="C821" s="41" t="str">
        <x:v>1999-01-04</x:v>
      </x:c>
      <x:c r="D821" s="41" t="str">
        <x:v>2026-05-22</x:v>
      </x:c>
      <x:c r="E821" s="41" t="n">
        <x:v>12.141196</x:v>
      </x:c>
      <x:c r="F821" s="41" t="n">
        <x:v>-33.329993</x:v>
      </x:c>
      <x:c r="G821" s="41" t="n">
        <x:v>2204.074272</x:v>
      </x:c>
      <x:c r="H821" s="41" t="n">
        <x:f>IFERROR(E821/ABS(F821),"")</x:f>
        <x:v>0.36427238373557413</x:v>
      </x:c>
      <x:c r="I821" s="41" t="n">
        <x:v>12.544172</x:v>
      </x:c>
      <x:c r="J821" s="41" t="n">
        <x:v>-29.600381</x:v>
      </x:c>
      <x:c r="K821" s="41" t="n">
        <x:v>2441.835541</x:v>
      </x:c>
      <x:c r="L821" s="41" t="n">
        <x:f>IFERROR(I821/ABS(J821),"")</x:f>
        <x:v>0.4237841398054978</x:v>
      </x:c>
      <x:c r="M821" s="41" t="n">
        <x:v>6.802475</x:v>
      </x:c>
      <x:c r="N821" s="41" t="n">
        <x:v>-56.473669</x:v>
      </x:c>
      <x:c r="O821" s="41" t="n">
        <x:v>506.057416</x:v>
      </x:c>
      <x:c r="P821" s="41" t="n">
        <x:f>IFERROR(M821/ABS(N821),"")</x:f>
        <x:v>0.12045392340278087</x:v>
      </x:c>
      <x:c r="Q821" s="41" t="str">
        <x:f>IF(L821&gt;=MAX(H821,P821),"Weekly",IF(H821&gt;=MAX(L821,P821),"No weekly","SPY"))</x:f>
        <x:v>Weekly</x:v>
      </x:c>
      <x:c r="R821" s="41" t="n">
        <x:f>IFERROR(L821-P821,"")</x:f>
        <x:v>0.3033302164027169</x:v>
      </x:c>
      <x:c r="S821" s="41" t="n">
        <x:f>IFERROR(H821-P821,"")</x:f>
        <x:v>0.24381846033279325</x:v>
      </x:c>
      <x:c r="T821" s="41" t="n">
        <x:f>IFERROR(I821-M821,"")</x:f>
        <x:v>5.741696999999999</x:v>
      </x:c>
      <x:c r="U821" s="41" t="n">
        <x:f>IFERROR(E821-M821,"")</x:f>
        <x:v>5.3387210000000005</x:v>
      </x:c>
      <x:c r="V821" s="41" t="str">
        <x:f>IF(AND(I821&gt;M821,J821&gt;N821),"Sí","No")</x:f>
        <x:v>Sí</x:v>
      </x:c>
      <x:c r="W821" s="41" t="str">
        <x:f>IF(AND(E821&gt;M821,F821&gt;N821),"Sí","No")</x:f>
        <x:v>Sí</x:v>
      </x:c>
      <x:c r="X821" s="41" t="str">
        <x:f>IF(L821&gt;=H821,"Weekly","No weekly")</x:f>
        <x:v>Weekly</x:v>
      </x:c>
      <x:c r="Y821" s="41" t="n">
        <x:f>IFERROR(I821-E821,"")</x:f>
        <x:v>0.4029759999999989</x:v>
      </x:c>
      <x:c r="Z821" s="41" t="n">
        <x:f>IFERROR(J821-F821,"")</x:f>
        <x:v>3.729612000000003</x:v>
      </x:c>
      <x:c r="AA821" s="41" t="n">
        <x:v>11913</x:v>
      </x:c>
      <x:c r="AB821" s="41" t="n">
        <x:v>5913</x:v>
      </x:c>
    </x:row>
    <x:row r="822">
      <x:c r="A822" s="41" t="str">
        <x:v>HYP_REFINE_AUTO002_TOPN_6_V1_DDGRID_LONG_R12_C22_E80_CR40_REDD_RECOVERED_DD8_SL22</x:v>
      </x:c>
      <x:c r="B822" s="41" t="str">
        <x:v>dd_guard_grid</x:v>
      </x:c>
      <x:c r="C822" s="41" t="str">
        <x:v>1999-01-04</x:v>
      </x:c>
      <x:c r="D822" s="41" t="str">
        <x:v>2026-05-22</x:v>
      </x:c>
      <x:c r="E822" s="41" t="n">
        <x:v>11.255462</x:v>
      </x:c>
      <x:c r="F822" s="41" t="n">
        <x:v>-34.569772</x:v>
      </x:c>
      <x:c r="G822" s="41" t="n">
        <x:v>1754.424838</x:v>
      </x:c>
      <x:c r="H822" s="41" t="n">
        <x:f>IFERROR(E822/ABS(F822),"")</x:f>
        <x:v>0.3255868161352062</x:v>
      </x:c>
      <x:c r="I822" s="41" t="n">
        <x:v>12.811852</x:v>
      </x:c>
      <x:c r="J822" s="41" t="n">
        <x:v>-30.077814</x:v>
      </x:c>
      <x:c r="K822" s="41" t="n">
        <x:v>2612.653885</x:v>
      </x:c>
      <x:c r="L822" s="41" t="n">
        <x:f>IFERROR(I822/ABS(J822),"")</x:f>
        <x:v>0.42595688636148893</x:v>
      </x:c>
      <x:c r="M822" s="41" t="n">
        <x:v>6.802475</x:v>
      </x:c>
      <x:c r="N822" s="41" t="n">
        <x:v>-56.473669</x:v>
      </x:c>
      <x:c r="O822" s="41" t="n">
        <x:v>506.057416</x:v>
      </x:c>
      <x:c r="P822" s="41" t="n">
        <x:f>IFERROR(M822/ABS(N822),"")</x:f>
        <x:v>0.12045392340278087</x:v>
      </x:c>
      <x:c r="Q822" s="41" t="str">
        <x:f>IF(L822&gt;=MAX(H822,P822),"Weekly",IF(H822&gt;=MAX(L822,P822),"No weekly","SPY"))</x:f>
        <x:v>Weekly</x:v>
      </x:c>
      <x:c r="R822" s="41" t="n">
        <x:f>IFERROR(L822-P822,"")</x:f>
        <x:v>0.30550296295870805</x:v>
      </x:c>
      <x:c r="S822" s="41" t="n">
        <x:f>IFERROR(H822-P822,"")</x:f>
        <x:v>0.2051328927324253</x:v>
      </x:c>
      <x:c r="T822" s="41" t="n">
        <x:f>IFERROR(I822-M822,"")</x:f>
        <x:v>6.009377</x:v>
      </x:c>
      <x:c r="U822" s="41" t="n">
        <x:f>IFERROR(E822-M822,"")</x:f>
        <x:v>4.452986999999999</x:v>
      </x:c>
      <x:c r="V822" s="41" t="str">
        <x:f>IF(AND(I822&gt;M822,J822&gt;N822),"Sí","No")</x:f>
        <x:v>Sí</x:v>
      </x:c>
      <x:c r="W822" s="41" t="str">
        <x:f>IF(AND(E822&gt;M822,F822&gt;N822),"Sí","No")</x:f>
        <x:v>Sí</x:v>
      </x:c>
      <x:c r="X822" s="41" t="str">
        <x:f>IF(L822&gt;=H822,"Weekly","No weekly")</x:f>
        <x:v>Weekly</x:v>
      </x:c>
      <x:c r="Y822" s="41" t="n">
        <x:f>IFERROR(I822-E822,"")</x:f>
        <x:v>1.5563900000000004</x:v>
      </x:c>
      <x:c r="Z822" s="41" t="n">
        <x:f>IFERROR(J822-F822,"")</x:f>
        <x:v>4.491958</x:v>
      </x:c>
      <x:c r="AA822" s="41" t="n">
        <x:v>12154</x:v>
      </x:c>
      <x:c r="AB822" s="41" t="n">
        <x:v>5887</x:v>
      </x:c>
    </x:row>
    <x:row r="823">
      <x:c r="A823" s="41" t="str">
        <x:v>HYP_REFINE_AUTO002_TOPN_6_V1_DDGRID_LONG_R12_C22_E80_CR40_REDD_RECOVERED_DD8_SL24</x:v>
      </x:c>
      <x:c r="B823" s="41" t="str">
        <x:v>dd_guard_grid</x:v>
      </x:c>
      <x:c r="C823" s="41" t="str">
        <x:v>1999-01-04</x:v>
      </x:c>
      <x:c r="D823" s="41" t="str">
        <x:v>2026-05-22</x:v>
      </x:c>
      <x:c r="E823" s="41" t="n">
        <x:v>11.287509</x:v>
      </x:c>
      <x:c r="F823" s="41" t="n">
        <x:v>-34.858121</x:v>
      </x:c>
      <x:c r="G823" s="41" t="n">
        <x:v>1769.104979</x:v>
      </x:c>
      <x:c r="H823" s="41" t="n">
        <x:f>IFERROR(E823/ABS(F823),"")</x:f>
        <x:v>0.3238128928406669</x:v>
      </x:c>
      <x:c r="I823" s="41" t="n">
        <x:v>12.703733</x:v>
      </x:c>
      <x:c r="J823" s="41" t="n">
        <x:v>-29.576237</x:v>
      </x:c>
      <x:c r="K823" s="41" t="n">
        <x:v>2542.367067</x:v>
      </x:c>
      <x:c r="L823" s="41" t="n">
        <x:f>IFERROR(I823/ABS(J823),"")</x:f>
        <x:v>0.4295249933248777</x:v>
      </x:c>
      <x:c r="M823" s="41" t="n">
        <x:v>6.802475</x:v>
      </x:c>
      <x:c r="N823" s="41" t="n">
        <x:v>-56.473669</x:v>
      </x:c>
      <x:c r="O823" s="41" t="n">
        <x:v>506.057416</x:v>
      </x:c>
      <x:c r="P823" s="41" t="n">
        <x:f>IFERROR(M823/ABS(N823),"")</x:f>
        <x:v>0.12045392340278087</x:v>
      </x:c>
      <x:c r="Q823" s="41" t="str">
        <x:f>IF(L823&gt;=MAX(H823,P823),"Weekly",IF(H823&gt;=MAX(L823,P823),"No weekly","SPY"))</x:f>
        <x:v>Weekly</x:v>
      </x:c>
      <x:c r="R823" s="41" t="n">
        <x:f>IFERROR(L823-P823,"")</x:f>
        <x:v>0.3090710699220968</x:v>
      </x:c>
      <x:c r="S823" s="41" t="n">
        <x:f>IFERROR(H823-P823,"")</x:f>
        <x:v>0.203358969437886</x:v>
      </x:c>
      <x:c r="T823" s="41" t="n">
        <x:f>IFERROR(I823-M823,"")</x:f>
        <x:v>5.9012579999999994</x:v>
      </x:c>
      <x:c r="U823" s="41" t="n">
        <x:f>IFERROR(E823-M823,"")</x:f>
        <x:v>4.485034</x:v>
      </x:c>
      <x:c r="V823" s="41" t="str">
        <x:f>IF(AND(I823&gt;M823,J823&gt;N823),"Sí","No")</x:f>
        <x:v>Sí</x:v>
      </x:c>
      <x:c r="W823" s="41" t="str">
        <x:f>IF(AND(E823&gt;M823,F823&gt;N823),"Sí","No")</x:f>
        <x:v>Sí</x:v>
      </x:c>
      <x:c r="X823" s="41" t="str">
        <x:f>IF(L823&gt;=H823,"Weekly","No weekly")</x:f>
        <x:v>Weekly</x:v>
      </x:c>
      <x:c r="Y823" s="41" t="n">
        <x:f>IFERROR(I823-E823,"")</x:f>
        <x:v>1.4162239999999997</x:v>
      </x:c>
      <x:c r="Z823" s="41" t="n">
        <x:f>IFERROR(J823-F823,"")</x:f>
        <x:v>5.281883999999998</x:v>
      </x:c>
      <x:c r="AA823" s="41" t="n">
        <x:v>11993</x:v>
      </x:c>
      <x:c r="AB823" s="41" t="n">
        <x:v>6278</x:v>
      </x:c>
    </x:row>
    <x:row r="824">
      <x:c r="A824" s="41" t="str">
        <x:v>HYP_REFINE_AUTO002_TOPN_6_V1_DDGRID_LONG_R12_C22_E80_CR40_REDD_RECOVERED_DD8_SLNONE</x:v>
      </x:c>
      <x:c r="B824" s="41" t="str">
        <x:v>dd_guard_grid</x:v>
      </x:c>
      <x:c r="C824" s="41" t="str">
        <x:v>1999-01-04</x:v>
      </x:c>
      <x:c r="D824" s="41" t="str">
        <x:v>2026-05-22</x:v>
      </x:c>
      <x:c r="E824" s="41" t="n">
        <x:v>12.533627</x:v>
      </x:c>
      <x:c r="F824" s="41" t="n">
        <x:v>-34.256908</x:v>
      </x:c>
      <x:c r="G824" s="41" t="n">
        <x:v>2435.323316</x:v>
      </x:c>
      <x:c r="H824" s="41" t="n">
        <x:f>IFERROR(E824/ABS(F824),"")</x:f>
        <x:v>0.3658715199865673</x:v>
      </x:c>
      <x:c r="I824" s="41" t="n">
        <x:v>13.519122</x:v>
      </x:c>
      <x:c r="J824" s="41" t="n">
        <x:v>-30.145006</x:v>
      </x:c>
      <x:c r="K824" s="41" t="n">
        <x:v>3118.901152</x:v>
      </x:c>
      <x:c r="L824" s="41" t="n">
        <x:f>IFERROR(I824/ABS(J824),"")</x:f>
        <x:v>0.44846970672356146</x:v>
      </x:c>
      <x:c r="M824" s="41" t="n">
        <x:v>6.802475</x:v>
      </x:c>
      <x:c r="N824" s="41" t="n">
        <x:v>-56.473669</x:v>
      </x:c>
      <x:c r="O824" s="41" t="n">
        <x:v>506.057416</x:v>
      </x:c>
      <x:c r="P824" s="41" t="n">
        <x:f>IFERROR(M824/ABS(N824),"")</x:f>
        <x:v>0.12045392340278087</x:v>
      </x:c>
      <x:c r="Q824" s="41" t="str">
        <x:f>IF(L824&gt;=MAX(H824,P824),"Weekly",IF(H824&gt;=MAX(L824,P824),"No weekly","SPY"))</x:f>
        <x:v>Weekly</x:v>
      </x:c>
      <x:c r="R824" s="41" t="n">
        <x:f>IFERROR(L824-P824,"")</x:f>
        <x:v>0.3280157833207806</x:v>
      </x:c>
      <x:c r="S824" s="41" t="n">
        <x:f>IFERROR(H824-P824,"")</x:f>
        <x:v>0.24541759658378642</x:v>
      </x:c>
      <x:c r="T824" s="41" t="n">
        <x:f>IFERROR(I824-M824,"")</x:f>
        <x:v>6.716646999999999</x:v>
      </x:c>
      <x:c r="U824" s="41" t="n">
        <x:f>IFERROR(E824-M824,"")</x:f>
        <x:v>5.731151999999999</x:v>
      </x:c>
      <x:c r="V824" s="41" t="str">
        <x:f>IF(AND(I824&gt;M824,J824&gt;N824),"Sí","No")</x:f>
        <x:v>Sí</x:v>
      </x:c>
      <x:c r="W824" s="41" t="str">
        <x:f>IF(AND(E824&gt;M824,F824&gt;N824),"Sí","No")</x:f>
        <x:v>Sí</x:v>
      </x:c>
      <x:c r="X824" s="41" t="str">
        <x:f>IF(L824&gt;=H824,"Weekly","No weekly")</x:f>
        <x:v>Weekly</x:v>
      </x:c>
      <x:c r="Y824" s="41" t="n">
        <x:f>IFERROR(I824-E824,"")</x:f>
        <x:v>0.9854950000000002</x:v>
      </x:c>
      <x:c r="Z824" s="41" t="n">
        <x:f>IFERROR(J824-F824,"")</x:f>
        <x:v>4.111902000000004</x:v>
      </x:c>
      <x:c r="AA824" s="41" t="n">
        <x:v>12193</x:v>
      </x:c>
      <x:c r="AB824" s="41" t="n">
        <x:v>6280</x:v>
      </x:c>
    </x:row>
    <x:row r="825">
      <x:c r="A825" s="41" t="str">
        <x:v>HYP_REFINE_AUTO002_TOPN_6_V1_DDGRID_LONG_R12_C22_E80_CR40_REDD_RECOVERED_DD9_SL18</x:v>
      </x:c>
      <x:c r="B825" s="41" t="str">
        <x:v>dd_guard_grid</x:v>
      </x:c>
      <x:c r="C825" s="41" t="str">
        <x:v>1999-01-04</x:v>
      </x:c>
      <x:c r="D825" s="41" t="str">
        <x:v>2026-05-22</x:v>
      </x:c>
      <x:c r="E825" s="41" t="n">
        <x:v>10.533951</x:v>
      </x:c>
      <x:c r="F825" s="41" t="n">
        <x:v>-32.217018</x:v>
      </x:c>
      <x:c r="G825" s="41" t="n">
        <x:v>1451.840955</x:v>
      </x:c>
      <x:c r="H825" s="41" t="n">
        <x:f>IFERROR(E825/ABS(F825),"")</x:f>
        <x:v>0.32696852948960076</x:v>
      </x:c>
      <x:c r="I825" s="41" t="n">
        <x:v>12.247405</x:v>
      </x:c>
      <x:c r="J825" s="41" t="n">
        <x:v>-30.284949</x:v>
      </x:c>
      <x:c r="K825" s="41" t="n">
        <x:v>2264.571445</x:v>
      </x:c>
      <x:c r="L825" s="41" t="n">
        <x:f>IFERROR(I825/ABS(J825),"")</x:f>
        <x:v>0.4044056669865946</x:v>
      </x:c>
      <x:c r="M825" s="41" t="n">
        <x:v>6.802475</x:v>
      </x:c>
      <x:c r="N825" s="41" t="n">
        <x:v>-56.473669</x:v>
      </x:c>
      <x:c r="O825" s="41" t="n">
        <x:v>506.057416</x:v>
      </x:c>
      <x:c r="P825" s="41" t="n">
        <x:f>IFERROR(M825/ABS(N825),"")</x:f>
        <x:v>0.12045392340278087</x:v>
      </x:c>
      <x:c r="Q825" s="41" t="str">
        <x:f>IF(L825&gt;=MAX(H825,P825),"Weekly",IF(H825&gt;=MAX(L825,P825),"No weekly","SPY"))</x:f>
        <x:v>Weekly</x:v>
      </x:c>
      <x:c r="R825" s="41" t="n">
        <x:f>IFERROR(L825-P825,"")</x:f>
        <x:v>0.2839517435838137</x:v>
      </x:c>
      <x:c r="S825" s="41" t="n">
        <x:f>IFERROR(H825-P825,"")</x:f>
        <x:v>0.20651460608681987</x:v>
      </x:c>
      <x:c r="T825" s="41" t="n">
        <x:f>IFERROR(I825-M825,"")</x:f>
        <x:v>5.44493</x:v>
      </x:c>
      <x:c r="U825" s="41" t="n">
        <x:f>IFERROR(E825-M825,"")</x:f>
        <x:v>3.731476</x:v>
      </x:c>
      <x:c r="V825" s="41" t="str">
        <x:f>IF(AND(I825&gt;M825,J825&gt;N825),"Sí","No")</x:f>
        <x:v>Sí</x:v>
      </x:c>
      <x:c r="W825" s="41" t="str">
        <x:f>IF(AND(E825&gt;M825,F825&gt;N825),"Sí","No")</x:f>
        <x:v>Sí</x:v>
      </x:c>
      <x:c r="X825" s="41" t="str">
        <x:f>IF(L825&gt;=H825,"Weekly","No weekly")</x:f>
        <x:v>Weekly</x:v>
      </x:c>
      <x:c r="Y825" s="41" t="n">
        <x:f>IFERROR(I825-E825,"")</x:f>
        <x:v>1.7134540000000005</x:v>
      </x:c>
      <x:c r="Z825" s="41" t="n">
        <x:f>IFERROR(J825-F825,"")</x:f>
        <x:v>1.932069000000002</x:v>
      </x:c>
      <x:c r="AA825" s="41" t="n">
        <x:v>11662</x:v>
      </x:c>
      <x:c r="AB825" s="41" t="n">
        <x:v>5736</x:v>
      </x:c>
    </x:row>
    <x:row r="826">
      <x:c r="A826" s="41" t="str">
        <x:v>HYP_REFINE_AUTO002_TOPN_6_V1_DDGRID_LONG_R12_C22_E80_CR40_REDD_RECOVERED_DD9_SL20</x:v>
      </x:c>
      <x:c r="B826" s="41" t="str">
        <x:v>dd_guard_grid</x:v>
      </x:c>
      <x:c r="C826" s="41" t="str">
        <x:v>1999-01-04</x:v>
      </x:c>
      <x:c r="D826" s="41" t="str">
        <x:v>2026-05-22</x:v>
      </x:c>
      <x:c r="E826" s="41" t="n">
        <x:v>11.896205</x:v>
      </x:c>
      <x:c r="F826" s="41" t="n">
        <x:v>-33.329993</x:v>
      </x:c>
      <x:c r="G826" s="41" t="n">
        <x:v>2070.159534</x:v>
      </x:c>
      <x:c r="H826" s="41" t="n">
        <x:f>IFERROR(E826/ABS(F826),"")</x:f>
        <x:v>0.3569219171453171</x:v>
      </x:c>
      <x:c r="I826" s="41" t="n">
        <x:v>12.644035</x:v>
      </x:c>
      <x:c r="J826" s="41" t="n">
        <x:v>-29.600381</x:v>
      </x:c>
      <x:c r="K826" s="41" t="n">
        <x:v>2504.314208</x:v>
      </x:c>
      <x:c r="L826" s="41" t="n">
        <x:f>IFERROR(I826/ABS(J826),"")</x:f>
        <x:v>0.4271578463804233</x:v>
      </x:c>
      <x:c r="M826" s="41" t="n">
        <x:v>6.802475</x:v>
      </x:c>
      <x:c r="N826" s="41" t="n">
        <x:v>-56.473669</x:v>
      </x:c>
      <x:c r="O826" s="41" t="n">
        <x:v>506.057416</x:v>
      </x:c>
      <x:c r="P826" s="41" t="n">
        <x:f>IFERROR(M826/ABS(N826),"")</x:f>
        <x:v>0.12045392340278087</x:v>
      </x:c>
      <x:c r="Q826" s="41" t="str">
        <x:f>IF(L826&gt;=MAX(H826,P826),"Weekly",IF(H826&gt;=MAX(L826,P826),"No weekly","SPY"))</x:f>
        <x:v>Weekly</x:v>
      </x:c>
      <x:c r="R826" s="41" t="n">
        <x:f>IFERROR(L826-P826,"")</x:f>
        <x:v>0.30670392297764243</x:v>
      </x:c>
      <x:c r="S826" s="41" t="n">
        <x:f>IFERROR(H826-P826,"")</x:f>
        <x:v>0.23646799374253624</x:v>
      </x:c>
      <x:c r="T826" s="41" t="n">
        <x:f>IFERROR(I826-M826,"")</x:f>
        <x:v>5.84156</x:v>
      </x:c>
      <x:c r="U826" s="41" t="n">
        <x:f>IFERROR(E826-M826,"")</x:f>
        <x:v>5.09373</x:v>
      </x:c>
      <x:c r="V826" s="41" t="str">
        <x:f>IF(AND(I826&gt;M826,J826&gt;N826),"Sí","No")</x:f>
        <x:v>Sí</x:v>
      </x:c>
      <x:c r="W826" s="41" t="str">
        <x:f>IF(AND(E826&gt;M826,F826&gt;N826),"Sí","No")</x:f>
        <x:v>Sí</x:v>
      </x:c>
      <x:c r="X826" s="41" t="str">
        <x:f>IF(L826&gt;=H826,"Weekly","No weekly")</x:f>
        <x:v>Weekly</x:v>
      </x:c>
      <x:c r="Y826" s="41" t="n">
        <x:f>IFERROR(I826-E826,"")</x:f>
        <x:v>0.7478300000000004</x:v>
      </x:c>
      <x:c r="Z826" s="41" t="n">
        <x:f>IFERROR(J826-F826,"")</x:f>
        <x:v>3.729612000000003</x:v>
      </x:c>
      <x:c r="AA826" s="41" t="n">
        <x:v>11667</x:v>
      </x:c>
      <x:c r="AB826" s="41" t="n">
        <x:v>5775</x:v>
      </x:c>
    </x:row>
    <x:row r="827">
      <x:c r="A827" s="41" t="str">
        <x:v>HYP_REFINE_AUTO002_TOPN_6_V1_DDGRID_LONG_R12_C22_E80_CR42_REDD_RECOVERED_DD8_SL20</x:v>
      </x:c>
      <x:c r="B827" s="41" t="str">
        <x:v>dd_guard_grid</x:v>
      </x:c>
      <x:c r="C827" s="41" t="str">
        <x:v>1999-01-04</x:v>
      </x:c>
      <x:c r="D827" s="41" t="str">
        <x:v>2026-05-22</x:v>
      </x:c>
      <x:c r="E827" s="41" t="n">
        <x:v>12.713857</x:v>
      </x:c>
      <x:c r="F827" s="41" t="n">
        <x:v>-33.644778</x:v>
      </x:c>
      <x:c r="G827" s="41" t="n">
        <x:v>2548.873715</x:v>
      </x:c>
      <x:c r="H827" s="41" t="n">
        <x:f>IFERROR(E827/ABS(F827),"")</x:f>
        <x:v>0.3778850019459186</x:v>
      </x:c>
      <x:c r="I827" s="41" t="n">
        <x:v>13.253911</x:v>
      </x:c>
      <x:c r="J827" s="41" t="n">
        <x:v>-29.672027</x:v>
      </x:c>
      <x:c r="K827" s="41" t="n">
        <x:v>2919.229991</x:v>
      </x:c>
      <x:c r="L827" s="41" t="n">
        <x:f>IFERROR(I827/ABS(J827),"")</x:f>
        <x:v>0.4466803363315894</x:v>
      </x:c>
      <x:c r="M827" s="41" t="n">
        <x:v>6.802475</x:v>
      </x:c>
      <x:c r="N827" s="41" t="n">
        <x:v>-56.473669</x:v>
      </x:c>
      <x:c r="O827" s="41" t="n">
        <x:v>506.057416</x:v>
      </x:c>
      <x:c r="P827" s="41" t="n">
        <x:f>IFERROR(M827/ABS(N827),"")</x:f>
        <x:v>0.12045392340278087</x:v>
      </x:c>
      <x:c r="Q827" s="41" t="str">
        <x:f>IF(L827&gt;=MAX(H827,P827),"Weekly",IF(H827&gt;=MAX(L827,P827),"No weekly","SPY"))</x:f>
        <x:v>Weekly</x:v>
      </x:c>
      <x:c r="R827" s="41" t="n">
        <x:f>IFERROR(L827-P827,"")</x:f>
        <x:v>0.3262264129288085</x:v>
      </x:c>
      <x:c r="S827" s="41" t="n">
        <x:f>IFERROR(H827-P827,"")</x:f>
        <x:v>0.25743107854313774</x:v>
      </x:c>
      <x:c r="T827" s="41" t="n">
        <x:f>IFERROR(I827-M827,"")</x:f>
        <x:v>6.451436</x:v>
      </x:c>
      <x:c r="U827" s="41" t="n">
        <x:f>IFERROR(E827-M827,"")</x:f>
        <x:v>5.911382000000001</x:v>
      </x:c>
      <x:c r="V827" s="41" t="str">
        <x:f>IF(AND(I827&gt;M827,J827&gt;N827),"Sí","No")</x:f>
        <x:v>Sí</x:v>
      </x:c>
      <x:c r="W827" s="41" t="str">
        <x:f>IF(AND(E827&gt;M827,F827&gt;N827),"Sí","No")</x:f>
        <x:v>Sí</x:v>
      </x:c>
      <x:c r="X827" s="41" t="str">
        <x:f>IF(L827&gt;=H827,"Weekly","No weekly")</x:f>
        <x:v>Weekly</x:v>
      </x:c>
      <x:c r="Y827" s="41" t="n">
        <x:f>IFERROR(I827-E827,"")</x:f>
        <x:v>0.5400539999999996</x:v>
      </x:c>
      <x:c r="Z827" s="41" t="n">
        <x:f>IFERROR(J827-F827,"")</x:f>
        <x:v>3.9727510000000024</x:v>
      </x:c>
      <x:c r="AA827" s="41" t="n">
        <x:v>11560</x:v>
      </x:c>
      <x:c r="AB827" s="41" t="n">
        <x:v>5922</x:v>
      </x:c>
    </x:row>
    <x:row r="828">
      <x:c r="A828" s="41" t="str">
        <x:v>HYP_REFINE_AUTO002_TOPN_6_V1_DDGRID_LONG_R12_C22_E80_CR45_REDD_RECOVERED_DD8_SL20</x:v>
      </x:c>
      <x:c r="B828" s="41" t="str">
        <x:v>dd_guard_grid</x:v>
      </x:c>
      <x:c r="C828" s="41" t="str">
        <x:v>1999-01-04</x:v>
      </x:c>
      <x:c r="D828" s="41" t="str">
        <x:v>2026-05-22</x:v>
      </x:c>
      <x:c r="E828" s="41" t="n">
        <x:v>14.10796</x:v>
      </x:c>
      <x:c r="F828" s="41" t="n">
        <x:v>-34.45361</x:v>
      </x:c>
      <x:c r="G828" s="41" t="n">
        <x:v>3608.727755</x:v>
      </x:c>
      <x:c r="H828" s="41" t="n">
        <x:f>IFERROR(E828/ABS(F828),"")</x:f>
        <x:v>0.4094769749817218</x:v>
      </x:c>
      <x:c r="I828" s="41" t="n">
        <x:v>13.430765</x:v>
      </x:c>
      <x:c r="J828" s="41" t="n">
        <x:v>-30.293135</x:v>
      </x:c>
      <x:c r="K828" s="41" t="n">
        <x:v>3051.006555</x:v>
      </x:c>
      <x:c r="L828" s="41" t="n">
        <x:f>IFERROR(I828/ABS(J828),"")</x:f>
        <x:v>0.4433600219983834</x:v>
      </x:c>
      <x:c r="M828" s="41" t="n">
        <x:v>6.802475</x:v>
      </x:c>
      <x:c r="N828" s="41" t="n">
        <x:v>-56.473669</x:v>
      </x:c>
      <x:c r="O828" s="41" t="n">
        <x:v>506.057416</x:v>
      </x:c>
      <x:c r="P828" s="41" t="n">
        <x:f>IFERROR(M828/ABS(N828),"")</x:f>
        <x:v>0.12045392340278087</x:v>
      </x:c>
      <x:c r="Q828" s="41" t="str">
        <x:f>IF(L828&gt;=MAX(H828,P828),"Weekly",IF(H828&gt;=MAX(L828,P828),"No weekly","SPY"))</x:f>
        <x:v>Weekly</x:v>
      </x:c>
      <x:c r="R828" s="41" t="n">
        <x:f>IFERROR(L828-P828,"")</x:f>
        <x:v>0.32290609859560254</x:v>
      </x:c>
      <x:c r="S828" s="41" t="n">
        <x:f>IFERROR(H828-P828,"")</x:f>
        <x:v>0.2890230515789409</x:v>
      </x:c>
      <x:c r="T828" s="41" t="n">
        <x:f>IFERROR(I828-M828,"")</x:f>
        <x:v>6.628289999999999</x:v>
      </x:c>
      <x:c r="U828" s="41" t="n">
        <x:f>IFERROR(E828-M828,"")</x:f>
        <x:v>7.305485</x:v>
      </x:c>
      <x:c r="V828" s="41" t="str">
        <x:f>IF(AND(I828&gt;M828,J828&gt;N828),"Sí","No")</x:f>
        <x:v>Sí</x:v>
      </x:c>
      <x:c r="W828" s="41" t="str">
        <x:f>IF(AND(E828&gt;M828,F828&gt;N828),"Sí","No")</x:f>
        <x:v>Sí</x:v>
      </x:c>
      <x:c r="X828" s="41" t="str">
        <x:f>IF(L828&gt;=H828,"Weekly","No weekly")</x:f>
        <x:v>Weekly</x:v>
      </x:c>
      <x:c r="Y828" s="41" t="n">
        <x:f>IFERROR(I828-E828,"")</x:f>
        <x:v>-0.6771950000000011</x:v>
      </x:c>
      <x:c r="Z828" s="41" t="n">
        <x:f>IFERROR(J828-F828,"")</x:f>
        <x:v>4.160474999999998</x:v>
      </x:c>
      <x:c r="AA828" s="41" t="n">
        <x:v>11742</x:v>
      </x:c>
      <x:c r="AB828" s="41" t="n">
        <x:v>5675</x:v>
      </x:c>
    </x:row>
    <x:row r="829">
      <x:c r="A829" s="41" t="str">
        <x:v>HYP_REFINE_AUTO002_TOPN_6_V1_DDGRID_LONG_R12_C23_E68_CR40_REDD_RECOVERED_DD8_SL22</x:v>
      </x:c>
      <x:c r="B829" s="41" t="str">
        <x:v>dd_guard_grid</x:v>
      </x:c>
      <x:c r="C829" s="41" t="str">
        <x:v>1999-01-04</x:v>
      </x:c>
      <x:c r="D829" s="41" t="str">
        <x:v>2026-05-22</x:v>
      </x:c>
      <x:c r="E829" s="41" t="n">
        <x:v>13.221654</x:v>
      </x:c>
      <x:c r="F829" s="41" t="n">
        <x:v>-33.64352</x:v>
      </x:c>
      <x:c r="G829" s="41" t="n">
        <x:v>2895.774538</x:v>
      </x:c>
      <x:c r="H829" s="41" t="n">
        <x:f>IFERROR(E829/ABS(F829),"")</x:f>
        <x:v>0.3929925881715111</x:v>
      </x:c>
      <x:c r="I829" s="41" t="n">
        <x:v>13.319101</x:v>
      </x:c>
      <x:c r="J829" s="41" t="n">
        <x:v>-27.98709</x:v>
      </x:c>
      <x:c r="K829" s="41" t="n">
        <x:v>2967.174054</x:v>
      </x:c>
      <x:c r="L829" s="41" t="n">
        <x:f>IFERROR(I829/ABS(J829),"")</x:f>
        <x:v>0.4759016032034771</x:v>
      </x:c>
      <x:c r="M829" s="41" t="n">
        <x:v>6.802475</x:v>
      </x:c>
      <x:c r="N829" s="41" t="n">
        <x:v>-56.473669</x:v>
      </x:c>
      <x:c r="O829" s="41" t="n">
        <x:v>506.057416</x:v>
      </x:c>
      <x:c r="P829" s="41" t="n">
        <x:f>IFERROR(M829/ABS(N829),"")</x:f>
        <x:v>0.12045392340278087</x:v>
      </x:c>
      <x:c r="Q829" s="41" t="str">
        <x:f>IF(L829&gt;=MAX(H829,P829),"Weekly",IF(H829&gt;=MAX(L829,P829),"No weekly","SPY"))</x:f>
        <x:v>Weekly</x:v>
      </x:c>
      <x:c r="R829" s="41" t="n">
        <x:f>IFERROR(L829-P829,"")</x:f>
        <x:v>0.3554476798006962</x:v>
      </x:c>
      <x:c r="S829" s="41" t="n">
        <x:f>IFERROR(H829-P829,"")</x:f>
        <x:v>0.27253866476873023</x:v>
      </x:c>
      <x:c r="T829" s="41" t="n">
        <x:f>IFERROR(I829-M829,"")</x:f>
        <x:v>6.516626</x:v>
      </x:c>
      <x:c r="U829" s="41" t="n">
        <x:f>IFERROR(E829-M829,"")</x:f>
        <x:v>6.419178999999999</x:v>
      </x:c>
      <x:c r="V829" s="41" t="str">
        <x:f>IF(AND(I829&gt;M829,J829&gt;N829),"Sí","No")</x:f>
        <x:v>Sí</x:v>
      </x:c>
      <x:c r="W829" s="41" t="str">
        <x:f>IF(AND(E829&gt;M829,F829&gt;N829),"Sí","No")</x:f>
        <x:v>Sí</x:v>
      </x:c>
      <x:c r="X829" s="41" t="str">
        <x:f>IF(L829&gt;=H829,"Weekly","No weekly")</x:f>
        <x:v>Weekly</x:v>
      </x:c>
      <x:c r="Y829" s="41" t="n">
        <x:f>IFERROR(I829-E829,"")</x:f>
        <x:v>0.09744700000000073</x:v>
      </x:c>
      <x:c r="Z829" s="41" t="n">
        <x:f>IFERROR(J829-F829,"")</x:f>
        <x:v>5.656430000000004</x:v>
      </x:c>
      <x:c r="AA829" s="41" t="n">
        <x:v>11658</x:v>
      </x:c>
      <x:c r="AB829" s="41" t="n">
        <x:v>5374</x:v>
      </x:c>
    </x:row>
    <x:row r="830">
      <x:c r="A830" s="41" t="str">
        <x:v>HYP_REFINE_AUTO002_TOPN_6_V1_DDGRID_LONG_R12_C23_E70_CR40_REDD_RECOVERED_DD8_SL18</x:v>
      </x:c>
      <x:c r="B830" s="41" t="str">
        <x:v>dd_guard_grid</x:v>
      </x:c>
      <x:c r="C830" s="41" t="str">
        <x:v>1999-01-04</x:v>
      </x:c>
      <x:c r="D830" s="41" t="str">
        <x:v>2026-05-22</x:v>
      </x:c>
      <x:c r="E830" s="41" t="n">
        <x:v>11.58096</x:v>
      </x:c>
      <x:c r="F830" s="41" t="n">
        <x:v>-32.891094</x:v>
      </x:c>
      <x:c r="G830" s="41" t="n">
        <x:v>1908.841934</x:v>
      </x:c>
      <x:c r="H830" s="41" t="n">
        <x:f>IFERROR(E830/ABS(F830),"")</x:f>
        <x:v>0.352100176418577</x:v>
      </x:c>
      <x:c r="I830" s="41" t="n">
        <x:v>12.101398</x:v>
      </x:c>
      <x:c r="J830" s="41" t="n">
        <x:v>-29.367977</x:v>
      </x:c>
      <x:c r="K830" s="41" t="n">
        <x:v>2181.79125</x:v>
      </x:c>
      <x:c r="L830" s="41" t="n">
        <x:f>IFERROR(I830/ABS(J830),"")</x:f>
        <x:v>0.41206100100119253</x:v>
      </x:c>
      <x:c r="M830" s="41" t="n">
        <x:v>6.802475</x:v>
      </x:c>
      <x:c r="N830" s="41" t="n">
        <x:v>-56.473669</x:v>
      </x:c>
      <x:c r="O830" s="41" t="n">
        <x:v>506.057416</x:v>
      </x:c>
      <x:c r="P830" s="41" t="n">
        <x:f>IFERROR(M830/ABS(N830),"")</x:f>
        <x:v>0.12045392340278087</x:v>
      </x:c>
      <x:c r="Q830" s="41" t="str">
        <x:f>IF(L830&gt;=MAX(H830,P830),"Weekly",IF(H830&gt;=MAX(L830,P830),"No weekly","SPY"))</x:f>
        <x:v>Weekly</x:v>
      </x:c>
      <x:c r="R830" s="41" t="n">
        <x:f>IFERROR(L830-P830,"")</x:f>
        <x:v>0.29160707759841165</x:v>
      </x:c>
      <x:c r="S830" s="41" t="n">
        <x:f>IFERROR(H830-P830,"")</x:f>
        <x:v>0.2316462530157961</x:v>
      </x:c>
      <x:c r="T830" s="41" t="n">
        <x:f>IFERROR(I830-M830,"")</x:f>
        <x:v>5.298922999999999</x:v>
      </x:c>
      <x:c r="U830" s="41" t="n">
        <x:f>IFERROR(E830-M830,"")</x:f>
        <x:v>4.778484999999999</x:v>
      </x:c>
      <x:c r="V830" s="41" t="str">
        <x:f>IF(AND(I830&gt;M830,J830&gt;N830),"Sí","No")</x:f>
        <x:v>Sí</x:v>
      </x:c>
      <x:c r="W830" s="41" t="str">
        <x:f>IF(AND(E830&gt;M830,F830&gt;N830),"Sí","No")</x:f>
        <x:v>Sí</x:v>
      </x:c>
      <x:c r="X830" s="41" t="str">
        <x:f>IF(L830&gt;=H830,"Weekly","No weekly")</x:f>
        <x:v>Weekly</x:v>
      </x:c>
      <x:c r="Y830" s="41" t="n">
        <x:f>IFERROR(I830-E830,"")</x:f>
        <x:v>0.5204380000000004</x:v>
      </x:c>
      <x:c r="Z830" s="41" t="n">
        <x:f>IFERROR(J830-F830,"")</x:f>
        <x:v>3.5231170000000027</x:v>
      </x:c>
      <x:c r="AA830" s="41" t="n">
        <x:v>11809</x:v>
      </x:c>
      <x:c r="AB830" s="41" t="n">
        <x:v>5488</x:v>
      </x:c>
    </x:row>
    <x:row r="831">
      <x:c r="A831" s="41" t="str">
        <x:v>HYP_REFINE_AUTO002_TOPN_6_V1_DDGRID_LONG_R12_C23_E70_CR40_REDD_RECOVERED_DD8_SL20</x:v>
      </x:c>
      <x:c r="B831" s="41" t="str">
        <x:v>dd_guard_grid</x:v>
      </x:c>
      <x:c r="C831" s="41" t="str">
        <x:v>1999-01-04</x:v>
      </x:c>
      <x:c r="D831" s="41" t="str">
        <x:v>2026-05-22</x:v>
      </x:c>
      <x:c r="E831" s="41" t="n">
        <x:v>12.213695</x:v>
      </x:c>
      <x:c r="F831" s="41" t="n">
        <x:v>-33.463205</x:v>
      </x:c>
      <x:c r="G831" s="41" t="n">
        <x:v>2245.206163</x:v>
      </x:c>
      <x:c r="H831" s="41" t="n">
        <x:f>IFERROR(E831/ABS(F831),"")</x:f>
        <x:v>0.3649887988912</x:v>
      </x:c>
      <x:c r="I831" s="41" t="n">
        <x:v>12.796181</x:v>
      </x:c>
      <x:c r="J831" s="41" t="n">
        <x:v>-29.361518</x:v>
      </x:c>
      <x:c r="K831" s="41" t="n">
        <x:v>2602.35595</x:v>
      </x:c>
      <x:c r="L831" s="41" t="n">
        <x:f>IFERROR(I831/ABS(J831),"")</x:f>
        <x:v>0.43581469459446887</x:v>
      </x:c>
      <x:c r="M831" s="41" t="n">
        <x:v>6.802475</x:v>
      </x:c>
      <x:c r="N831" s="41" t="n">
        <x:v>-56.473669</x:v>
      </x:c>
      <x:c r="O831" s="41" t="n">
        <x:v>506.057416</x:v>
      </x:c>
      <x:c r="P831" s="41" t="n">
        <x:f>IFERROR(M831/ABS(N831),"")</x:f>
        <x:v>0.12045392340278087</x:v>
      </x:c>
      <x:c r="Q831" s="41" t="str">
        <x:f>IF(L831&gt;=MAX(H831,P831),"Weekly",IF(H831&gt;=MAX(L831,P831),"No weekly","SPY"))</x:f>
        <x:v>Weekly</x:v>
      </x:c>
      <x:c r="R831" s="41" t="n">
        <x:f>IFERROR(L831-P831,"")</x:f>
        <x:v>0.315360771191688</x:v>
      </x:c>
      <x:c r="S831" s="41" t="n">
        <x:f>IFERROR(H831-P831,"")</x:f>
        <x:v>0.24453487548841912</x:v>
      </x:c>
      <x:c r="T831" s="41" t="n">
        <x:f>IFERROR(I831-M831,"")</x:f>
        <x:v>5.993706</x:v>
      </x:c>
      <x:c r="U831" s="41" t="n">
        <x:f>IFERROR(E831-M831,"")</x:f>
        <x:v>5.411219999999999</x:v>
      </x:c>
      <x:c r="V831" s="41" t="str">
        <x:f>IF(AND(I831&gt;M831,J831&gt;N831),"Sí","No")</x:f>
        <x:v>Sí</x:v>
      </x:c>
      <x:c r="W831" s="41" t="str">
        <x:f>IF(AND(E831&gt;M831,F831&gt;N831),"Sí","No")</x:f>
        <x:v>Sí</x:v>
      </x:c>
      <x:c r="X831" s="41" t="str">
        <x:f>IF(L831&gt;=H831,"Weekly","No weekly")</x:f>
        <x:v>Weekly</x:v>
      </x:c>
      <x:c r="Y831" s="41" t="n">
        <x:f>IFERROR(I831-E831,"")</x:f>
        <x:v>0.5824860000000012</x:v>
      </x:c>
      <x:c r="Z831" s="41" t="n">
        <x:f>IFERROR(J831-F831,"")</x:f>
        <x:v>4.101687000000002</x:v>
      </x:c>
      <x:c r="AA831" s="41" t="n">
        <x:v>12036</x:v>
      </x:c>
      <x:c r="AB831" s="41" t="n">
        <x:v>5715</x:v>
      </x:c>
    </x:row>
    <x:row r="832">
      <x:c r="A832" s="41" t="str">
        <x:v>HYP_REFINE_AUTO002_TOPN_6_V1_DDGRID_LONG_R12_C23_E70_CR40_REDD_RECOVERED_DD8_SL22</x:v>
      </x:c>
      <x:c r="B832" s="41" t="str">
        <x:v>dd_guard_grid</x:v>
      </x:c>
      <x:c r="C832" s="41" t="str">
        <x:v>1999-01-04</x:v>
      </x:c>
      <x:c r="D832" s="41" t="str">
        <x:v>2026-05-22</x:v>
      </x:c>
      <x:c r="E832" s="41" t="n">
        <x:v>11.815228</x:v>
      </x:c>
      <x:c r="F832" s="41" t="n">
        <x:v>-33.444978</x:v>
      </x:c>
      <x:c r="G832" s="41" t="n">
        <x:v>2027.569674</x:v>
      </x:c>
      <x:c r="H832" s="41" t="n">
        <x:f>IFERROR(E832/ABS(F832),"")</x:f>
        <x:v>0.35327360657854223</x:v>
      </x:c>
      <x:c r="I832" s="41" t="n">
        <x:v>13.098771</x:v>
      </x:c>
      <x:c r="J832" s="41" t="n">
        <x:v>-28.276833</x:v>
      </x:c>
      <x:c r="K832" s="41" t="n">
        <x:v>2808.018401</x:v>
      </x:c>
      <x:c r="L832" s="41" t="n">
        <x:f>IFERROR(I832/ABS(J832),"")</x:f>
        <x:v>0.46323331187760663</x:v>
      </x:c>
      <x:c r="M832" s="41" t="n">
        <x:v>6.802475</x:v>
      </x:c>
      <x:c r="N832" s="41" t="n">
        <x:v>-56.473669</x:v>
      </x:c>
      <x:c r="O832" s="41" t="n">
        <x:v>506.057416</x:v>
      </x:c>
      <x:c r="P832" s="41" t="n">
        <x:f>IFERROR(M832/ABS(N832),"")</x:f>
        <x:v>0.12045392340278087</x:v>
      </x:c>
      <x:c r="Q832" s="41" t="str">
        <x:f>IF(L832&gt;=MAX(H832,P832),"Weekly",IF(H832&gt;=MAX(L832,P832),"No weekly","SPY"))</x:f>
        <x:v>Weekly</x:v>
      </x:c>
      <x:c r="R832" s="41" t="n">
        <x:f>IFERROR(L832-P832,"")</x:f>
        <x:v>0.34277938847482575</x:v>
      </x:c>
      <x:c r="S832" s="41" t="n">
        <x:f>IFERROR(H832-P832,"")</x:f>
        <x:v>0.23281968317576135</x:v>
      </x:c>
      <x:c r="T832" s="41" t="n">
        <x:f>IFERROR(I832-M832,"")</x:f>
        <x:v>6.296295999999999</x:v>
      </x:c>
      <x:c r="U832" s="41" t="n">
        <x:f>IFERROR(E832-M832,"")</x:f>
        <x:v>5.012752999999999</x:v>
      </x:c>
      <x:c r="V832" s="41" t="str">
        <x:f>IF(AND(I832&gt;M832,J832&gt;N832),"Sí","No")</x:f>
        <x:v>Sí</x:v>
      </x:c>
      <x:c r="W832" s="41" t="str">
        <x:f>IF(AND(E832&gt;M832,F832&gt;N832),"Sí","No")</x:f>
        <x:v>Sí</x:v>
      </x:c>
      <x:c r="X832" s="41" t="str">
        <x:f>IF(L832&gt;=H832,"Weekly","No weekly")</x:f>
        <x:v>Weekly</x:v>
      </x:c>
      <x:c r="Y832" s="41" t="n">
        <x:f>IFERROR(I832-E832,"")</x:f>
        <x:v>1.2835429999999999</x:v>
      </x:c>
      <x:c r="Z832" s="41" t="n">
        <x:f>IFERROR(J832-F832,"")</x:f>
        <x:v>5.168144999999999</x:v>
      </x:c>
      <x:c r="AA832" s="41" t="n">
        <x:v>11703</x:v>
      </x:c>
      <x:c r="AB832" s="41" t="n">
        <x:v>5823</x:v>
      </x:c>
    </x:row>
    <x:row r="833">
      <x:c r="A833" s="41" t="str">
        <x:v>HYP_REFINE_AUTO002_TOPN_6_V1_DDGRID_LONG_R12_C23_E72_CR40_REDD_RECOVERED_DD7_SL18</x:v>
      </x:c>
      <x:c r="B833" s="41" t="str">
        <x:v>dd_guard_grid</x:v>
      </x:c>
      <x:c r="C833" s="41" t="str">
        <x:v>1999-01-04</x:v>
      </x:c>
      <x:c r="D833" s="41" t="str">
        <x:v>2026-05-22</x:v>
      </x:c>
      <x:c r="E833" s="41" t="n">
        <x:v>11.802601</x:v>
      </x:c>
      <x:c r="F833" s="41" t="n">
        <x:v>-32.534861</x:v>
      </x:c>
      <x:c r="G833" s="41" t="n">
        <x:v>2021.00114</x:v>
      </x:c>
      <x:c r="H833" s="41" t="n">
        <x:f>IFERROR(E833/ABS(F833),"")</x:f>
        <x:v>0.3627678323260702</x:v>
      </x:c>
      <x:c r="I833" s="41" t="n">
        <x:v>11.237553</x:v>
      </x:c>
      <x:c r="J833" s="41" t="n">
        <x:v>-30.289101</x:v>
      </x:c>
      <x:c r="K833" s="41" t="n">
        <x:v>1746.269235</x:v>
      </x:c>
      <x:c r="L833" s="41" t="n">
        <x:f>IFERROR(I833/ABS(J833),"")</x:f>
        <x:v>0.37100978995712025</x:v>
      </x:c>
      <x:c r="M833" s="41" t="n">
        <x:v>6.802475</x:v>
      </x:c>
      <x:c r="N833" s="41" t="n">
        <x:v>-56.473669</x:v>
      </x:c>
      <x:c r="O833" s="41" t="n">
        <x:v>506.057416</x:v>
      </x:c>
      <x:c r="P833" s="41" t="n">
        <x:f>IFERROR(M833/ABS(N833),"")</x:f>
        <x:v>0.12045392340278087</x:v>
      </x:c>
      <x:c r="Q833" s="41" t="str">
        <x:f>IF(L833&gt;=MAX(H833,P833),"Weekly",IF(H833&gt;=MAX(L833,P833),"No weekly","SPY"))</x:f>
        <x:v>Weekly</x:v>
      </x:c>
      <x:c r="R833" s="41" t="n">
        <x:f>IFERROR(L833-P833,"")</x:f>
        <x:v>0.25055586655433937</x:v>
      </x:c>
      <x:c r="S833" s="41" t="n">
        <x:f>IFERROR(H833-P833,"")</x:f>
        <x:v>0.2423139089232893</x:v>
      </x:c>
      <x:c r="T833" s="41" t="n">
        <x:f>IFERROR(I833-M833,"")</x:f>
        <x:v>4.435078</x:v>
      </x:c>
      <x:c r="U833" s="41" t="n">
        <x:f>IFERROR(E833-M833,"")</x:f>
        <x:v>5.000125999999999</x:v>
      </x:c>
      <x:c r="V833" s="41" t="str">
        <x:f>IF(AND(I833&gt;M833,J833&gt;N833),"Sí","No")</x:f>
        <x:v>Sí</x:v>
      </x:c>
      <x:c r="W833" s="41" t="str">
        <x:f>IF(AND(E833&gt;M833,F833&gt;N833),"Sí","No")</x:f>
        <x:v>Sí</x:v>
      </x:c>
      <x:c r="X833" s="41" t="str">
        <x:f>IF(L833&gt;=H833,"Weekly","No weekly")</x:f>
        <x:v>Weekly</x:v>
      </x:c>
      <x:c r="Y833" s="41" t="n">
        <x:f>IFERROR(I833-E833,"")</x:f>
        <x:v>-0.5650479999999991</x:v>
      </x:c>
      <x:c r="Z833" s="41" t="n">
        <x:f>IFERROR(J833-F833,"")</x:f>
        <x:v>2.2457600000000006</x:v>
      </x:c>
      <x:c r="AA833" s="41" t="n">
        <x:v>12230</x:v>
      </x:c>
      <x:c r="AB833" s="41" t="n">
        <x:v>6019</x:v>
      </x:c>
    </x:row>
    <x:row r="834">
      <x:c r="A834" s="41" t="str">
        <x:v>HYP_REFINE_AUTO002_TOPN_6_V1_DDGRID_LONG_R12_C23_E72_CR40_REDD_RECOVERED_DD7_SL22</x:v>
      </x:c>
      <x:c r="B834" s="41" t="str">
        <x:v>dd_guard_grid</x:v>
      </x:c>
      <x:c r="C834" s="41" t="str">
        <x:v>1999-01-04</x:v>
      </x:c>
      <x:c r="D834" s="41" t="str">
        <x:v>2026-05-22</x:v>
      </x:c>
      <x:c r="E834" s="41" t="n">
        <x:v>13.72311</x:v>
      </x:c>
      <x:c r="F834" s="41" t="n">
        <x:v>-33.796834</x:v>
      </x:c>
      <x:c r="G834" s="41" t="n">
        <x:v>3281.075169</x:v>
      </x:c>
      <x:c r="H834" s="41" t="n">
        <x:f>IFERROR(E834/ABS(F834),"")</x:f>
        <x:v>0.4060472054867625</x:v>
      </x:c>
      <x:c r="I834" s="41" t="n">
        <x:v>12.41409</x:v>
      </x:c>
      <x:c r="J834" s="41" t="n">
        <x:v>-27.832392</x:v>
      </x:c>
      <x:c r="K834" s="41" t="n">
        <x:v>2362.61361</x:v>
      </x:c>
      <x:c r="L834" s="41" t="n">
        <x:f>IFERROR(I834/ABS(J834),"")</x:f>
        <x:v>0.44603029448564824</x:v>
      </x:c>
      <x:c r="M834" s="41" t="n">
        <x:v>6.802475</x:v>
      </x:c>
      <x:c r="N834" s="41" t="n">
        <x:v>-56.473669</x:v>
      </x:c>
      <x:c r="O834" s="41" t="n">
        <x:v>506.057416</x:v>
      </x:c>
      <x:c r="P834" s="41" t="n">
        <x:f>IFERROR(M834/ABS(N834),"")</x:f>
        <x:v>0.12045392340278087</x:v>
      </x:c>
      <x:c r="Q834" s="41" t="str">
        <x:f>IF(L834&gt;=MAX(H834,P834),"Weekly",IF(H834&gt;=MAX(L834,P834),"No weekly","SPY"))</x:f>
        <x:v>Weekly</x:v>
      </x:c>
      <x:c r="R834" s="41" t="n">
        <x:f>IFERROR(L834-P834,"")</x:f>
        <x:v>0.32557637108286736</x:v>
      </x:c>
      <x:c r="S834" s="41" t="n">
        <x:f>IFERROR(H834-P834,"")</x:f>
        <x:v>0.2855932820839816</x:v>
      </x:c>
      <x:c r="T834" s="41" t="n">
        <x:f>IFERROR(I834-M834,"")</x:f>
        <x:v>5.611615</x:v>
      </x:c>
      <x:c r="U834" s="41" t="n">
        <x:f>IFERROR(E834-M834,"")</x:f>
        <x:v>6.920635</x:v>
      </x:c>
      <x:c r="V834" s="41" t="str">
        <x:f>IF(AND(I834&gt;M834,J834&gt;N834),"Sí","No")</x:f>
        <x:v>Sí</x:v>
      </x:c>
      <x:c r="W834" s="41" t="str">
        <x:f>IF(AND(E834&gt;M834,F834&gt;N834),"Sí","No")</x:f>
        <x:v>Sí</x:v>
      </x:c>
      <x:c r="X834" s="41" t="str">
        <x:f>IF(L834&gt;=H834,"Weekly","No weekly")</x:f>
        <x:v>Weekly</x:v>
      </x:c>
      <x:c r="Y834" s="41" t="n">
        <x:f>IFERROR(I834-E834,"")</x:f>
        <x:v>-1.3090200000000003</x:v>
      </x:c>
      <x:c r="Z834" s="41" t="n">
        <x:f>IFERROR(J834-F834,"")</x:f>
        <x:v>5.964441999999998</x:v>
      </x:c>
      <x:c r="AA834" s="41" t="n">
        <x:v>11925</x:v>
      </x:c>
      <x:c r="AB834" s="41" t="n">
        <x:v>5639</x:v>
      </x:c>
    </x:row>
    <x:row r="835">
      <x:c r="A835" s="41" t="str">
        <x:v>HYP_REFINE_AUTO002_TOPN_6_V1_DDGRID_LONG_R12_C23_E72_CR40_REDD_RECOVERED_DD8_SL18</x:v>
      </x:c>
      <x:c r="B835" s="41" t="str">
        <x:v>dd_guard_grid</x:v>
      </x:c>
      <x:c r="C835" s="41" t="str">
        <x:v>1999-01-04</x:v>
      </x:c>
      <x:c r="D835" s="41" t="str">
        <x:v>2026-05-22</x:v>
      </x:c>
      <x:c r="E835" s="41" t="n">
        <x:v>11.857459</x:v>
      </x:c>
      <x:c r="F835" s="41" t="n">
        <x:v>-32.534861</x:v>
      </x:c>
      <x:c r="G835" s="41" t="n">
        <x:v>2049.679199</x:v>
      </x:c>
      <x:c r="H835" s="41" t="n">
        <x:f>IFERROR(E835/ABS(F835),"")</x:f>
        <x:v>0.36445396216692</x:v>
      </x:c>
      <x:c r="I835" s="41" t="n">
        <x:v>11.647562</x:v>
      </x:c>
      <x:c r="J835" s="41" t="n">
        <x:v>-30.289101</x:v>
      </x:c>
      <x:c r="K835" s="41" t="n">
        <x:v>1941.930324</x:v>
      </x:c>
      <x:c r="L835" s="41" t="n">
        <x:f>IFERROR(I835/ABS(J835),"")</x:f>
        <x:v>0.3845463092483333</x:v>
      </x:c>
      <x:c r="M835" s="41" t="n">
        <x:v>6.802475</x:v>
      </x:c>
      <x:c r="N835" s="41" t="n">
        <x:v>-56.473669</x:v>
      </x:c>
      <x:c r="O835" s="41" t="n">
        <x:v>506.057416</x:v>
      </x:c>
      <x:c r="P835" s="41" t="n">
        <x:f>IFERROR(M835/ABS(N835),"")</x:f>
        <x:v>0.12045392340278087</x:v>
      </x:c>
      <x:c r="Q835" s="41" t="str">
        <x:f>IF(L835&gt;=MAX(H835,P835),"Weekly",IF(H835&gt;=MAX(L835,P835),"No weekly","SPY"))</x:f>
        <x:v>Weekly</x:v>
      </x:c>
      <x:c r="R835" s="41" t="n">
        <x:f>IFERROR(L835-P835,"")</x:f>
        <x:v>0.2640923858455524</x:v>
      </x:c>
      <x:c r="S835" s="41" t="n">
        <x:f>IFERROR(H835-P835,"")</x:f>
        <x:v>0.24400003876413912</x:v>
      </x:c>
      <x:c r="T835" s="41" t="n">
        <x:f>IFERROR(I835-M835,"")</x:f>
        <x:v>4.845087</x:v>
      </x:c>
      <x:c r="U835" s="41" t="n">
        <x:f>IFERROR(E835-M835,"")</x:f>
        <x:v>5.054984</x:v>
      </x:c>
      <x:c r="V835" s="41" t="str">
        <x:f>IF(AND(I835&gt;M835,J835&gt;N835),"Sí","No")</x:f>
        <x:v>Sí</x:v>
      </x:c>
      <x:c r="W835" s="41" t="str">
        <x:f>IF(AND(E835&gt;M835,F835&gt;N835),"Sí","No")</x:f>
        <x:v>Sí</x:v>
      </x:c>
      <x:c r="X835" s="41" t="str">
        <x:f>IF(L835&gt;=H835,"Weekly","No weekly")</x:f>
        <x:v>Weekly</x:v>
      </x:c>
      <x:c r="Y835" s="41" t="n">
        <x:f>IFERROR(I835-E835,"")</x:f>
        <x:v>-0.20989699999999978</x:v>
      </x:c>
      <x:c r="Z835" s="41" t="n">
        <x:f>IFERROR(J835-F835,"")</x:f>
        <x:v>2.2457600000000006</x:v>
      </x:c>
      <x:c r="AA835" s="41" t="n">
        <x:v>11968</x:v>
      </x:c>
      <x:c r="AB835" s="41" t="n">
        <x:v>5731</x:v>
      </x:c>
    </x:row>
    <x:row r="836">
      <x:c r="A836" s="41" t="str">
        <x:v>HYP_REFINE_AUTO002_TOPN_6_V1_DDGRID_LONG_R12_C23_E72_CR40_REDD_RECOVERED_DD8_SL20</x:v>
      </x:c>
      <x:c r="B836" s="41" t="str">
        <x:v>dd_guard_grid</x:v>
      </x:c>
      <x:c r="C836" s="41" t="str">
        <x:v>1999-01-04</x:v>
      </x:c>
      <x:c r="D836" s="41" t="str">
        <x:v>2026-05-22</x:v>
      </x:c>
      <x:c r="E836" s="41" t="n">
        <x:v>13.706955</x:v>
      </x:c>
      <x:c r="F836" s="41" t="n">
        <x:v>-33.218502</x:v>
      </x:c>
      <x:c r="G836" s="41" t="n">
        <x:v>3267.949597</x:v>
      </x:c>
      <x:c r="H836" s="41" t="n">
        <x:f>IFERROR(E836/ABS(F836),"")</x:f>
        <x:v>0.41263013606092175</x:v>
      </x:c>
      <x:c r="I836" s="41" t="n">
        <x:v>12.156928</x:v>
      </x:c>
      <x:c r="J836" s="41" t="n">
        <x:v>-30.30097</x:v>
      </x:c>
      <x:c r="K836" s="41" t="n">
        <x:v>2212.940283</x:v>
      </x:c>
      <x:c r="L836" s="41" t="n">
        <x:f>IFERROR(I836/ABS(J836),"")</x:f>
        <x:v>0.4012059019892763</x:v>
      </x:c>
      <x:c r="M836" s="41" t="n">
        <x:v>6.802475</x:v>
      </x:c>
      <x:c r="N836" s="41" t="n">
        <x:v>-56.473669</x:v>
      </x:c>
      <x:c r="O836" s="41" t="n">
        <x:v>506.057416</x:v>
      </x:c>
      <x:c r="P836" s="41" t="n">
        <x:f>IFERROR(M836/ABS(N836),"")</x:f>
        <x:v>0.12045392340278087</x:v>
      </x:c>
      <x:c r="Q836" s="41" t="str">
        <x:f>IF(L836&gt;=MAX(H836,P836),"Weekly",IF(H836&gt;=MAX(L836,P836),"No weekly","SPY"))</x:f>
        <x:v>No weekly</x:v>
      </x:c>
      <x:c r="R836" s="41" t="n">
        <x:f>IFERROR(L836-P836,"")</x:f>
        <x:v>0.2807519785864954</x:v>
      </x:c>
      <x:c r="S836" s="41" t="n">
        <x:f>IFERROR(H836-P836,"")</x:f>
        <x:v>0.29217621265814087</x:v>
      </x:c>
      <x:c r="T836" s="41" t="n">
        <x:f>IFERROR(I836-M836,"")</x:f>
        <x:v>5.354453</x:v>
      </x:c>
      <x:c r="U836" s="41" t="n">
        <x:f>IFERROR(E836-M836,"")</x:f>
        <x:v>6.90448</x:v>
      </x:c>
      <x:c r="V836" s="41" t="str">
        <x:f>IF(AND(I836&gt;M836,J836&gt;N836),"Sí","No")</x:f>
        <x:v>Sí</x:v>
      </x:c>
      <x:c r="W836" s="41" t="str">
        <x:f>IF(AND(E836&gt;M836,F836&gt;N836),"Sí","No")</x:f>
        <x:v>Sí</x:v>
      </x:c>
      <x:c r="X836" s="41" t="str">
        <x:f>IF(L836&gt;=H836,"Weekly","No weekly")</x:f>
        <x:v>No weekly</x:v>
      </x:c>
      <x:c r="Y836" s="41" t="n">
        <x:f>IFERROR(I836-E836,"")</x:f>
        <x:v>-1.550027</x:v>
      </x:c>
      <x:c r="Z836" s="41" t="n">
        <x:f>IFERROR(J836-F836,"")</x:f>
        <x:v>2.9175320000000013</x:v>
      </x:c>
      <x:c r="AA836" s="41" t="n">
        <x:v>11988</x:v>
      </x:c>
      <x:c r="AB836" s="41" t="n">
        <x:v>5671</x:v>
      </x:c>
    </x:row>
    <x:row r="837">
      <x:c r="A837" s="41" t="str">
        <x:v>HYP_REFINE_AUTO002_TOPN_6_V1_DDGRID_LONG_R12_C23_E72_CR40_REDD_RECOVERED_DD8_SL22</x:v>
      </x:c>
      <x:c r="B837" s="41" t="str">
        <x:v>dd_guard_grid</x:v>
      </x:c>
      <x:c r="C837" s="41" t="str">
        <x:v>1999-01-04</x:v>
      </x:c>
      <x:c r="D837" s="41" t="str">
        <x:v>2026-05-22</x:v>
      </x:c>
      <x:c r="E837" s="41" t="n">
        <x:v>13.755476</x:v>
      </x:c>
      <x:c r="F837" s="41" t="n">
        <x:v>-33.796834</x:v>
      </x:c>
      <x:c r="G837" s="41" t="n">
        <x:v>3307.519673</x:v>
      </x:c>
      <x:c r="H837" s="41" t="n">
        <x:f>IFERROR(E837/ABS(F837),"")</x:f>
        <x:v>0.40700486915431194</x:v>
      </x:c>
      <x:c r="I837" s="41" t="n">
        <x:v>12.551604</x:v>
      </x:c>
      <x:c r="J837" s="41" t="n">
        <x:v>-27.832392</x:v>
      </x:c>
      <x:c r="K837" s="41" t="n">
        <x:v>2446.435236</x:v>
      </x:c>
      <x:c r="L837" s="41" t="n">
        <x:f>IFERROR(I837/ABS(J837),"")</x:f>
        <x:v>0.45097108433942723</x:v>
      </x:c>
      <x:c r="M837" s="41" t="n">
        <x:v>6.802475</x:v>
      </x:c>
      <x:c r="N837" s="41" t="n">
        <x:v>-56.473669</x:v>
      </x:c>
      <x:c r="O837" s="41" t="n">
        <x:v>506.057416</x:v>
      </x:c>
      <x:c r="P837" s="41" t="n">
        <x:f>IFERROR(M837/ABS(N837),"")</x:f>
        <x:v>0.12045392340278087</x:v>
      </x:c>
      <x:c r="Q837" s="41" t="str">
        <x:f>IF(L837&gt;=MAX(H837,P837),"Weekly",IF(H837&gt;=MAX(L837,P837),"No weekly","SPY"))</x:f>
        <x:v>Weekly</x:v>
      </x:c>
      <x:c r="R837" s="41" t="n">
        <x:f>IFERROR(L837-P837,"")</x:f>
        <x:v>0.33051716093664635</x:v>
      </x:c>
      <x:c r="S837" s="41" t="n">
        <x:f>IFERROR(H837-P837,"")</x:f>
        <x:v>0.28655094575153106</x:v>
      </x:c>
      <x:c r="T837" s="41" t="n">
        <x:f>IFERROR(I837-M837,"")</x:f>
        <x:v>5.749128999999999</x:v>
      </x:c>
      <x:c r="U837" s="41" t="n">
        <x:f>IFERROR(E837-M837,"")</x:f>
        <x:v>6.9530009999999995</x:v>
      </x:c>
      <x:c r="V837" s="41" t="str">
        <x:f>IF(AND(I837&gt;M837,J837&gt;N837),"Sí","No")</x:f>
        <x:v>Sí</x:v>
      </x:c>
      <x:c r="W837" s="41" t="str">
        <x:f>IF(AND(E837&gt;M837,F837&gt;N837),"Sí","No")</x:f>
        <x:v>Sí</x:v>
      </x:c>
      <x:c r="X837" s="41" t="str">
        <x:f>IF(L837&gt;=H837,"Weekly","No weekly")</x:f>
        <x:v>Weekly</x:v>
      </x:c>
      <x:c r="Y837" s="41" t="n">
        <x:f>IFERROR(I837-E837,"")</x:f>
        <x:v>-1.2038720000000005</x:v>
      </x:c>
      <x:c r="Z837" s="41" t="n">
        <x:f>IFERROR(J837-F837,"")</x:f>
        <x:v>5.964441999999998</x:v>
      </x:c>
      <x:c r="AA837" s="41" t="n">
        <x:v>11776</x:v>
      </x:c>
      <x:c r="AB837" s="41" t="n">
        <x:v>5394</x:v>
      </x:c>
    </x:row>
    <x:row r="838">
      <x:c r="A838" s="41" t="str">
        <x:v>HYP_REFINE_AUTO002_TOPN_6_V1_DDGRID_LONG_R12_C23_E72_CR40_REDD_RECOVERED_DD8_SL24</x:v>
      </x:c>
      <x:c r="B838" s="41" t="str">
        <x:v>dd_guard_grid</x:v>
      </x:c>
      <x:c r="C838" s="41" t="str">
        <x:v>1999-01-04</x:v>
      </x:c>
      <x:c r="D838" s="41" t="str">
        <x:v>2026-05-22</x:v>
      </x:c>
      <x:c r="E838" s="41" t="n">
        <x:v>13.149392</x:v>
      </x:c>
      <x:c r="F838" s="41" t="n">
        <x:v>-34.409491</x:v>
      </x:c>
      <x:c r="G838" s="41" t="n">
        <x:v>2843.864879</x:v>
      </x:c>
      <x:c r="H838" s="41" t="n">
        <x:f>IFERROR(E838/ABS(F838),"")</x:f>
        <x:v>0.3821443333759282</x:v>
      </x:c>
      <x:c r="I838" s="41" t="n">
        <x:v>12.881496</x:v>
      </x:c>
      <x:c r="J838" s="41" t="n">
        <x:v>-29.352241</x:v>
      </x:c>
      <x:c r="K838" s="41" t="n">
        <x:v>2658.878284</x:v>
      </x:c>
      <x:c r="L838" s="41" t="n">
        <x:f>IFERROR(I838/ABS(J838),"")</x:f>
        <x:v>0.43885902953713146</x:v>
      </x:c>
      <x:c r="M838" s="41" t="n">
        <x:v>6.802475</x:v>
      </x:c>
      <x:c r="N838" s="41" t="n">
        <x:v>-56.473669</x:v>
      </x:c>
      <x:c r="O838" s="41" t="n">
        <x:v>506.057416</x:v>
      </x:c>
      <x:c r="P838" s="41" t="n">
        <x:f>IFERROR(M838/ABS(N838),"")</x:f>
        <x:v>0.12045392340278087</x:v>
      </x:c>
      <x:c r="Q838" s="41" t="str">
        <x:f>IF(L838&gt;=MAX(H838,P838),"Weekly",IF(H838&gt;=MAX(L838,P838),"No weekly","SPY"))</x:f>
        <x:v>Weekly</x:v>
      </x:c>
      <x:c r="R838" s="41" t="n">
        <x:f>IFERROR(L838-P838,"")</x:f>
        <x:v>0.3184051061343506</x:v>
      </x:c>
      <x:c r="S838" s="41" t="n">
        <x:f>IFERROR(H838-P838,"")</x:f>
        <x:v>0.2616904099731473</x:v>
      </x:c>
      <x:c r="T838" s="41" t="n">
        <x:f>IFERROR(I838-M838,"")</x:f>
        <x:v>6.079021</x:v>
      </x:c>
      <x:c r="U838" s="41" t="n">
        <x:f>IFERROR(E838-M838,"")</x:f>
        <x:v>6.346917</x:v>
      </x:c>
      <x:c r="V838" s="41" t="str">
        <x:f>IF(AND(I838&gt;M838,J838&gt;N838),"Sí","No")</x:f>
        <x:v>Sí</x:v>
      </x:c>
      <x:c r="W838" s="41" t="str">
        <x:f>IF(AND(E838&gt;M838,F838&gt;N838),"Sí","No")</x:f>
        <x:v>Sí</x:v>
      </x:c>
      <x:c r="X838" s="41" t="str">
        <x:f>IF(L838&gt;=H838,"Weekly","No weekly")</x:f>
        <x:v>Weekly</x:v>
      </x:c>
      <x:c r="Y838" s="41" t="n">
        <x:f>IFERROR(I838-E838,"")</x:f>
        <x:v>-0.26789600000000036</x:v>
      </x:c>
      <x:c r="Z838" s="41" t="n">
        <x:f>IFERROR(J838-F838,"")</x:f>
        <x:v>5.057250000000003</x:v>
      </x:c>
      <x:c r="AA838" s="41" t="n">
        <x:v>11927</x:v>
      </x:c>
      <x:c r="AB838" s="41" t="n">
        <x:v>5476</x:v>
      </x:c>
    </x:row>
    <x:row r="839">
      <x:c r="A839" s="41" t="str">
        <x:v>HYP_REFINE_AUTO002_TOPN_6_V1_DDGRID_LONG_R12_C23_E72_CR40_REDD_RECOVERED_DD8_SLNONE</x:v>
      </x:c>
      <x:c r="B839" s="41" t="str">
        <x:v>dd_guard_grid</x:v>
      </x:c>
      <x:c r="C839" s="41" t="str">
        <x:v>1999-01-04</x:v>
      </x:c>
      <x:c r="D839" s="41" t="str">
        <x:v>2026-05-22</x:v>
      </x:c>
      <x:c r="E839" s="41" t="n">
        <x:v>12.316467</x:v>
      </x:c>
      <x:c r="F839" s="41" t="n">
        <x:v>-34.450999</x:v>
      </x:c>
      <x:c r="G839" s="41" t="n">
        <x:v>2304.727945</x:v>
      </x:c>
      <x:c r="H839" s="41" t="n">
        <x:f>IFERROR(E839/ABS(F839),"")</x:f>
        <x:v>0.3575068171462894</x:v>
      </x:c>
      <x:c r="I839" s="41" t="n">
        <x:v>13.095193</x:v>
      </x:c>
      <x:c r="J839" s="41" t="n">
        <x:v>-29.35628</x:v>
      </x:c>
      <x:c r="K839" s="41" t="n">
        <x:v>2805.500647</x:v>
      </x:c>
      <x:c r="L839" s="41" t="n">
        <x:f>IFERROR(I839/ABS(J839),"")</x:f>
        <x:v>0.4460780793751797</x:v>
      </x:c>
      <x:c r="M839" s="41" t="n">
        <x:v>6.802475</x:v>
      </x:c>
      <x:c r="N839" s="41" t="n">
        <x:v>-56.473669</x:v>
      </x:c>
      <x:c r="O839" s="41" t="n">
        <x:v>506.057416</x:v>
      </x:c>
      <x:c r="P839" s="41" t="n">
        <x:f>IFERROR(M839/ABS(N839),"")</x:f>
        <x:v>0.12045392340278087</x:v>
      </x:c>
      <x:c r="Q839" s="41" t="str">
        <x:f>IF(L839&gt;=MAX(H839,P839),"Weekly",IF(H839&gt;=MAX(L839,P839),"No weekly","SPY"))</x:f>
        <x:v>Weekly</x:v>
      </x:c>
      <x:c r="R839" s="41" t="n">
        <x:f>IFERROR(L839-P839,"")</x:f>
        <x:v>0.3256241559723988</x:v>
      </x:c>
      <x:c r="S839" s="41" t="n">
        <x:f>IFERROR(H839-P839,"")</x:f>
        <x:v>0.23705289374350852</x:v>
      </x:c>
      <x:c r="T839" s="41" t="n">
        <x:f>IFERROR(I839-M839,"")</x:f>
        <x:v>6.292718</x:v>
      </x:c>
      <x:c r="U839" s="41" t="n">
        <x:f>IFERROR(E839-M839,"")</x:f>
        <x:v>5.513991999999999</x:v>
      </x:c>
      <x:c r="V839" s="41" t="str">
        <x:f>IF(AND(I839&gt;M839,J839&gt;N839),"Sí","No")</x:f>
        <x:v>Sí</x:v>
      </x:c>
      <x:c r="W839" s="41" t="str">
        <x:f>IF(AND(E839&gt;M839,F839&gt;N839),"Sí","No")</x:f>
        <x:v>Sí</x:v>
      </x:c>
      <x:c r="X839" s="41" t="str">
        <x:f>IF(L839&gt;=H839,"Weekly","No weekly")</x:f>
        <x:v>Weekly</x:v>
      </x:c>
      <x:c r="Y839" s="41" t="n">
        <x:f>IFERROR(I839-E839,"")</x:f>
        <x:v>0.7787260000000007</x:v>
      </x:c>
      <x:c r="Z839" s="41" t="n">
        <x:f>IFERROR(J839-F839,"")</x:f>
        <x:v>5.094719000000001</x:v>
      </x:c>
      <x:c r="AA839" s="41" t="n">
        <x:v>12129</x:v>
      </x:c>
      <x:c r="AB839" s="41" t="n">
        <x:v>6171</x:v>
      </x:c>
    </x:row>
    <x:row r="840">
      <x:c r="A840" s="41" t="str">
        <x:v>HYP_REFINE_AUTO002_TOPN_6_V1_DDGRID_LONG_R12_C23_E72_CR40_REDD_RECOVERED_DD9_SL22</x:v>
      </x:c>
      <x:c r="B840" s="41" t="str">
        <x:v>dd_guard_grid</x:v>
      </x:c>
      <x:c r="C840" s="41" t="str">
        <x:v>1999-01-04</x:v>
      </x:c>
      <x:c r="D840" s="41" t="str">
        <x:v>2026-05-22</x:v>
      </x:c>
      <x:c r="E840" s="41" t="n">
        <x:v>12.394958</x:v>
      </x:c>
      <x:c r="F840" s="41" t="n">
        <x:v>-33.796834</x:v>
      </x:c>
      <x:c r="G840" s="41" t="n">
        <x:v>2351.164253</x:v>
      </x:c>
      <x:c r="H840" s="41" t="n">
        <x:f>IFERROR(E840/ABS(F840),"")</x:f>
        <x:v>0.366749086615628</x:v>
      </x:c>
      <x:c r="I840" s="41" t="n">
        <x:v>12.689893</x:v>
      </x:c>
      <x:c r="J840" s="41" t="n">
        <x:v>-27.832392</x:v>
      </x:c>
      <x:c r="K840" s="41" t="n">
        <x:v>2533.497581</x:v>
      </x:c>
      <x:c r="L840" s="41" t="n">
        <x:f>IFERROR(I840/ABS(J840),"")</x:f>
        <x:v>0.45593971944631995</x:v>
      </x:c>
      <x:c r="M840" s="41" t="n">
        <x:v>6.802475</x:v>
      </x:c>
      <x:c r="N840" s="41" t="n">
        <x:v>-56.473669</x:v>
      </x:c>
      <x:c r="O840" s="41" t="n">
        <x:v>506.057416</x:v>
      </x:c>
      <x:c r="P840" s="41" t="n">
        <x:f>IFERROR(M840/ABS(N840),"")</x:f>
        <x:v>0.12045392340278087</x:v>
      </x:c>
      <x:c r="Q840" s="41" t="str">
        <x:f>IF(L840&gt;=MAX(H840,P840),"Weekly",IF(H840&gt;=MAX(L840,P840),"No weekly","SPY"))</x:f>
        <x:v>Weekly</x:v>
      </x:c>
      <x:c r="R840" s="41" t="n">
        <x:f>IFERROR(L840-P840,"")</x:f>
        <x:v>0.33548579604353906</x:v>
      </x:c>
      <x:c r="S840" s="41" t="n">
        <x:f>IFERROR(H840-P840,"")</x:f>
        <x:v>0.2462951632128471</x:v>
      </x:c>
      <x:c r="T840" s="41" t="n">
        <x:f>IFERROR(I840-M840,"")</x:f>
        <x:v>5.887417999999999</x:v>
      </x:c>
      <x:c r="U840" s="41" t="n">
        <x:f>IFERROR(E840-M840,"")</x:f>
        <x:v>5.5924830000000005</x:v>
      </x:c>
      <x:c r="V840" s="41" t="str">
        <x:f>IF(AND(I840&gt;M840,J840&gt;N840),"Sí","No")</x:f>
        <x:v>Sí</x:v>
      </x:c>
      <x:c r="W840" s="41" t="str">
        <x:f>IF(AND(E840&gt;M840,F840&gt;N840),"Sí","No")</x:f>
        <x:v>Sí</x:v>
      </x:c>
      <x:c r="X840" s="41" t="str">
        <x:f>IF(L840&gt;=H840,"Weekly","No weekly")</x:f>
        <x:v>Weekly</x:v>
      </x:c>
      <x:c r="Y840" s="41" t="n">
        <x:f>IFERROR(I840-E840,"")</x:f>
        <x:v>0.29493499999999884</x:v>
      </x:c>
      <x:c r="Z840" s="41" t="n">
        <x:f>IFERROR(J840-F840,"")</x:f>
        <x:v>5.964441999999998</x:v>
      </x:c>
      <x:c r="AA840" s="41" t="n">
        <x:v>11511</x:v>
      </x:c>
      <x:c r="AB840" s="41" t="n">
        <x:v>5481</x:v>
      </x:c>
    </x:row>
    <x:row r="841">
      <x:c r="A841" s="41" t="str">
        <x:v>HYP_REFINE_AUTO002_TOPN_6_V1_DDGRID_LONG_R12_C23_E72_CR42_REDD_RECOVERED_DD8_SL22</x:v>
      </x:c>
      <x:c r="B841" s="41" t="str">
        <x:v>dd_guard_grid</x:v>
      </x:c>
      <x:c r="C841" s="41" t="str">
        <x:v>1999-01-04</x:v>
      </x:c>
      <x:c r="D841" s="41" t="str">
        <x:v>2026-05-22</x:v>
      </x:c>
      <x:c r="E841" s="41" t="n">
        <x:v>13.832833</x:v>
      </x:c>
      <x:c r="F841" s="41" t="n">
        <x:v>-34.041045</x:v>
      </x:c>
      <x:c r="G841" s="41" t="n">
        <x:v>3371.533725</x:v>
      </x:c>
      <x:c r="H841" s="41" t="n">
        <x:f>IFERROR(E841/ABS(F841),"")</x:f>
        <x:v>0.4063574722808892</x:v>
      </x:c>
      <x:c r="I841" s="41" t="n">
        <x:v>13.261183</x:v>
      </x:c>
      <x:c r="J841" s="41" t="n">
        <x:v>-30.5674</x:v>
      </x:c>
      <x:c r="K841" s="41" t="n">
        <x:v>2924.542437</x:v>
      </x:c>
      <x:c r="L841" s="41" t="n">
        <x:f>IFERROR(I841/ABS(J841),"")</x:f>
        <x:v>0.4338341828222224</x:v>
      </x:c>
      <x:c r="M841" s="41" t="n">
        <x:v>6.802475</x:v>
      </x:c>
      <x:c r="N841" s="41" t="n">
        <x:v>-56.473669</x:v>
      </x:c>
      <x:c r="O841" s="41" t="n">
        <x:v>506.057416</x:v>
      </x:c>
      <x:c r="P841" s="41" t="n">
        <x:f>IFERROR(M841/ABS(N841),"")</x:f>
        <x:v>0.12045392340278087</x:v>
      </x:c>
      <x:c r="Q841" s="41" t="str">
        <x:f>IF(L841&gt;=MAX(H841,P841),"Weekly",IF(H841&gt;=MAX(L841,P841),"No weekly","SPY"))</x:f>
        <x:v>Weekly</x:v>
      </x:c>
      <x:c r="R841" s="41" t="n">
        <x:f>IFERROR(L841-P841,"")</x:f>
        <x:v>0.31338025941944153</x:v>
      </x:c>
      <x:c r="S841" s="41" t="n">
        <x:f>IFERROR(H841-P841,"")</x:f>
        <x:v>0.2859035488781083</x:v>
      </x:c>
      <x:c r="T841" s="41" t="n">
        <x:f>IFERROR(I841-M841,"")</x:f>
        <x:v>6.458708000000001</x:v>
      </x:c>
      <x:c r="U841" s="41" t="n">
        <x:f>IFERROR(E841-M841,"")</x:f>
        <x:v>7.0303580000000006</x:v>
      </x:c>
      <x:c r="V841" s="41" t="str">
        <x:f>IF(AND(I841&gt;M841,J841&gt;N841),"Sí","No")</x:f>
        <x:v>Sí</x:v>
      </x:c>
      <x:c r="W841" s="41" t="str">
        <x:f>IF(AND(E841&gt;M841,F841&gt;N841),"Sí","No")</x:f>
        <x:v>Sí</x:v>
      </x:c>
      <x:c r="X841" s="41" t="str">
        <x:f>IF(L841&gt;=H841,"Weekly","No weekly")</x:f>
        <x:v>Weekly</x:v>
      </x:c>
      <x:c r="Y841" s="41" t="n">
        <x:f>IFERROR(I841-E841,"")</x:f>
        <x:v>-0.57165</x:v>
      </x:c>
      <x:c r="Z841" s="41" t="n">
        <x:f>IFERROR(J841-F841,"")</x:f>
        <x:v>3.4736449999999977</x:v>
      </x:c>
      <x:c r="AA841" s="41" t="n">
        <x:v>11960</x:v>
      </x:c>
      <x:c r="AB841" s="41" t="n">
        <x:v>5372</x:v>
      </x:c>
    </x:row>
    <x:row r="842">
      <x:c r="A842" s="41" t="str">
        <x:v>HYP_REFINE_AUTO002_TOPN_6_V1_DDGRID_LONG_R12_C23_E72_CR45_REDD_RECOVERED_DD8_SL20</x:v>
      </x:c>
      <x:c r="B842" s="41" t="str">
        <x:v>dd_guard_grid</x:v>
      </x:c>
      <x:c r="C842" s="41" t="str">
        <x:v>1999-01-04</x:v>
      </x:c>
      <x:c r="D842" s="41" t="str">
        <x:v>2026-05-22</x:v>
      </x:c>
      <x:c r="E842" s="41" t="n">
        <x:v>14.257184</x:v>
      </x:c>
      <x:c r="F842" s="41" t="n">
        <x:v>-34.318696</x:v>
      </x:c>
      <x:c r="G842" s="41" t="n">
        <x:v>3743.830928</x:v>
      </x:c>
      <x:c r="H842" s="41" t="n">
        <x:f>IFERROR(E842/ABS(F842),"")</x:f>
        <x:v>0.4154348988085095</x:v>
      </x:c>
      <x:c r="I842" s="41" t="n">
        <x:v>13.771513</x:v>
      </x:c>
      <x:c r="J842" s="41" t="n">
        <x:v>-28.534711</x:v>
      </x:c>
      <x:c r="K842" s="41" t="n">
        <x:v>3320.696272</x:v>
      </x:c>
      <x:c r="L842" s="41" t="n">
        <x:f>IFERROR(I842/ABS(J842),"")</x:f>
        <x:v>0.482623181289623</x:v>
      </x:c>
      <x:c r="M842" s="41" t="n">
        <x:v>6.802475</x:v>
      </x:c>
      <x:c r="N842" s="41" t="n">
        <x:v>-56.473669</x:v>
      </x:c>
      <x:c r="O842" s="41" t="n">
        <x:v>506.057416</x:v>
      </x:c>
      <x:c r="P842" s="41" t="n">
        <x:f>IFERROR(M842/ABS(N842),"")</x:f>
        <x:v>0.12045392340278087</x:v>
      </x:c>
      <x:c r="Q842" s="41" t="str">
        <x:f>IF(L842&gt;=MAX(H842,P842),"Weekly",IF(H842&gt;=MAX(L842,P842),"No weekly","SPY"))</x:f>
        <x:v>Weekly</x:v>
      </x:c>
      <x:c r="R842" s="41" t="n">
        <x:f>IFERROR(L842-P842,"")</x:f>
        <x:v>0.3621692578868421</x:v>
      </x:c>
      <x:c r="S842" s="41" t="n">
        <x:f>IFERROR(H842-P842,"")</x:f>
        <x:v>0.2949809754057286</x:v>
      </x:c>
      <x:c r="T842" s="41" t="n">
        <x:f>IFERROR(I842-M842,"")</x:f>
        <x:v>6.969038</x:v>
      </x:c>
      <x:c r="U842" s="41" t="n">
        <x:f>IFERROR(E842-M842,"")</x:f>
        <x:v>7.454709</x:v>
      </x:c>
      <x:c r="V842" s="41" t="str">
        <x:f>IF(AND(I842&gt;M842,J842&gt;N842),"Sí","No")</x:f>
        <x:v>Sí</x:v>
      </x:c>
      <x:c r="W842" s="41" t="str">
        <x:f>IF(AND(E842&gt;M842,F842&gt;N842),"Sí","No")</x:f>
        <x:v>Sí</x:v>
      </x:c>
      <x:c r="X842" s="41" t="str">
        <x:f>IF(L842&gt;=H842,"Weekly","No weekly")</x:f>
        <x:v>Weekly</x:v>
      </x:c>
      <x:c r="Y842" s="41" t="n">
        <x:f>IFERROR(I842-E842,"")</x:f>
        <x:v>-0.48567099999999996</x:v>
      </x:c>
      <x:c r="Z842" s="41" t="n">
        <x:f>IFERROR(J842-F842,"")</x:f>
        <x:v>5.783985000000001</x:v>
      </x:c>
      <x:c r="AA842" s="41" t="n">
        <x:v>11535</x:v>
      </x:c>
      <x:c r="AB842" s="41" t="n">
        <x:v>5374</x:v>
      </x:c>
    </x:row>
    <x:row r="843">
      <x:c r="A843" s="41" t="str">
        <x:v>HYP_REFINE_AUTO002_TOPN_6_V1_DDGRID_LONG_R12_C23_E75_CR30_REDD_RECOVERED_DD8_SL22</x:v>
      </x:c>
      <x:c r="B843" s="41" t="str">
        <x:v>dd_guard_grid</x:v>
      </x:c>
      <x:c r="C843" s="41" t="str">
        <x:v>1999-01-04</x:v>
      </x:c>
      <x:c r="D843" s="41" t="str">
        <x:v>2026-05-22</x:v>
      </x:c>
      <x:c r="E843" s="41" t="n">
        <x:v>12.237506</x:v>
      </x:c>
      <x:c r="F843" s="41" t="n">
        <x:v>-30.716699</x:v>
      </x:c>
      <x:c r="G843" s="41" t="n">
        <x:v>2258.869131</x:v>
      </x:c>
      <x:c r="H843" s="41" t="n">
        <x:f>IFERROR(E843/ABS(F843),"")</x:f>
        <x:v>0.39839912485387835</x:v>
      </x:c>
      <x:c r="I843" s="41" t="n">
        <x:v>12.214841</x:v>
      </x:c>
      <x:c r="J843" s="41" t="n">
        <x:v>-28.239375</x:v>
      </x:c>
      <x:c r="K843" s="41" t="n">
        <x:v>2245.862199</x:v>
      </x:c>
      <x:c r="L843" s="41" t="n">
        <x:f>IFERROR(I843/ABS(J843),"")</x:f>
        <x:v>0.4325464356063121</x:v>
      </x:c>
      <x:c r="M843" s="41" t="n">
        <x:v>6.802475</x:v>
      </x:c>
      <x:c r="N843" s="41" t="n">
        <x:v>-56.473669</x:v>
      </x:c>
      <x:c r="O843" s="41" t="n">
        <x:v>506.057416</x:v>
      </x:c>
      <x:c r="P843" s="41" t="n">
        <x:f>IFERROR(M843/ABS(N843),"")</x:f>
        <x:v>0.12045392340278087</x:v>
      </x:c>
      <x:c r="Q843" s="41" t="str">
        <x:f>IF(L843&gt;=MAX(H843,P843),"Weekly",IF(H843&gt;=MAX(L843,P843),"No weekly","SPY"))</x:f>
        <x:v>Weekly</x:v>
      </x:c>
      <x:c r="R843" s="41" t="n">
        <x:f>IFERROR(L843-P843,"")</x:f>
        <x:v>0.31209251220353124</x:v>
      </x:c>
      <x:c r="S843" s="41" t="n">
        <x:f>IFERROR(H843-P843,"")</x:f>
        <x:v>0.27794520145109747</x:v>
      </x:c>
      <x:c r="T843" s="41" t="n">
        <x:f>IFERROR(I843-M843,"")</x:f>
        <x:v>5.412366</x:v>
      </x:c>
      <x:c r="U843" s="41" t="n">
        <x:f>IFERROR(E843-M843,"")</x:f>
        <x:v>5.4350309999999995</x:v>
      </x:c>
      <x:c r="V843" s="41" t="str">
        <x:f>IF(AND(I843&gt;M843,J843&gt;N843),"Sí","No")</x:f>
        <x:v>Sí</x:v>
      </x:c>
      <x:c r="W843" s="41" t="str">
        <x:f>IF(AND(E843&gt;M843,F843&gt;N843),"Sí","No")</x:f>
        <x:v>Sí</x:v>
      </x:c>
      <x:c r="X843" s="41" t="str">
        <x:f>IF(L843&gt;=H843,"Weekly","No weekly")</x:f>
        <x:v>Weekly</x:v>
      </x:c>
      <x:c r="Y843" s="41" t="n">
        <x:f>IFERROR(I843-E843,"")</x:f>
        <x:v>-0.022664999999999935</x:v>
      </x:c>
      <x:c r="Z843" s="41" t="n">
        <x:f>IFERROR(J843-F843,"")</x:f>
        <x:v>2.4773239999999994</x:v>
      </x:c>
      <x:c r="AA843" s="41" t="n">
        <x:v>12297</x:v>
      </x:c>
      <x:c r="AB843" s="41" t="n">
        <x:v>6416</x:v>
      </x:c>
    </x:row>
    <x:row r="844">
      <x:c r="A844" s="41" t="str">
        <x:v>HYP_REFINE_AUTO002_TOPN_6_V1_DDGRID_LONG_R12_C23_E75_CR33_REDD_RECOVERED_DD8_SL20</x:v>
      </x:c>
      <x:c r="B844" s="41" t="str">
        <x:v>dd_guard_grid</x:v>
      </x:c>
      <x:c r="C844" s="41" t="str">
        <x:v>1999-01-04</x:v>
      </x:c>
      <x:c r="D844" s="41" t="str">
        <x:v>2026-05-22</x:v>
      </x:c>
      <x:c r="E844" s="41" t="n">
        <x:v>12.55397</x:v>
      </x:c>
      <x:c r="F844" s="41" t="n">
        <x:v>-31.140314</x:v>
      </x:c>
      <x:c r="G844" s="41" t="n">
        <x:v>2447.900884</x:v>
      </x:c>
      <x:c r="H844" s="41" t="n">
        <x:f>IFERROR(E844/ABS(F844),"")</x:f>
        <x:v>0.4031420492420211</x:v>
      </x:c>
      <x:c r="I844" s="41" t="n">
        <x:v>13.146467</x:v>
      </x:c>
      <x:c r="J844" s="41" t="n">
        <x:v>-29.353569</x:v>
      </x:c>
      <x:c r="K844" s="41" t="n">
        <x:v>2841.782113</x:v>
      </x:c>
      <x:c r="L844" s="41" t="n">
        <x:f>IFERROR(I844/ABS(J844),"")</x:f>
        <x:v>0.4478660499512001</x:v>
      </x:c>
      <x:c r="M844" s="41" t="n">
        <x:v>6.802475</x:v>
      </x:c>
      <x:c r="N844" s="41" t="n">
        <x:v>-56.473669</x:v>
      </x:c>
      <x:c r="O844" s="41" t="n">
        <x:v>506.057416</x:v>
      </x:c>
      <x:c r="P844" s="41" t="n">
        <x:f>IFERROR(M844/ABS(N844),"")</x:f>
        <x:v>0.12045392340278087</x:v>
      </x:c>
      <x:c r="Q844" s="41" t="str">
        <x:f>IF(L844&gt;=MAX(H844,P844),"Weekly",IF(H844&gt;=MAX(L844,P844),"No weekly","SPY"))</x:f>
        <x:v>Weekly</x:v>
      </x:c>
      <x:c r="R844" s="41" t="n">
        <x:f>IFERROR(L844-P844,"")</x:f>
        <x:v>0.3274121265484192</x:v>
      </x:c>
      <x:c r="S844" s="41" t="n">
        <x:f>IFERROR(H844-P844,"")</x:f>
        <x:v>0.28268812583924025</x:v>
      </x:c>
      <x:c r="T844" s="41" t="n">
        <x:f>IFERROR(I844-M844,"")</x:f>
        <x:v>6.343991999999999</x:v>
      </x:c>
      <x:c r="U844" s="41" t="n">
        <x:f>IFERROR(E844-M844,"")</x:f>
        <x:v>5.751494999999999</x:v>
      </x:c>
      <x:c r="V844" s="41" t="str">
        <x:f>IF(AND(I844&gt;M844,J844&gt;N844),"Sí","No")</x:f>
        <x:v>Sí</x:v>
      </x:c>
      <x:c r="W844" s="41" t="str">
        <x:f>IF(AND(E844&gt;M844,F844&gt;N844),"Sí","No")</x:f>
        <x:v>Sí</x:v>
      </x:c>
      <x:c r="X844" s="41" t="str">
        <x:f>IF(L844&gt;=H844,"Weekly","No weekly")</x:f>
        <x:v>Weekly</x:v>
      </x:c>
      <x:c r="Y844" s="41" t="n">
        <x:f>IFERROR(I844-E844,"")</x:f>
        <x:v>0.5924969999999998</x:v>
      </x:c>
      <x:c r="Z844" s="41" t="n">
        <x:f>IFERROR(J844-F844,"")</x:f>
        <x:v>1.7867449999999998</x:v>
      </x:c>
      <x:c r="AA844" s="41" t="n">
        <x:v>12112</x:v>
      </x:c>
      <x:c r="AB844" s="41" t="n">
        <x:v>5917</x:v>
      </x:c>
    </x:row>
    <x:row r="845">
      <x:c r="A845" s="41" t="str">
        <x:v>HYP_REFINE_AUTO002_TOPN_6_V1_DDGRID_LONG_R12_C23_E75_CR33_REDD_RECOVERED_DD8_SL22</x:v>
      </x:c>
      <x:c r="B845" s="41" t="str">
        <x:v>dd_guard_grid</x:v>
      </x:c>
      <x:c r="C845" s="41" t="str">
        <x:v>1999-01-04</x:v>
      </x:c>
      <x:c r="D845" s="41" t="str">
        <x:v>2026-05-22</x:v>
      </x:c>
      <x:c r="E845" s="41" t="n">
        <x:v>12.40007</x:v>
      </x:c>
      <x:c r="F845" s="41" t="n">
        <x:v>-32.274492</x:v>
      </x:c>
      <x:c r="G845" s="41" t="n">
        <x:v>2354.218574</x:v>
      </x:c>
      <x:c r="H845" s="41" t="n">
        <x:f>IFERROR(E845/ABS(F845),"")</x:f>
        <x:v>0.3842065120653177</x:v>
      </x:c>
      <x:c r="I845" s="41" t="n">
        <x:v>12.296716</x:v>
      </x:c>
      <x:c r="J845" s="41" t="n">
        <x:v>-29.539135</x:v>
      </x:c>
      <x:c r="K845" s="41" t="n">
        <x:v>2293.176832</x:v>
      </x:c>
      <x:c r="L845" s="41" t="n">
        <x:f>IFERROR(I845/ABS(J845),"")</x:f>
        <x:v>0.4162855818222165</x:v>
      </x:c>
      <x:c r="M845" s="41" t="n">
        <x:v>6.802475</x:v>
      </x:c>
      <x:c r="N845" s="41" t="n">
        <x:v>-56.473669</x:v>
      </x:c>
      <x:c r="O845" s="41" t="n">
        <x:v>506.057416</x:v>
      </x:c>
      <x:c r="P845" s="41" t="n">
        <x:f>IFERROR(M845/ABS(N845),"")</x:f>
        <x:v>0.12045392340278087</x:v>
      </x:c>
      <x:c r="Q845" s="41" t="str">
        <x:f>IF(L845&gt;=MAX(H845,P845),"Weekly",IF(H845&gt;=MAX(L845,P845),"No weekly","SPY"))</x:f>
        <x:v>Weekly</x:v>
      </x:c>
      <x:c r="R845" s="41" t="n">
        <x:f>IFERROR(L845-P845,"")</x:f>
        <x:v>0.2958316584194356</x:v>
      </x:c>
      <x:c r="S845" s="41" t="n">
        <x:f>IFERROR(H845-P845,"")</x:f>
        <x:v>0.2637525886625368</x:v>
      </x:c>
      <x:c r="T845" s="41" t="n">
        <x:f>IFERROR(I845-M845,"")</x:f>
        <x:v>5.494241</x:v>
      </x:c>
      <x:c r="U845" s="41" t="n">
        <x:f>IFERROR(E845-M845,"")</x:f>
        <x:v>5.597594999999999</x:v>
      </x:c>
      <x:c r="V845" s="41" t="str">
        <x:f>IF(AND(I845&gt;M845,J845&gt;N845),"Sí","No")</x:f>
        <x:v>Sí</x:v>
      </x:c>
      <x:c r="W845" s="41" t="str">
        <x:f>IF(AND(E845&gt;M845,F845&gt;N845),"Sí","No")</x:f>
        <x:v>Sí</x:v>
      </x:c>
      <x:c r="X845" s="41" t="str">
        <x:f>IF(L845&gt;=H845,"Weekly","No weekly")</x:f>
        <x:v>Weekly</x:v>
      </x:c>
      <x:c r="Y845" s="41" t="n">
        <x:f>IFERROR(I845-E845,"")</x:f>
        <x:v>-0.1033539999999995</x:v>
      </x:c>
      <x:c r="Z845" s="41" t="n">
        <x:f>IFERROR(J845-F845,"")</x:f>
        <x:v>2.7353570000000005</x:v>
      </x:c>
      <x:c r="AA845" s="41" t="n">
        <x:v>12313</x:v>
      </x:c>
      <x:c r="AB845" s="41" t="n">
        <x:v>6078</x:v>
      </x:c>
    </x:row>
    <x:row r="846">
      <x:c r="A846" s="41" t="str">
        <x:v>HYP_REFINE_AUTO002_TOPN_6_V1_DDGRID_LONG_R12_C23_E75_CR36_REDD_RECOVERED_DD7_SL18</x:v>
      </x:c>
      <x:c r="B846" s="41" t="str">
        <x:v>dd_guard_grid</x:v>
      </x:c>
      <x:c r="C846" s="41" t="str">
        <x:v>1999-01-04</x:v>
      </x:c>
      <x:c r="D846" s="41" t="str">
        <x:v>2026-05-22</x:v>
      </x:c>
      <x:c r="E846" s="41" t="n">
        <x:v>12.518834</x:v>
      </x:c>
      <x:c r="F846" s="41" t="n">
        <x:v>-31.814935</x:v>
      </x:c>
      <x:c r="G846" s="41" t="n">
        <x:v>2426.214264</x:v>
      </x:c>
      <x:c r="H846" s="41" t="n">
        <x:f>IFERROR(E846/ABS(F846),"")</x:f>
        <x:v>0.39348922133582864</x:v>
      </x:c>
      <x:c r="I846" s="41" t="n">
        <x:v>11.784322</x:v>
      </x:c>
      <x:c r="J846" s="41" t="n">
        <x:v>-28.10925</x:v>
      </x:c>
      <x:c r="K846" s="41" t="n">
        <x:v>2011.527887</x:v>
      </x:c>
      <x:c r="L846" s="41" t="n">
        <x:f>IFERROR(I846/ABS(J846),"")</x:f>
        <x:v>0.4192328859716997</x:v>
      </x:c>
      <x:c r="M846" s="41" t="n">
        <x:v>6.802475</x:v>
      </x:c>
      <x:c r="N846" s="41" t="n">
        <x:v>-56.473669</x:v>
      </x:c>
      <x:c r="O846" s="41" t="n">
        <x:v>506.057416</x:v>
      </x:c>
      <x:c r="P846" s="41" t="n">
        <x:f>IFERROR(M846/ABS(N846),"")</x:f>
        <x:v>0.12045392340278087</x:v>
      </x:c>
      <x:c r="Q846" s="41" t="str">
        <x:f>IF(L846&gt;=MAX(H846,P846),"Weekly",IF(H846&gt;=MAX(L846,P846),"No weekly","SPY"))</x:f>
        <x:v>Weekly</x:v>
      </x:c>
      <x:c r="R846" s="41" t="n">
        <x:f>IFERROR(L846-P846,"")</x:f>
        <x:v>0.29877896256891884</x:v>
      </x:c>
      <x:c r="S846" s="41" t="n">
        <x:f>IFERROR(H846-P846,"")</x:f>
        <x:v>0.27303529793304776</x:v>
      </x:c>
      <x:c r="T846" s="41" t="n">
        <x:f>IFERROR(I846-M846,"")</x:f>
        <x:v>4.981846999999999</x:v>
      </x:c>
      <x:c r="U846" s="41" t="n">
        <x:f>IFERROR(E846-M846,"")</x:f>
        <x:v>5.716359</x:v>
      </x:c>
      <x:c r="V846" s="41" t="str">
        <x:f>IF(AND(I846&gt;M846,J846&gt;N846),"Sí","No")</x:f>
        <x:v>Sí</x:v>
      </x:c>
      <x:c r="W846" s="41" t="str">
        <x:f>IF(AND(E846&gt;M846,F846&gt;N846),"Sí","No")</x:f>
        <x:v>Sí</x:v>
      </x:c>
      <x:c r="X846" s="41" t="str">
        <x:f>IF(L846&gt;=H846,"Weekly","No weekly")</x:f>
        <x:v>Weekly</x:v>
      </x:c>
      <x:c r="Y846" s="41" t="n">
        <x:f>IFERROR(I846-E846,"")</x:f>
        <x:v>-0.7345120000000005</x:v>
      </x:c>
      <x:c r="Z846" s="41" t="n">
        <x:f>IFERROR(J846-F846,"")</x:f>
        <x:v>3.705684999999999</x:v>
      </x:c>
      <x:c r="AA846" s="41" t="n">
        <x:v>12050</x:v>
      </x:c>
      <x:c r="AB846" s="41" t="n">
        <x:v>5970</x:v>
      </x:c>
    </x:row>
    <x:row r="847">
      <x:c r="A847" s="41" t="str">
        <x:v>HYP_REFINE_AUTO002_TOPN_6_V1_DDGRID_LONG_R12_C23_E75_CR36_REDD_RECOVERED_DD7_SL22</x:v>
      </x:c>
      <x:c r="B847" s="41" t="str">
        <x:v>dd_guard_grid</x:v>
      </x:c>
      <x:c r="C847" s="41" t="str">
        <x:v>1999-01-04</x:v>
      </x:c>
      <x:c r="D847" s="41" t="str">
        <x:v>2026-05-22</x:v>
      </x:c>
      <x:c r="E847" s="41" t="n">
        <x:v>12.062787</x:v>
      </x:c>
      <x:c r="F847" s="41" t="n">
        <x:v>-33.867398</x:v>
      </x:c>
      <x:c r="G847" s="41" t="n">
        <x:v>2160.371645</x:v>
      </x:c>
      <x:c r="H847" s="41" t="n">
        <x:f>IFERROR(E847/ABS(F847),"")</x:f>
        <x:v>0.3561769640525676</x:v>
      </x:c>
      <x:c r="I847" s="41" t="n">
        <x:v>12.307754</x:v>
      </x:c>
      <x:c r="J847" s="41" t="n">
        <x:v>-27.914689</x:v>
      </x:c>
      <x:c r="K847" s="41" t="n">
        <x:v>2299.625844</x:v>
      </x:c>
      <x:c r="L847" s="41" t="n">
        <x:f>IFERROR(I847/ABS(J847),"")</x:f>
        <x:v>0.4409060047203105</x:v>
      </x:c>
      <x:c r="M847" s="41" t="n">
        <x:v>6.802475</x:v>
      </x:c>
      <x:c r="N847" s="41" t="n">
        <x:v>-56.473669</x:v>
      </x:c>
      <x:c r="O847" s="41" t="n">
        <x:v>506.057416</x:v>
      </x:c>
      <x:c r="P847" s="41" t="n">
        <x:f>IFERROR(M847/ABS(N847),"")</x:f>
        <x:v>0.12045392340278087</x:v>
      </x:c>
      <x:c r="Q847" s="41" t="str">
        <x:f>IF(L847&gt;=MAX(H847,P847),"Weekly",IF(H847&gt;=MAX(L847,P847),"No weekly","SPY"))</x:f>
        <x:v>Weekly</x:v>
      </x:c>
      <x:c r="R847" s="41" t="n">
        <x:f>IFERROR(L847-P847,"")</x:f>
        <x:v>0.3204520813175296</x:v>
      </x:c>
      <x:c r="S847" s="41" t="n">
        <x:f>IFERROR(H847-P847,"")</x:f>
        <x:v>0.23572304064978672</x:v>
      </x:c>
      <x:c r="T847" s="41" t="n">
        <x:f>IFERROR(I847-M847,"")</x:f>
        <x:v>5.505278999999999</x:v>
      </x:c>
      <x:c r="U847" s="41" t="n">
        <x:f>IFERROR(E847-M847,"")</x:f>
        <x:v>5.260312</x:v>
      </x:c>
      <x:c r="V847" s="41" t="str">
        <x:f>IF(AND(I847&gt;M847,J847&gt;N847),"Sí","No")</x:f>
        <x:v>Sí</x:v>
      </x:c>
      <x:c r="W847" s="41" t="str">
        <x:f>IF(AND(E847&gt;M847,F847&gt;N847),"Sí","No")</x:f>
        <x:v>Sí</x:v>
      </x:c>
      <x:c r="X847" s="41" t="str">
        <x:f>IF(L847&gt;=H847,"Weekly","No weekly")</x:f>
        <x:v>Weekly</x:v>
      </x:c>
      <x:c r="Y847" s="41" t="n">
        <x:f>IFERROR(I847-E847,"")</x:f>
        <x:v>0.24496699999999905</x:v>
      </x:c>
      <x:c r="Z847" s="41" t="n">
        <x:f>IFERROR(J847-F847,"")</x:f>
        <x:v>5.952709000000002</x:v>
      </x:c>
      <x:c r="AA847" s="41" t="n">
        <x:v>12092</x:v>
      </x:c>
      <x:c r="AB847" s="41" t="n">
        <x:v>5974</x:v>
      </x:c>
    </x:row>
    <x:row r="848">
      <x:c r="A848" s="41" t="str">
        <x:v>HYP_REFINE_AUTO002_TOPN_6_V1_DDGRID_LONG_R12_C23_E75_CR36_REDD_RECOVERED_DD8_SL18</x:v>
      </x:c>
      <x:c r="B848" s="41" t="str">
        <x:v>dd_guard_grid</x:v>
      </x:c>
      <x:c r="C848" s="41" t="str">
        <x:v>1999-01-04</x:v>
      </x:c>
      <x:c r="D848" s="41" t="str">
        <x:v>2026-05-22</x:v>
      </x:c>
      <x:c r="E848" s="41" t="n">
        <x:v>12.024517</x:v>
      </x:c>
      <x:c r="F848" s="41" t="n">
        <x:v>-31.814935</x:v>
      </x:c>
      <x:c r="G848" s="41" t="n">
        <x:v>2139.332375</x:v>
      </x:c>
      <x:c r="H848" s="41" t="n">
        <x:f>IFERROR(E848/ABS(F848),"")</x:f>
        <x:v>0.3779519587263026</x:v>
      </x:c>
      <x:c r="I848" s="41" t="n">
        <x:v>12.242533</x:v>
      </x:c>
      <x:c r="J848" s="41" t="n">
        <x:v>-28.10925</x:v>
      </x:c>
      <x:c r="K848" s="41" t="n">
        <x:v>2261.763333</x:v>
      </x:c>
      <x:c r="L848" s="41" t="n">
        <x:f>IFERROR(I848/ABS(J848),"")</x:f>
        <x:v>0.4355339612405169</x:v>
      </x:c>
      <x:c r="M848" s="41" t="n">
        <x:v>6.802475</x:v>
      </x:c>
      <x:c r="N848" s="41" t="n">
        <x:v>-56.473669</x:v>
      </x:c>
      <x:c r="O848" s="41" t="n">
        <x:v>506.057416</x:v>
      </x:c>
      <x:c r="P848" s="41" t="n">
        <x:f>IFERROR(M848/ABS(N848),"")</x:f>
        <x:v>0.12045392340278087</x:v>
      </x:c>
      <x:c r="Q848" s="41" t="str">
        <x:f>IF(L848&gt;=MAX(H848,P848),"Weekly",IF(H848&gt;=MAX(L848,P848),"No weekly","SPY"))</x:f>
        <x:v>Weekly</x:v>
      </x:c>
      <x:c r="R848" s="41" t="n">
        <x:f>IFERROR(L848-P848,"")</x:f>
        <x:v>0.315080037837736</x:v>
      </x:c>
      <x:c r="S848" s="41" t="n">
        <x:f>IFERROR(H848-P848,"")</x:f>
        <x:v>0.2574980353235217</x:v>
      </x:c>
      <x:c r="T848" s="41" t="n">
        <x:f>IFERROR(I848-M848,"")</x:f>
        <x:v>5.440058</x:v>
      </x:c>
      <x:c r="U848" s="41" t="n">
        <x:f>IFERROR(E848-M848,"")</x:f>
        <x:v>5.222041999999999</x:v>
      </x:c>
      <x:c r="V848" s="41" t="str">
        <x:f>IF(AND(I848&gt;M848,J848&gt;N848),"Sí","No")</x:f>
        <x:v>Sí</x:v>
      </x:c>
      <x:c r="W848" s="41" t="str">
        <x:f>IF(AND(E848&gt;M848,F848&gt;N848),"Sí","No")</x:f>
        <x:v>Sí</x:v>
      </x:c>
      <x:c r="X848" s="41" t="str">
        <x:f>IF(L848&gt;=H848,"Weekly","No weekly")</x:f>
        <x:v>Weekly</x:v>
      </x:c>
      <x:c r="Y848" s="41" t="n">
        <x:f>IFERROR(I848-E848,"")</x:f>
        <x:v>0.21801600000000043</x:v>
      </x:c>
      <x:c r="Z848" s="41" t="n">
        <x:f>IFERROR(J848-F848,"")</x:f>
        <x:v>3.705684999999999</x:v>
      </x:c>
      <x:c r="AA848" s="41" t="n">
        <x:v>11676</x:v>
      </x:c>
      <x:c r="AB848" s="41" t="n">
        <x:v>5852</x:v>
      </x:c>
    </x:row>
    <x:row r="849">
      <x:c r="A849" s="41" t="str">
        <x:v>HYP_REFINE_AUTO002_TOPN_6_V1_DDGRID_LONG_R12_C23_E75_CR36_REDD_RECOVERED_DD8_SL20</x:v>
      </x:c>
      <x:c r="B849" s="41" t="str">
        <x:v>dd_guard_grid</x:v>
      </x:c>
      <x:c r="C849" s="41" t="str">
        <x:v>1999-01-04</x:v>
      </x:c>
      <x:c r="D849" s="41" t="str">
        <x:v>2026-05-22</x:v>
      </x:c>
      <x:c r="E849" s="41" t="n">
        <x:v>12.543148</x:v>
      </x:c>
      <x:c r="F849" s="41" t="n">
        <x:v>-33.265948</x:v>
      </x:c>
      <x:c r="G849" s="41" t="n">
        <x:v>2441.202295</x:v>
      </x:c>
      <x:c r="H849" s="41" t="n">
        <x:f>IFERROR(E849/ABS(F849),"")</x:f>
        <x:v>0.37705668270749415</x:v>
      </x:c>
      <x:c r="I849" s="41" t="n">
        <x:v>12.339057</x:v>
      </x:c>
      <x:c r="J849" s="41" t="n">
        <x:v>-29.802291</x:v>
      </x:c>
      <x:c r="K849" s="41" t="n">
        <x:v>2318.00511</x:v>
      </x:c>
      <x:c r="L849" s="41" t="n">
        <x:f>IFERROR(I849/ABS(J849),"")</x:f>
        <x:v>0.41403048510599405</x:v>
      </x:c>
      <x:c r="M849" s="41" t="n">
        <x:v>6.802475</x:v>
      </x:c>
      <x:c r="N849" s="41" t="n">
        <x:v>-56.473669</x:v>
      </x:c>
      <x:c r="O849" s="41" t="n">
        <x:v>506.057416</x:v>
      </x:c>
      <x:c r="P849" s="41" t="n">
        <x:f>IFERROR(M849/ABS(N849),"")</x:f>
        <x:v>0.12045392340278087</x:v>
      </x:c>
      <x:c r="Q849" s="41" t="str">
        <x:f>IF(L849&gt;=MAX(H849,P849),"Weekly",IF(H849&gt;=MAX(L849,P849),"No weekly","SPY"))</x:f>
        <x:v>Weekly</x:v>
      </x:c>
      <x:c r="R849" s="41" t="n">
        <x:f>IFERROR(L849-P849,"")</x:f>
        <x:v>0.29357656170321317</x:v>
      </x:c>
      <x:c r="S849" s="41" t="n">
        <x:f>IFERROR(H849-P849,"")</x:f>
        <x:v>0.25660275930471327</x:v>
      </x:c>
      <x:c r="T849" s="41" t="n">
        <x:f>IFERROR(I849-M849,"")</x:f>
        <x:v>5.536582</x:v>
      </x:c>
      <x:c r="U849" s="41" t="n">
        <x:f>IFERROR(E849-M849,"")</x:f>
        <x:v>5.740673</x:v>
      </x:c>
      <x:c r="V849" s="41" t="str">
        <x:f>IF(AND(I849&gt;M849,J849&gt;N849),"Sí","No")</x:f>
        <x:v>Sí</x:v>
      </x:c>
      <x:c r="W849" s="41" t="str">
        <x:f>IF(AND(E849&gt;M849,F849&gt;N849),"Sí","No")</x:f>
        <x:v>Sí</x:v>
      </x:c>
      <x:c r="X849" s="41" t="str">
        <x:f>IF(L849&gt;=H849,"Weekly","No weekly")</x:f>
        <x:v>Weekly</x:v>
      </x:c>
      <x:c r="Y849" s="41" t="n">
        <x:f>IFERROR(I849-E849,"")</x:f>
        <x:v>-0.20409100000000002</x:v>
      </x:c>
      <x:c r="Z849" s="41" t="n">
        <x:f>IFERROR(J849-F849,"")</x:f>
        <x:v>3.4636570000000013</x:v>
      </x:c>
      <x:c r="AA849" s="41" t="n">
        <x:v>12154</x:v>
      </x:c>
      <x:c r="AB849" s="41" t="n">
        <x:v>6110</x:v>
      </x:c>
    </x:row>
    <x:row r="850">
      <x:c r="A850" s="41" t="str">
        <x:v>HYP_REFINE_AUTO002_TOPN_6_V1_DDGRID_LONG_R12_C23_E75_CR36_REDD_RECOVERED_DD8_SL22</x:v>
      </x:c>
      <x:c r="B850" s="41" t="str">
        <x:v>dd_guard_grid</x:v>
      </x:c>
      <x:c r="C850" s="41" t="str">
        <x:v>1999-01-04</x:v>
      </x:c>
      <x:c r="D850" s="41" t="str">
        <x:v>2026-05-22</x:v>
      </x:c>
      <x:c r="E850" s="41" t="n">
        <x:v>12.09963</x:v>
      </x:c>
      <x:c r="F850" s="41" t="n">
        <x:v>-33.867398</x:v>
      </x:c>
      <x:c r="G850" s="41" t="n">
        <x:v>2180.806214</x:v>
      </x:c>
      <x:c r="H850" s="41" t="n">
        <x:f>IFERROR(E850/ABS(F850),"")</x:f>
        <x:v>0.35726482441904744</x:v>
      </x:c>
      <x:c r="I850" s="41" t="n">
        <x:v>12.26205</x:v>
      </x:c>
      <x:c r="J850" s="41" t="n">
        <x:v>-27.914689</x:v>
      </x:c>
      <x:c r="K850" s="41" t="n">
        <x:v>2273.032925</x:v>
      </x:c>
      <x:c r="L850" s="41" t="n">
        <x:f>IFERROR(I850/ABS(J850),"")</x:f>
        <x:v>0.4392687305239188</x:v>
      </x:c>
      <x:c r="M850" s="41" t="n">
        <x:v>6.802475</x:v>
      </x:c>
      <x:c r="N850" s="41" t="n">
        <x:v>-56.473669</x:v>
      </x:c>
      <x:c r="O850" s="41" t="n">
        <x:v>506.057416</x:v>
      </x:c>
      <x:c r="P850" s="41" t="n">
        <x:f>IFERROR(M850/ABS(N850),"")</x:f>
        <x:v>0.12045392340278087</x:v>
      </x:c>
      <x:c r="Q850" s="41" t="str">
        <x:f>IF(L850&gt;=MAX(H850,P850),"Weekly",IF(H850&gt;=MAX(L850,P850),"No weekly","SPY"))</x:f>
        <x:v>Weekly</x:v>
      </x:c>
      <x:c r="R850" s="41" t="n">
        <x:f>IFERROR(L850-P850,"")</x:f>
        <x:v>0.3188148071211379</x:v>
      </x:c>
      <x:c r="S850" s="41" t="n">
        <x:f>IFERROR(H850-P850,"")</x:f>
        <x:v>0.23681090101626656</x:v>
      </x:c>
      <x:c r="T850" s="41" t="n">
        <x:f>IFERROR(I850-M850,"")</x:f>
        <x:v>5.459575</x:v>
      </x:c>
      <x:c r="U850" s="41" t="n">
        <x:f>IFERROR(E850-M850,"")</x:f>
        <x:v>5.297154999999999</x:v>
      </x:c>
      <x:c r="V850" s="41" t="str">
        <x:f>IF(AND(I850&gt;M850,J850&gt;N850),"Sí","No")</x:f>
        <x:v>Sí</x:v>
      </x:c>
      <x:c r="W850" s="41" t="str">
        <x:f>IF(AND(E850&gt;M850,F850&gt;N850),"Sí","No")</x:f>
        <x:v>Sí</x:v>
      </x:c>
      <x:c r="X850" s="41" t="str">
        <x:f>IF(L850&gt;=H850,"Weekly","No weekly")</x:f>
        <x:v>Weekly</x:v>
      </x:c>
      <x:c r="Y850" s="41" t="n">
        <x:f>IFERROR(I850-E850,"")</x:f>
        <x:v>0.1624200000000009</x:v>
      </x:c>
      <x:c r="Z850" s="41" t="n">
        <x:f>IFERROR(J850-F850,"")</x:f>
        <x:v>5.952709000000002</x:v>
      </x:c>
      <x:c r="AA850" s="41" t="n">
        <x:v>12317</x:v>
      </x:c>
      <x:c r="AB850" s="41" t="n">
        <x:v>5787</x:v>
      </x:c>
    </x:row>
    <x:row r="851">
      <x:c r="A851" s="41" t="str">
        <x:v>HYP_REFINE_AUTO002_TOPN_6_V1_DDGRID_LONG_R12_C23_E75_CR36_REDD_RECOVERED_DD8_SL24</x:v>
      </x:c>
      <x:c r="B851" s="41" t="str">
        <x:v>dd_guard_grid</x:v>
      </x:c>
      <x:c r="C851" s="41" t="str">
        <x:v>1999-01-04</x:v>
      </x:c>
      <x:c r="D851" s="41" t="str">
        <x:v>2026-05-22</x:v>
      </x:c>
      <x:c r="E851" s="41" t="n">
        <x:v>12.153028</x:v>
      </x:c>
      <x:c r="F851" s="41" t="n">
        <x:v>-33.155187</x:v>
      </x:c>
      <x:c r="G851" s="41" t="n">
        <x:v>2210.739418</x:v>
      </x:c>
      <x:c r="H851" s="41" t="n">
        <x:f>IFERROR(E851/ABS(F851),"")</x:f>
        <x:v>0.36654982522040974</x:v>
      </x:c>
      <x:c r="I851" s="41" t="n">
        <x:v>11.97742</x:v>
      </x:c>
      <x:c r="J851" s="41" t="n">
        <x:v>-31.290511</x:v>
      </x:c>
      <x:c r="K851" s="41" t="n">
        <x:v>2113.699432</x:v>
      </x:c>
      <x:c r="L851" s="41" t="n">
        <x:f>IFERROR(I851/ABS(J851),"")</x:f>
        <x:v>0.382781220798855</x:v>
      </x:c>
      <x:c r="M851" s="41" t="n">
        <x:v>6.802475</x:v>
      </x:c>
      <x:c r="N851" s="41" t="n">
        <x:v>-56.473669</x:v>
      </x:c>
      <x:c r="O851" s="41" t="n">
        <x:v>506.057416</x:v>
      </x:c>
      <x:c r="P851" s="41" t="n">
        <x:f>IFERROR(M851/ABS(N851),"")</x:f>
        <x:v>0.12045392340278087</x:v>
      </x:c>
      <x:c r="Q851" s="41" t="str">
        <x:f>IF(L851&gt;=MAX(H851,P851),"Weekly",IF(H851&gt;=MAX(L851,P851),"No weekly","SPY"))</x:f>
        <x:v>Weekly</x:v>
      </x:c>
      <x:c r="R851" s="41" t="n">
        <x:f>IFERROR(L851-P851,"")</x:f>
        <x:v>0.26232729739607413</x:v>
      </x:c>
      <x:c r="S851" s="41" t="n">
        <x:f>IFERROR(H851-P851,"")</x:f>
        <x:v>0.24609590181762886</x:v>
      </x:c>
      <x:c r="T851" s="41" t="n">
        <x:f>IFERROR(I851-M851,"")</x:f>
        <x:v>5.174945</x:v>
      </x:c>
      <x:c r="U851" s="41" t="n">
        <x:f>IFERROR(E851-M851,"")</x:f>
        <x:v>5.350553000000001</x:v>
      </x:c>
      <x:c r="V851" s="41" t="str">
        <x:f>IF(AND(I851&gt;M851,J851&gt;N851),"Sí","No")</x:f>
        <x:v>Sí</x:v>
      </x:c>
      <x:c r="W851" s="41" t="str">
        <x:f>IF(AND(E851&gt;M851,F851&gt;N851),"Sí","No")</x:f>
        <x:v>Sí</x:v>
      </x:c>
      <x:c r="X851" s="41" t="str">
        <x:f>IF(L851&gt;=H851,"Weekly","No weekly")</x:f>
        <x:v>Weekly</x:v>
      </x:c>
      <x:c r="Y851" s="41" t="n">
        <x:f>IFERROR(I851-E851,"")</x:f>
        <x:v>-0.17560800000000043</x:v>
      </x:c>
      <x:c r="Z851" s="41" t="n">
        <x:f>IFERROR(J851-F851,"")</x:f>
        <x:v>1.8646759999999993</x:v>
      </x:c>
      <x:c r="AA851" s="41" t="n">
        <x:v>12276</x:v>
      </x:c>
      <x:c r="AB851" s="41" t="n">
        <x:v>6235</x:v>
      </x:c>
    </x:row>
    <x:row r="852">
      <x:c r="A852" s="41" t="str">
        <x:v>HYP_REFINE_AUTO002_TOPN_6_V1_DDGRID_LONG_R12_C23_E75_CR36_REDD_RECOVERED_DD8_SLNONE</x:v>
      </x:c>
      <x:c r="B852" s="41" t="str">
        <x:v>dd_guard_grid</x:v>
      </x:c>
      <x:c r="C852" s="41" t="str">
        <x:v>1999-01-04</x:v>
      </x:c>
      <x:c r="D852" s="41" t="str">
        <x:v>2026-05-22</x:v>
      </x:c>
      <x:c r="E852" s="41" t="n">
        <x:v>12.493197</x:v>
      </x:c>
      <x:c r="F852" s="41" t="n">
        <x:v>-34.070904</x:v>
      </x:c>
      <x:c r="G852" s="41" t="n">
        <x:v>2410.502491</x:v>
      </x:c>
      <x:c r="H852" s="41" t="n">
        <x:f>IFERROR(E852/ABS(F852),"")</x:f>
        <x:v>0.36668228703294753</x:v>
      </x:c>
      <x:c r="I852" s="41" t="n">
        <x:v>12.894918</x:v>
      </x:c>
      <x:c r="J852" s="41" t="n">
        <x:v>-28.067482</x:v>
      </x:c>
      <x:c r="K852" s="41" t="n">
        <x:v>2667.873543</x:v>
      </x:c>
      <x:c r="L852" s="41" t="n">
        <x:f>IFERROR(I852/ABS(J852),"")</x:f>
        <x:v>0.45942553735315483</x:v>
      </x:c>
      <x:c r="M852" s="41" t="n">
        <x:v>6.802475</x:v>
      </x:c>
      <x:c r="N852" s="41" t="n">
        <x:v>-56.473669</x:v>
      </x:c>
      <x:c r="O852" s="41" t="n">
        <x:v>506.057416</x:v>
      </x:c>
      <x:c r="P852" s="41" t="n">
        <x:f>IFERROR(M852/ABS(N852),"")</x:f>
        <x:v>0.12045392340278087</x:v>
      </x:c>
      <x:c r="Q852" s="41" t="str">
        <x:f>IF(L852&gt;=MAX(H852,P852),"Weekly",IF(H852&gt;=MAX(L852,P852),"No weekly","SPY"))</x:f>
        <x:v>Weekly</x:v>
      </x:c>
      <x:c r="R852" s="41" t="n">
        <x:f>IFERROR(L852-P852,"")</x:f>
        <x:v>0.33897161395037395</x:v>
      </x:c>
      <x:c r="S852" s="41" t="n">
        <x:f>IFERROR(H852-P852,"")</x:f>
        <x:v>0.24622836363016665</x:v>
      </x:c>
      <x:c r="T852" s="41" t="n">
        <x:f>IFERROR(I852-M852,"")</x:f>
        <x:v>6.092443</x:v>
      </x:c>
      <x:c r="U852" s="41" t="n">
        <x:f>IFERROR(E852-M852,"")</x:f>
        <x:v>5.690722</x:v>
      </x:c>
      <x:c r="V852" s="41" t="str">
        <x:f>IF(AND(I852&gt;M852,J852&gt;N852),"Sí","No")</x:f>
        <x:v>Sí</x:v>
      </x:c>
      <x:c r="W852" s="41" t="str">
        <x:f>IF(AND(E852&gt;M852,F852&gt;N852),"Sí","No")</x:f>
        <x:v>Sí</x:v>
      </x:c>
      <x:c r="X852" s="41" t="str">
        <x:f>IF(L852&gt;=H852,"Weekly","No weekly")</x:f>
        <x:v>Weekly</x:v>
      </x:c>
      <x:c r="Y852" s="41" t="n">
        <x:f>IFERROR(I852-E852,"")</x:f>
        <x:v>0.4017210000000002</x:v>
      </x:c>
      <x:c r="Z852" s="41" t="n">
        <x:f>IFERROR(J852-F852,"")</x:f>
        <x:v>6.0034220000000005</x:v>
      </x:c>
      <x:c r="AA852" s="41" t="n">
        <x:v>12062</x:v>
      </x:c>
      <x:c r="AB852" s="41" t="n">
        <x:v>6160</x:v>
      </x:c>
    </x:row>
    <x:row r="853">
      <x:c r="A853" s="41" t="str">
        <x:v>HYP_REFINE_AUTO002_TOPN_6_V1_DDGRID_LONG_R12_C23_E75_CR36_REDD_RECOVERED_DD9_SL22</x:v>
      </x:c>
      <x:c r="B853" s="41" t="str">
        <x:v>dd_guard_grid</x:v>
      </x:c>
      <x:c r="C853" s="41" t="str">
        <x:v>1999-01-04</x:v>
      </x:c>
      <x:c r="D853" s="41" t="str">
        <x:v>2026-05-22</x:v>
      </x:c>
      <x:c r="E853" s="41" t="n">
        <x:v>11.454547</x:v>
      </x:c>
      <x:c r="F853" s="41" t="n">
        <x:v>-33.867398</x:v>
      </x:c>
      <x:c r="G853" s="41" t="n">
        <x:v>1847.453971</x:v>
      </x:c>
      <x:c r="H853" s="41" t="n">
        <x:f>IFERROR(E853/ABS(F853),"")</x:f>
        <x:v>0.33821750935811484</x:v>
      </x:c>
      <x:c r="I853" s="41" t="n">
        <x:v>12.100883</x:v>
      </x:c>
      <x:c r="J853" s="41" t="n">
        <x:v>-27.914689</x:v>
      </x:c>
      <x:c r="K853" s="41" t="n">
        <x:v>2181.504693</x:v>
      </x:c>
      <x:c r="L853" s="41" t="n">
        <x:f>IFERROR(I853/ABS(J853),"")</x:f>
        <x:v>0.4334951752462655</x:v>
      </x:c>
      <x:c r="M853" s="41" t="n">
        <x:v>6.802475</x:v>
      </x:c>
      <x:c r="N853" s="41" t="n">
        <x:v>-56.473669</x:v>
      </x:c>
      <x:c r="O853" s="41" t="n">
        <x:v>506.057416</x:v>
      </x:c>
      <x:c r="P853" s="41" t="n">
        <x:f>IFERROR(M853/ABS(N853),"")</x:f>
        <x:v>0.12045392340278087</x:v>
      </x:c>
      <x:c r="Q853" s="41" t="str">
        <x:f>IF(L853&gt;=MAX(H853,P853),"Weekly",IF(H853&gt;=MAX(L853,P853),"No weekly","SPY"))</x:f>
        <x:v>Weekly</x:v>
      </x:c>
      <x:c r="R853" s="41" t="n">
        <x:f>IFERROR(L853-P853,"")</x:f>
        <x:v>0.31304125184348464</x:v>
      </x:c>
      <x:c r="S853" s="41" t="n">
        <x:f>IFERROR(H853-P853,"")</x:f>
        <x:v>0.21776358595533396</x:v>
      </x:c>
      <x:c r="T853" s="41" t="n">
        <x:f>IFERROR(I853-M853,"")</x:f>
        <x:v>5.298407999999999</x:v>
      </x:c>
      <x:c r="U853" s="41" t="n">
        <x:f>IFERROR(E853-M853,"")</x:f>
        <x:v>4.6520719999999995</x:v>
      </x:c>
      <x:c r="V853" s="41" t="str">
        <x:f>IF(AND(I853&gt;M853,J853&gt;N853),"Sí","No")</x:f>
        <x:v>Sí</x:v>
      </x:c>
      <x:c r="W853" s="41" t="str">
        <x:f>IF(AND(E853&gt;M853,F853&gt;N853),"Sí","No")</x:f>
        <x:v>Sí</x:v>
      </x:c>
      <x:c r="X853" s="41" t="str">
        <x:f>IF(L853&gt;=H853,"Weekly","No weekly")</x:f>
        <x:v>Weekly</x:v>
      </x:c>
      <x:c r="Y853" s="41" t="n">
        <x:f>IFERROR(I853-E853,"")</x:f>
        <x:v>0.6463359999999998</x:v>
      </x:c>
      <x:c r="Z853" s="41" t="n">
        <x:f>IFERROR(J853-F853,"")</x:f>
        <x:v>5.952709000000002</x:v>
      </x:c>
      <x:c r="AA853" s="41" t="n">
        <x:v>12336</x:v>
      </x:c>
      <x:c r="AB853" s="41" t="n">
        <x:v>6096</x:v>
      </x:c>
    </x:row>
    <x:row r="854">
      <x:c r="A854" s="41" t="str">
        <x:v>HYP_REFINE_AUTO002_TOPN_6_V1_DDGRID_LONG_R12_C23_E75_CR40_REDD_RECOVERED_DD10_SL18</x:v>
      </x:c>
      <x:c r="B854" s="41" t="str">
        <x:v>dd_guard_grid</x:v>
      </x:c>
      <x:c r="C854" s="41" t="str">
        <x:v>1999-01-04</x:v>
      </x:c>
      <x:c r="D854" s="41" t="str">
        <x:v>2026-05-22</x:v>
      </x:c>
      <x:c r="E854" s="41" t="n">
        <x:v>12.344282</x:v>
      </x:c>
      <x:c r="F854" s="41" t="n">
        <x:v>-33.120684</x:v>
      </x:c>
      <x:c r="G854" s="41" t="n">
        <x:v>2321.085685</x:v>
      </x:c>
      <x:c r="H854" s="41" t="n">
        <x:f>IFERROR(E854/ABS(F854),"")</x:f>
        <x:v>0.3727061313105732</x:v>
      </x:c>
      <x:c r="I854" s="41" t="n">
        <x:v>11.904502</x:v>
      </x:c>
      <x:c r="J854" s="41" t="n">
        <x:v>-30.389067</x:v>
      </x:c>
      <x:c r="K854" s="41" t="n">
        <x:v>2074.569482</x:v>
      </x:c>
      <x:c r="L854" s="41" t="n">
        <x:f>IFERROR(I854/ABS(J854),"")</x:f>
        <x:v>0.3917363438634033</x:v>
      </x:c>
      <x:c r="M854" s="41" t="n">
        <x:v>6.802475</x:v>
      </x:c>
      <x:c r="N854" s="41" t="n">
        <x:v>-56.473669</x:v>
      </x:c>
      <x:c r="O854" s="41" t="n">
        <x:v>506.057416</x:v>
      </x:c>
      <x:c r="P854" s="41" t="n">
        <x:f>IFERROR(M854/ABS(N854),"")</x:f>
        <x:v>0.12045392340278087</x:v>
      </x:c>
      <x:c r="Q854" s="41" t="str">
        <x:f>IF(L854&gt;=MAX(H854,P854),"Weekly",IF(H854&gt;=MAX(L854,P854),"No weekly","SPY"))</x:f>
        <x:v>Weekly</x:v>
      </x:c>
      <x:c r="R854" s="41" t="n">
        <x:f>IFERROR(L854-P854,"")</x:f>
        <x:v>0.2712824204606224</x:v>
      </x:c>
      <x:c r="S854" s="41" t="n">
        <x:f>IFERROR(H854-P854,"")</x:f>
        <x:v>0.2522522079077923</x:v>
      </x:c>
      <x:c r="T854" s="41" t="n">
        <x:f>IFERROR(I854-M854,"")</x:f>
        <x:v>5.1020270000000005</x:v>
      </x:c>
      <x:c r="U854" s="41" t="n">
        <x:f>IFERROR(E854-M854,"")</x:f>
        <x:v>5.5418069999999995</x:v>
      </x:c>
      <x:c r="V854" s="41" t="str">
        <x:f>IF(AND(I854&gt;M854,J854&gt;N854),"Sí","No")</x:f>
        <x:v>Sí</x:v>
      </x:c>
      <x:c r="W854" s="41" t="str">
        <x:f>IF(AND(E854&gt;M854,F854&gt;N854),"Sí","No")</x:f>
        <x:v>Sí</x:v>
      </x:c>
      <x:c r="X854" s="41" t="str">
        <x:f>IF(L854&gt;=H854,"Weekly","No weekly")</x:f>
        <x:v>Weekly</x:v>
      </x:c>
      <x:c r="Y854" s="41" t="n">
        <x:f>IFERROR(I854-E854,"")</x:f>
        <x:v>-0.43977999999999895</x:v>
      </x:c>
      <x:c r="Z854" s="41" t="n">
        <x:f>IFERROR(J854-F854,"")</x:f>
        <x:v>2.7316169999999964</x:v>
      </x:c>
      <x:c r="AA854" s="41" t="n">
        <x:v>11634</x:v>
      </x:c>
      <x:c r="AB854" s="41" t="n">
        <x:v>5406</x:v>
      </x:c>
    </x:row>
    <x:row r="855">
      <x:c r="A855" s="41" t="str">
        <x:v>HYP_REFINE_AUTO002_TOPN_6_V1_DDGRID_LONG_R12_C23_E75_CR40_REDD_RECOVERED_DD10_SL20</x:v>
      </x:c>
      <x:c r="B855" s="41" t="str">
        <x:v>dd_guard_grid</x:v>
      </x:c>
      <x:c r="C855" s="41" t="str">
        <x:v>1999-01-04</x:v>
      </x:c>
      <x:c r="D855" s="41" t="str">
        <x:v>2026-05-22</x:v>
      </x:c>
      <x:c r="E855" s="41" t="n">
        <x:v>12.71178</x:v>
      </x:c>
      <x:c r="F855" s="41" t="n">
        <x:v>-33.768143</x:v>
      </x:c>
      <x:c r="G855" s="41" t="n">
        <x:v>2547.537234</x:v>
      </x:c>
      <x:c r="H855" s="41" t="n">
        <x:f>IFERROR(E855/ABS(F855),"")</x:f>
        <x:v>0.3764429687472005</x:v>
      </x:c>
      <x:c r="I855" s="41" t="n">
        <x:v>12.504471</x:v>
      </x:c>
      <x:c r="J855" s="41" t="n">
        <x:v>-30.363926</x:v>
      </x:c>
      <x:c r="K855" s="41" t="n">
        <x:v>2417.400393</x:v>
      </x:c>
      <x:c r="L855" s="41" t="n">
        <x:f>IFERROR(I855/ABS(J855),"")</x:f>
        <x:v>0.41181996689097455</x:v>
      </x:c>
      <x:c r="M855" s="41" t="n">
        <x:v>6.802475</x:v>
      </x:c>
      <x:c r="N855" s="41" t="n">
        <x:v>-56.473669</x:v>
      </x:c>
      <x:c r="O855" s="41" t="n">
        <x:v>506.057416</x:v>
      </x:c>
      <x:c r="P855" s="41" t="n">
        <x:f>IFERROR(M855/ABS(N855),"")</x:f>
        <x:v>0.12045392340278087</x:v>
      </x:c>
      <x:c r="Q855" s="41" t="str">
        <x:f>IF(L855&gt;=MAX(H855,P855),"Weekly",IF(H855&gt;=MAX(L855,P855),"No weekly","SPY"))</x:f>
        <x:v>Weekly</x:v>
      </x:c>
      <x:c r="R855" s="41" t="n">
        <x:f>IFERROR(L855-P855,"")</x:f>
        <x:v>0.29136604348819367</x:v>
      </x:c>
      <x:c r="S855" s="41" t="n">
        <x:f>IFERROR(H855-P855,"")</x:f>
        <x:v>0.25598904534441963</x:v>
      </x:c>
      <x:c r="T855" s="41" t="n">
        <x:f>IFERROR(I855-M855,"")</x:f>
        <x:v>5.701996</x:v>
      </x:c>
      <x:c r="U855" s="41" t="n">
        <x:f>IFERROR(E855-M855,"")</x:f>
        <x:v>5.909304999999999</x:v>
      </x:c>
      <x:c r="V855" s="41" t="str">
        <x:f>IF(AND(I855&gt;M855,J855&gt;N855),"Sí","No")</x:f>
        <x:v>Sí</x:v>
      </x:c>
      <x:c r="W855" s="41" t="str">
        <x:f>IF(AND(E855&gt;M855,F855&gt;N855),"Sí","No")</x:f>
        <x:v>Sí</x:v>
      </x:c>
      <x:c r="X855" s="41" t="str">
        <x:f>IF(L855&gt;=H855,"Weekly","No weekly")</x:f>
        <x:v>Weekly</x:v>
      </x:c>
      <x:c r="Y855" s="41" t="n">
        <x:f>IFERROR(I855-E855,"")</x:f>
        <x:v>-0.20730899999999863</x:v>
      </x:c>
      <x:c r="Z855" s="41" t="n">
        <x:f>IFERROR(J855-F855,"")</x:f>
        <x:v>3.4042170000000027</x:v>
      </x:c>
      <x:c r="AA855" s="41" t="n">
        <x:v>11727</x:v>
      </x:c>
      <x:c r="AB855" s="41" t="n">
        <x:v>5414</x:v>
      </x:c>
    </x:row>
    <x:row r="856">
      <x:c r="A856" s="41" t="str">
        <x:v>HYP_REFINE_AUTO002_TOPN_6_V1_DDGRID_LONG_R12_C23_E75_CR40_REDD_RECOVERED_DD10_SL22</x:v>
      </x:c>
      <x:c r="B856" s="41" t="str">
        <x:v>dd_guard_grid</x:v>
      </x:c>
      <x:c r="C856" s="41" t="str">
        <x:v>1999-01-04</x:v>
      </x:c>
      <x:c r="D856" s="41" t="str">
        <x:v>2026-05-22</x:v>
      </x:c>
      <x:c r="E856" s="41" t="n">
        <x:v>14.07223</x:v>
      </x:c>
      <x:c r="F856" s="41" t="n">
        <x:v>-34.327584</x:v>
      </x:c>
      <x:c r="G856" s="41" t="n">
        <x:v>3577.064189</x:v>
      </x:c>
      <x:c r="H856" s="41" t="n">
        <x:f>IFERROR(E856/ABS(F856),"")</x:f>
        <x:v>0.4099394236425144</x:v>
      </x:c>
      <x:c r="I856" s="41" t="n">
        <x:v>12.541399</x:v>
      </x:c>
      <x:c r="J856" s="41" t="n">
        <x:v>-30.276174</x:v>
      </x:c>
      <x:c r="K856" s="41" t="n">
        <x:v>2440.121333</x:v>
      </x:c>
      <x:c r="L856" s="41" t="n">
        <x:f>IFERROR(I856/ABS(J856),"")</x:f>
        <x:v>0.4142332845623096</x:v>
      </x:c>
      <x:c r="M856" s="41" t="n">
        <x:v>6.802475</x:v>
      </x:c>
      <x:c r="N856" s="41" t="n">
        <x:v>-56.473669</x:v>
      </x:c>
      <x:c r="O856" s="41" t="n">
        <x:v>506.057416</x:v>
      </x:c>
      <x:c r="P856" s="41" t="n">
        <x:f>IFERROR(M856/ABS(N856),"")</x:f>
        <x:v>0.12045392340278087</x:v>
      </x:c>
      <x:c r="Q856" s="41" t="str">
        <x:f>IF(L856&gt;=MAX(H856,P856),"Weekly",IF(H856&gt;=MAX(L856,P856),"No weekly","SPY"))</x:f>
        <x:v>Weekly</x:v>
      </x:c>
      <x:c r="R856" s="41" t="n">
        <x:f>IFERROR(L856-P856,"")</x:f>
        <x:v>0.29377936115952874</x:v>
      </x:c>
      <x:c r="S856" s="41" t="n">
        <x:f>IFERROR(H856-P856,"")</x:f>
        <x:v>0.2894855002397335</x:v>
      </x:c>
      <x:c r="T856" s="41" t="n">
        <x:f>IFERROR(I856-M856,"")</x:f>
        <x:v>5.738924</x:v>
      </x:c>
      <x:c r="U856" s="41" t="n">
        <x:f>IFERROR(E856-M856,"")</x:f>
        <x:v>7.269754999999999</x:v>
      </x:c>
      <x:c r="V856" s="41" t="str">
        <x:f>IF(AND(I856&gt;M856,J856&gt;N856),"Sí","No")</x:f>
        <x:v>Sí</x:v>
      </x:c>
      <x:c r="W856" s="41" t="str">
        <x:f>IF(AND(E856&gt;M856,F856&gt;N856),"Sí","No")</x:f>
        <x:v>Sí</x:v>
      </x:c>
      <x:c r="X856" s="41" t="str">
        <x:f>IF(L856&gt;=H856,"Weekly","No weekly")</x:f>
        <x:v>Weekly</x:v>
      </x:c>
      <x:c r="Y856" s="41" t="n">
        <x:f>IFERROR(I856-E856,"")</x:f>
        <x:v>-1.5308309999999992</x:v>
      </x:c>
      <x:c r="Z856" s="41" t="n">
        <x:f>IFERROR(J856-F856,"")</x:f>
        <x:v>4.051410000000001</x:v>
      </x:c>
      <x:c r="AA856" s="41" t="n">
        <x:v>11764</x:v>
      </x:c>
      <x:c r="AB856" s="41" t="n">
        <x:v>5285</x:v>
      </x:c>
    </x:row>
    <x:row r="857">
      <x:c r="A857" s="41" t="str">
        <x:v>HYP_REFINE_AUTO002_TOPN_6_V1_DDGRID_LONG_R12_C23_E75_CR40_REDD_RECOVERED_DD6_SL18</x:v>
      </x:c>
      <x:c r="B857" s="41" t="str">
        <x:v>dd_guard_grid</x:v>
      </x:c>
      <x:c r="C857" s="41" t="str">
        <x:v>1999-01-04</x:v>
      </x:c>
      <x:c r="D857" s="41" t="str">
        <x:v>2026-05-22</x:v>
      </x:c>
      <x:c r="E857" s="41" t="n">
        <x:v>11.721568</x:v>
      </x:c>
      <x:c r="F857" s="41" t="n">
        <x:v>-33.120684</x:v>
      </x:c>
      <x:c r="G857" s="41" t="n">
        <x:v>1979.313116</x:v>
      </x:c>
      <x:c r="H857" s="41" t="n">
        <x:f>IFERROR(E857/ABS(F857),"")</x:f>
        <x:v>0.3539047683918605</x:v>
      </x:c>
      <x:c r="I857" s="41" t="n">
        <x:v>11.382396</x:v>
      </x:c>
      <x:c r="J857" s="41" t="n">
        <x:v>-30.389067</x:v>
      </x:c>
      <x:c r="K857" s="41" t="n">
        <x:v>1813.231361</x:v>
      </x:c>
      <x:c r="L857" s="41" t="n">
        <x:f>IFERROR(I857/ABS(J857),"")</x:f>
        <x:v>0.3745556255478327</x:v>
      </x:c>
      <x:c r="M857" s="41" t="n">
        <x:v>6.802475</x:v>
      </x:c>
      <x:c r="N857" s="41" t="n">
        <x:v>-56.473669</x:v>
      </x:c>
      <x:c r="O857" s="41" t="n">
        <x:v>506.057416</x:v>
      </x:c>
      <x:c r="P857" s="41" t="n">
        <x:f>IFERROR(M857/ABS(N857),"")</x:f>
        <x:v>0.12045392340278087</x:v>
      </x:c>
      <x:c r="Q857" s="41" t="str">
        <x:f>IF(L857&gt;=MAX(H857,P857),"Weekly",IF(H857&gt;=MAX(L857,P857),"No weekly","SPY"))</x:f>
        <x:v>Weekly</x:v>
      </x:c>
      <x:c r="R857" s="41" t="n">
        <x:f>IFERROR(L857-P857,"")</x:f>
        <x:v>0.25410170214505184</x:v>
      </x:c>
      <x:c r="S857" s="41" t="n">
        <x:f>IFERROR(H857-P857,"")</x:f>
        <x:v>0.23345084498907964</x:v>
      </x:c>
      <x:c r="T857" s="41" t="n">
        <x:f>IFERROR(I857-M857,"")</x:f>
        <x:v>4.579921</x:v>
      </x:c>
      <x:c r="U857" s="41" t="n">
        <x:f>IFERROR(E857-M857,"")</x:f>
        <x:v>4.919092999999999</x:v>
      </x:c>
      <x:c r="V857" s="41" t="str">
        <x:f>IF(AND(I857&gt;M857,J857&gt;N857),"Sí","No")</x:f>
        <x:v>Sí</x:v>
      </x:c>
      <x:c r="W857" s="41" t="str">
        <x:f>IF(AND(E857&gt;M857,F857&gt;N857),"Sí","No")</x:f>
        <x:v>Sí</x:v>
      </x:c>
      <x:c r="X857" s="41" t="str">
        <x:f>IF(L857&gt;=H857,"Weekly","No weekly")</x:f>
        <x:v>Weekly</x:v>
      </x:c>
      <x:c r="Y857" s="41" t="n">
        <x:f>IFERROR(I857-E857,"")</x:f>
        <x:v>-0.3391719999999996</x:v>
      </x:c>
      <x:c r="Z857" s="41" t="n">
        <x:f>IFERROR(J857-F857,"")</x:f>
        <x:v>2.7316169999999964</x:v>
      </x:c>
      <x:c r="AA857" s="41" t="n">
        <x:v>12438</x:v>
      </x:c>
      <x:c r="AB857" s="41" t="n">
        <x:v>5718</x:v>
      </x:c>
    </x:row>
    <x:row r="858">
      <x:c r="A858" s="41" t="str">
        <x:v>HYP_REFINE_AUTO002_TOPN_6_V1_DDGRID_LONG_R12_C23_E75_CR40_REDD_RECOVERED_DD6_SL20</x:v>
      </x:c>
      <x:c r="B858" s="41" t="str">
        <x:v>dd_guard_grid</x:v>
      </x:c>
      <x:c r="C858" s="41" t="str">
        <x:v>1999-01-04</x:v>
      </x:c>
      <x:c r="D858" s="41" t="str">
        <x:v>2026-05-22</x:v>
      </x:c>
      <x:c r="E858" s="41" t="n">
        <x:v>13.208038</x:v>
      </x:c>
      <x:c r="F858" s="41" t="n">
        <x:v>-33.768143</x:v>
      </x:c>
      <x:c r="G858" s="41" t="n">
        <x:v>2885.926067</x:v>
      </x:c>
      <x:c r="H858" s="41" t="n">
        <x:f>IFERROR(E858/ABS(F858),"")</x:f>
        <x:v>0.39113900933196116</x:v>
      </x:c>
      <x:c r="I858" s="41" t="n">
        <x:v>12.599372</x:v>
      </x:c>
      <x:c r="J858" s="41" t="n">
        <x:v>-30.056923</x:v>
      </x:c>
      <x:c r="K858" s="41" t="n">
        <x:v>2476.19004</x:v>
      </x:c>
      <x:c r="L858" s="41" t="n">
        <x:f>IFERROR(I858/ABS(J858),"")</x:f>
        <x:v>0.41918369355372803</x:v>
      </x:c>
      <x:c r="M858" s="41" t="n">
        <x:v>6.802475</x:v>
      </x:c>
      <x:c r="N858" s="41" t="n">
        <x:v>-56.473669</x:v>
      </x:c>
      <x:c r="O858" s="41" t="n">
        <x:v>506.057416</x:v>
      </x:c>
      <x:c r="P858" s="41" t="n">
        <x:f>IFERROR(M858/ABS(N858),"")</x:f>
        <x:v>0.12045392340278087</x:v>
      </x:c>
      <x:c r="Q858" s="41" t="str">
        <x:f>IF(L858&gt;=MAX(H858,P858),"Weekly",IF(H858&gt;=MAX(L858,P858),"No weekly","SPY"))</x:f>
        <x:v>Weekly</x:v>
      </x:c>
      <x:c r="R858" s="41" t="n">
        <x:f>IFERROR(L858-P858,"")</x:f>
        <x:v>0.29872977015094715</x:v>
      </x:c>
      <x:c r="S858" s="41" t="n">
        <x:f>IFERROR(H858-P858,"")</x:f>
        <x:v>0.2706850859291803</x:v>
      </x:c>
      <x:c r="T858" s="41" t="n">
        <x:f>IFERROR(I858-M858,"")</x:f>
        <x:v>5.796897</x:v>
      </x:c>
      <x:c r="U858" s="41" t="n">
        <x:f>IFERROR(E858-M858,"")</x:f>
        <x:v>6.405563</x:v>
      </x:c>
      <x:c r="V858" s="41" t="str">
        <x:f>IF(AND(I858&gt;M858,J858&gt;N858),"Sí","No")</x:f>
        <x:v>Sí</x:v>
      </x:c>
      <x:c r="W858" s="41" t="str">
        <x:f>IF(AND(E858&gt;M858,F858&gt;N858),"Sí","No")</x:f>
        <x:v>Sí</x:v>
      </x:c>
      <x:c r="X858" s="41" t="str">
        <x:f>IF(L858&gt;=H858,"Weekly","No weekly")</x:f>
        <x:v>Weekly</x:v>
      </x:c>
      <x:c r="Y858" s="41" t="n">
        <x:f>IFERROR(I858-E858,"")</x:f>
        <x:v>-0.6086659999999995</x:v>
      </x:c>
      <x:c r="Z858" s="41" t="n">
        <x:f>IFERROR(J858-F858,"")</x:f>
        <x:v>3.711220000000001</x:v>
      </x:c>
      <x:c r="AA858" s="41" t="n">
        <x:v>12073</x:v>
      </x:c>
      <x:c r="AB858" s="41" t="n">
        <x:v>6010</x:v>
      </x:c>
    </x:row>
    <x:row r="859">
      <x:c r="A859" s="41" t="str">
        <x:v>HYP_REFINE_AUTO002_TOPN_6_V1_DDGRID_LONG_R12_C23_E75_CR40_REDD_RECOVERED_DD6_SL22</x:v>
      </x:c>
      <x:c r="B859" s="41" t="str">
        <x:v>dd_guard_grid</x:v>
      </x:c>
      <x:c r="C859" s="41" t="str">
        <x:v>1999-01-04</x:v>
      </x:c>
      <x:c r="D859" s="41" t="str">
        <x:v>2026-05-22</x:v>
      </x:c>
      <x:c r="E859" s="41" t="n">
        <x:v>12.647326</x:v>
      </x:c>
      <x:c r="F859" s="41" t="n">
        <x:v>-34.327584</x:v>
      </x:c>
      <x:c r="G859" s="41" t="n">
        <x:v>2506.397793</x:v>
      </x:c>
      <x:c r="H859" s="41" t="n">
        <x:f>IFERROR(E859/ABS(F859),"")</x:f>
        <x:v>0.36843041444454694</x:v>
      </x:c>
      <x:c r="I859" s="41" t="n">
        <x:v>12.471769</x:v>
      </x:c>
      <x:c r="J859" s="41" t="n">
        <x:v>-28.108438</x:v>
      </x:c>
      <x:c r="K859" s="41" t="n">
        <x:v>2397.442864</x:v>
      </x:c>
      <x:c r="L859" s="41" t="n">
        <x:f>IFERROR(I859/ABS(J859),"")</x:f>
        <x:v>0.4437019588210487</x:v>
      </x:c>
      <x:c r="M859" s="41" t="n">
        <x:v>6.802475</x:v>
      </x:c>
      <x:c r="N859" s="41" t="n">
        <x:v>-56.473669</x:v>
      </x:c>
      <x:c r="O859" s="41" t="n">
        <x:v>506.057416</x:v>
      </x:c>
      <x:c r="P859" s="41" t="n">
        <x:f>IFERROR(M859/ABS(N859),"")</x:f>
        <x:v>0.12045392340278087</x:v>
      </x:c>
      <x:c r="Q859" s="41" t="str">
        <x:f>IF(L859&gt;=MAX(H859,P859),"Weekly",IF(H859&gt;=MAX(L859,P859),"No weekly","SPY"))</x:f>
        <x:v>Weekly</x:v>
      </x:c>
      <x:c r="R859" s="41" t="n">
        <x:f>IFERROR(L859-P859,"")</x:f>
        <x:v>0.3232480354182678</x:v>
      </x:c>
      <x:c r="S859" s="41" t="n">
        <x:f>IFERROR(H859-P859,"")</x:f>
        <x:v>0.24797649104176606</x:v>
      </x:c>
      <x:c r="T859" s="41" t="n">
        <x:f>IFERROR(I859-M859,"")</x:f>
        <x:v>5.669294</x:v>
      </x:c>
      <x:c r="U859" s="41" t="n">
        <x:f>IFERROR(E859-M859,"")</x:f>
        <x:v>5.844850999999999</x:v>
      </x:c>
      <x:c r="V859" s="41" t="str">
        <x:f>IF(AND(I859&gt;M859,J859&gt;N859),"Sí","No")</x:f>
        <x:v>Sí</x:v>
      </x:c>
      <x:c r="W859" s="41" t="str">
        <x:f>IF(AND(E859&gt;M859,F859&gt;N859),"Sí","No")</x:f>
        <x:v>Sí</x:v>
      </x:c>
      <x:c r="X859" s="41" t="str">
        <x:f>IF(L859&gt;=H859,"Weekly","No weekly")</x:f>
        <x:v>Weekly</x:v>
      </x:c>
      <x:c r="Y859" s="41" t="n">
        <x:f>IFERROR(I859-E859,"")</x:f>
        <x:v>-0.17555699999999952</x:v>
      </x:c>
      <x:c r="Z859" s="41" t="n">
        <x:f>IFERROR(J859-F859,"")</x:f>
        <x:v>6.219146000000002</x:v>
      </x:c>
      <x:c r="AA859" s="41" t="n">
        <x:v>12127</x:v>
      </x:c>
      <x:c r="AB859" s="41" t="n">
        <x:v>6217</x:v>
      </x:c>
    </x:row>
    <x:row r="860">
      <x:c r="A860" s="41" t="str">
        <x:v>HYP_REFINE_AUTO002_TOPN_6_V1_DDGRID_LONG_R12_C23_E75_CR40_REDD_RECOVERED_DD7_SL18</x:v>
      </x:c>
      <x:c r="B860" s="41" t="str">
        <x:v>dd_guard_grid</x:v>
      </x:c>
      <x:c r="C860" s="41" t="str">
        <x:v>1999-01-04</x:v>
      </x:c>
      <x:c r="D860" s="41" t="str">
        <x:v>2026-05-22</x:v>
      </x:c>
      <x:c r="E860" s="41" t="n">
        <x:v>13.268981</x:v>
      </x:c>
      <x:c r="F860" s="41" t="n">
        <x:v>-33.120684</x:v>
      </x:c>
      <x:c r="G860" s="41" t="n">
        <x:v>2930.248826</x:v>
      </x:c>
      <x:c r="H860" s="41" t="n">
        <x:f>IFERROR(E860/ABS(F860),"")</x:f>
        <x:v>0.4006252105179954</x:v>
      </x:c>
      <x:c r="I860" s="41" t="n">
        <x:v>11.364083</x:v>
      </x:c>
      <x:c r="J860" s="41" t="n">
        <x:v>-30.389067</x:v>
      </x:c>
      <x:c r="K860" s="41" t="n">
        <x:v>1804.637284</x:v>
      </x:c>
      <x:c r="L860" s="41" t="n">
        <x:f>IFERROR(I860/ABS(J860),"")</x:f>
        <x:v>0.37395300750760135</x:v>
      </x:c>
      <x:c r="M860" s="41" t="n">
        <x:v>6.802475</x:v>
      </x:c>
      <x:c r="N860" s="41" t="n">
        <x:v>-56.473669</x:v>
      </x:c>
      <x:c r="O860" s="41" t="n">
        <x:v>506.057416</x:v>
      </x:c>
      <x:c r="P860" s="41" t="n">
        <x:f>IFERROR(M860/ABS(N860),"")</x:f>
        <x:v>0.12045392340278087</x:v>
      </x:c>
      <x:c r="Q860" s="41" t="str">
        <x:f>IF(L860&gt;=MAX(H860,P860),"Weekly",IF(H860&gt;=MAX(L860,P860),"No weekly","SPY"))</x:f>
        <x:v>No weekly</x:v>
      </x:c>
      <x:c r="R860" s="41" t="n">
        <x:f>IFERROR(L860-P860,"")</x:f>
        <x:v>0.25349908410482047</x:v>
      </x:c>
      <x:c r="S860" s="41" t="n">
        <x:f>IFERROR(H860-P860,"")</x:f>
        <x:v>0.2801712871152145</x:v>
      </x:c>
      <x:c r="T860" s="41" t="n">
        <x:f>IFERROR(I860-M860,"")</x:f>
        <x:v>4.5616080000000006</x:v>
      </x:c>
      <x:c r="U860" s="41" t="n">
        <x:f>IFERROR(E860-M860,"")</x:f>
        <x:v>6.466506</x:v>
      </x:c>
      <x:c r="V860" s="41" t="str">
        <x:f>IF(AND(I860&gt;M860,J860&gt;N860),"Sí","No")</x:f>
        <x:v>Sí</x:v>
      </x:c>
      <x:c r="W860" s="41" t="str">
        <x:f>IF(AND(E860&gt;M860,F860&gt;N860),"Sí","No")</x:f>
        <x:v>Sí</x:v>
      </x:c>
      <x:c r="X860" s="41" t="str">
        <x:f>IF(L860&gt;=H860,"Weekly","No weekly")</x:f>
        <x:v>No weekly</x:v>
      </x:c>
      <x:c r="Y860" s="41" t="n">
        <x:f>IFERROR(I860-E860,"")</x:f>
        <x:v>-1.9048979999999993</x:v>
      </x:c>
      <x:c r="Z860" s="41" t="n">
        <x:f>IFERROR(J860-F860,"")</x:f>
        <x:v>2.7316169999999964</x:v>
      </x:c>
      <x:c r="AA860" s="41" t="n">
        <x:v>12333</x:v>
      </x:c>
      <x:c r="AB860" s="41" t="n">
        <x:v>5268</x:v>
      </x:c>
    </x:row>
    <x:row r="861">
      <x:c r="A861" s="41" t="str">
        <x:v>HYP_REFINE_AUTO002_TOPN_6_V1_DDGRID_LONG_R12_C23_E75_CR40_REDD_RECOVERED_DD7_SL20</x:v>
      </x:c>
      <x:c r="B861" s="41" t="str">
        <x:v>dd_guard_grid</x:v>
      </x:c>
      <x:c r="C861" s="41" t="str">
        <x:v>1999-01-04</x:v>
      </x:c>
      <x:c r="D861" s="41" t="str">
        <x:v>2026-05-22</x:v>
      </x:c>
      <x:c r="E861" s="41" t="n">
        <x:v>13.002665</x:v>
      </x:c>
      <x:c r="F861" s="41" t="n">
        <x:v>-33.768143</x:v>
      </x:c>
      <x:c r="G861" s="41" t="n">
        <x:v>2741.116495</x:v>
      </x:c>
      <x:c r="H861" s="41" t="n">
        <x:f>IFERROR(E861/ABS(F861),"")</x:f>
        <x:v>0.3850571528318865</x:v>
      </x:c>
      <x:c r="I861" s="41" t="n">
        <x:v>12.701717</x:v>
      </x:c>
      <x:c r="J861" s="41" t="n">
        <x:v>-30.056923</x:v>
      </x:c>
      <x:c r="K861" s="41" t="n">
        <x:v>2541.07373</x:v>
      </x:c>
      <x:c r="L861" s="41" t="n">
        <x:f>IFERROR(I861/ABS(J861),"")</x:f>
        <x:v>0.42258873271891473</x:v>
      </x:c>
      <x:c r="M861" s="41" t="n">
        <x:v>6.802475</x:v>
      </x:c>
      <x:c r="N861" s="41" t="n">
        <x:v>-56.473669</x:v>
      </x:c>
      <x:c r="O861" s="41" t="n">
        <x:v>506.057416</x:v>
      </x:c>
      <x:c r="P861" s="41" t="n">
        <x:f>IFERROR(M861/ABS(N861),"")</x:f>
        <x:v>0.12045392340278087</x:v>
      </x:c>
      <x:c r="Q861" s="41" t="str">
        <x:f>IF(L861&gt;=MAX(H861,P861),"Weekly",IF(H861&gt;=MAX(L861,P861),"No weekly","SPY"))</x:f>
        <x:v>Weekly</x:v>
      </x:c>
      <x:c r="R861" s="41" t="n">
        <x:f>IFERROR(L861-P861,"")</x:f>
        <x:v>0.30213480931613385</x:v>
      </x:c>
      <x:c r="S861" s="41" t="n">
        <x:f>IFERROR(H861-P861,"")</x:f>
        <x:v>0.26460322942910564</x:v>
      </x:c>
      <x:c r="T861" s="41" t="n">
        <x:f>IFERROR(I861-M861,"")</x:f>
        <x:v>5.899242</x:v>
      </x:c>
      <x:c r="U861" s="41" t="n">
        <x:f>IFERROR(E861-M861,"")</x:f>
        <x:v>6.20019</x:v>
      </x:c>
      <x:c r="V861" s="41" t="str">
        <x:f>IF(AND(I861&gt;M861,J861&gt;N861),"Sí","No")</x:f>
        <x:v>Sí</x:v>
      </x:c>
      <x:c r="W861" s="41" t="str">
        <x:f>IF(AND(E861&gt;M861,F861&gt;N861),"Sí","No")</x:f>
        <x:v>Sí</x:v>
      </x:c>
      <x:c r="X861" s="41" t="str">
        <x:f>IF(L861&gt;=H861,"Weekly","No weekly")</x:f>
        <x:v>Weekly</x:v>
      </x:c>
      <x:c r="Y861" s="41" t="n">
        <x:f>IFERROR(I861-E861,"")</x:f>
        <x:v>-0.300948</x:v>
      </x:c>
      <x:c r="Z861" s="41" t="n">
        <x:f>IFERROR(J861-F861,"")</x:f>
        <x:v>3.711220000000001</x:v>
      </x:c>
      <x:c r="AA861" s="41" t="n">
        <x:v>11879</x:v>
      </x:c>
      <x:c r="AB861" s="41" t="n">
        <x:v>5746</x:v>
      </x:c>
    </x:row>
    <x:row r="862">
      <x:c r="A862" s="41" t="str">
        <x:v>HYP_REFINE_AUTO002_TOPN_6_V1_DDGRID_LONG_R12_C23_E75_CR40_REDD_RECOVERED_DD7_SL22</x:v>
      </x:c>
      <x:c r="B862" s="41" t="str">
        <x:v>dd_guard_grid</x:v>
      </x:c>
      <x:c r="C862" s="41" t="str">
        <x:v>1999-01-04</x:v>
      </x:c>
      <x:c r="D862" s="41" t="str">
        <x:v>2026-05-22</x:v>
      </x:c>
      <x:c r="E862" s="41" t="n">
        <x:v>12.795751</x:v>
      </x:c>
      <x:c r="F862" s="41" t="n">
        <x:v>-34.327584</x:v>
      </x:c>
      <x:c r="G862" s="41" t="n">
        <x:v>2602.073935</x:v>
      </x:c>
      <x:c r="H862" s="41" t="n">
        <x:f>IFERROR(E862/ABS(F862),"")</x:f>
        <x:v>0.37275419674160576</x:v>
      </x:c>
      <x:c r="I862" s="41" t="n">
        <x:v>12.76284</x:v>
      </x:c>
      <x:c r="J862" s="41" t="n">
        <x:v>-28.108438</x:v>
      </x:c>
      <x:c r="K862" s="41" t="n">
        <x:v>2580.571409</x:v>
      </x:c>
      <x:c r="L862" s="41" t="n">
        <x:f>IFERROR(I862/ABS(J862),"")</x:f>
        <x:v>0.45405724786272367</x:v>
      </x:c>
      <x:c r="M862" s="41" t="n">
        <x:v>6.802475</x:v>
      </x:c>
      <x:c r="N862" s="41" t="n">
        <x:v>-56.473669</x:v>
      </x:c>
      <x:c r="O862" s="41" t="n">
        <x:v>506.057416</x:v>
      </x:c>
      <x:c r="P862" s="41" t="n">
        <x:f>IFERROR(M862/ABS(N862),"")</x:f>
        <x:v>0.12045392340278087</x:v>
      </x:c>
      <x:c r="Q862" s="41" t="str">
        <x:f>IF(L862&gt;=MAX(H862,P862),"Weekly",IF(H862&gt;=MAX(L862,P862),"No weekly","SPY"))</x:f>
        <x:v>Weekly</x:v>
      </x:c>
      <x:c r="R862" s="41" t="n">
        <x:f>IFERROR(L862-P862,"")</x:f>
        <x:v>0.3336033244599428</x:v>
      </x:c>
      <x:c r="S862" s="41" t="n">
        <x:f>IFERROR(H862-P862,"")</x:f>
        <x:v>0.2523002733388249</x:v>
      </x:c>
      <x:c r="T862" s="41" t="n">
        <x:f>IFERROR(I862-M862,"")</x:f>
        <x:v>5.960365</x:v>
      </x:c>
      <x:c r="U862" s="41" t="n">
        <x:f>IFERROR(E862-M862,"")</x:f>
        <x:v>5.993275999999999</x:v>
      </x:c>
      <x:c r="V862" s="41" t="str">
        <x:f>IF(AND(I862&gt;M862,J862&gt;N862),"Sí","No")</x:f>
        <x:v>Sí</x:v>
      </x:c>
      <x:c r="W862" s="41" t="str">
        <x:f>IF(AND(E862&gt;M862,F862&gt;N862),"Sí","No")</x:f>
        <x:v>Sí</x:v>
      </x:c>
      <x:c r="X862" s="41" t="str">
        <x:f>IF(L862&gt;=H862,"Weekly","No weekly")</x:f>
        <x:v>Weekly</x:v>
      </x:c>
      <x:c r="Y862" s="41" t="n">
        <x:f>IFERROR(I862-E862,"")</x:f>
        <x:v>-0.03291099999999858</x:v>
      </x:c>
      <x:c r="Z862" s="41" t="n">
        <x:f>IFERROR(J862-F862,"")</x:f>
        <x:v>6.219146000000002</x:v>
      </x:c>
      <x:c r="AA862" s="41" t="n">
        <x:v>11737</x:v>
      </x:c>
      <x:c r="AB862" s="41" t="n">
        <x:v>5848</x:v>
      </x:c>
    </x:row>
    <x:row r="863">
      <x:c r="A863" s="41" t="str">
        <x:v>HYP_REFINE_AUTO002_TOPN_6_V1_DDGRID_LONG_R12_C23_E75_CR40_REDD_RECOVERED_DD7_SL24</x:v>
      </x:c>
      <x:c r="B863" s="41" t="str">
        <x:v>dd_guard_grid</x:v>
      </x:c>
      <x:c r="C863" s="41" t="str">
        <x:v>1999-01-04</x:v>
      </x:c>
      <x:c r="D863" s="41" t="str">
        <x:v>2026-05-22</x:v>
      </x:c>
      <x:c r="E863" s="41" t="n">
        <x:v>12.60899</x:v>
      </x:c>
      <x:c r="F863" s="41" t="n">
        <x:v>-34.139571</x:v>
      </x:c>
      <x:c r="G863" s="41" t="n">
        <x:v>2482.221856</x:v>
      </x:c>
      <x:c r="H863" s="41" t="n">
        <x:f>IFERROR(E863/ABS(F863),"")</x:f>
        <x:v>0.36933650982316096</x:v>
      </x:c>
      <x:c r="I863" s="41" t="n">
        <x:v>13.063997</x:v>
      </x:c>
      <x:c r="J863" s="41" t="n">
        <x:v>-30.385878</x:v>
      </x:c>
      <x:c r="K863" s="41" t="n">
        <x:v>2783.6376</x:v>
      </x:c>
      <x:c r="L863" s="41" t="n">
        <x:f>IFERROR(I863/ABS(J863),"")</x:f>
        <x:v>0.42993646588063045</x:v>
      </x:c>
      <x:c r="M863" s="41" t="n">
        <x:v>6.802475</x:v>
      </x:c>
      <x:c r="N863" s="41" t="n">
        <x:v>-56.473669</x:v>
      </x:c>
      <x:c r="O863" s="41" t="n">
        <x:v>506.057416</x:v>
      </x:c>
      <x:c r="P863" s="41" t="n">
        <x:f>IFERROR(M863/ABS(N863),"")</x:f>
        <x:v>0.12045392340278087</x:v>
      </x:c>
      <x:c r="Q863" s="41" t="str">
        <x:f>IF(L863&gt;=MAX(H863,P863),"Weekly",IF(H863&gt;=MAX(L863,P863),"No weekly","SPY"))</x:f>
        <x:v>Weekly</x:v>
      </x:c>
      <x:c r="R863" s="41" t="n">
        <x:f>IFERROR(L863-P863,"")</x:f>
        <x:v>0.30948254247784956</x:v>
      </x:c>
      <x:c r="S863" s="41" t="n">
        <x:f>IFERROR(H863-P863,"")</x:f>
        <x:v>0.24888258642038008</x:v>
      </x:c>
      <x:c r="T863" s="41" t="n">
        <x:f>IFERROR(I863-M863,"")</x:f>
        <x:v>6.261522</x:v>
      </x:c>
      <x:c r="U863" s="41" t="n">
        <x:f>IFERROR(E863-M863,"")</x:f>
        <x:v>5.806515</x:v>
      </x:c>
      <x:c r="V863" s="41" t="str">
        <x:f>IF(AND(I863&gt;M863,J863&gt;N863),"Sí","No")</x:f>
        <x:v>Sí</x:v>
      </x:c>
      <x:c r="W863" s="41" t="str">
        <x:f>IF(AND(E863&gt;M863,F863&gt;N863),"Sí","No")</x:f>
        <x:v>Sí</x:v>
      </x:c>
      <x:c r="X863" s="41" t="str">
        <x:f>IF(L863&gt;=H863,"Weekly","No weekly")</x:f>
        <x:v>Weekly</x:v>
      </x:c>
      <x:c r="Y863" s="41" t="n">
        <x:f>IFERROR(I863-E863,"")</x:f>
        <x:v>0.45500700000000016</x:v>
      </x:c>
      <x:c r="Z863" s="41" t="n">
        <x:f>IFERROR(J863-F863,"")</x:f>
        <x:v>3.753692999999995</x:v>
      </x:c>
      <x:c r="AA863" s="41" t="n">
        <x:v>12101</x:v>
      </x:c>
      <x:c r="AB863" s="41" t="n">
        <x:v>5928</x:v>
      </x:c>
    </x:row>
    <x:row r="864">
      <x:c r="A864" s="41" t="str">
        <x:v>HYP_REFINE_AUTO002_TOPN_6_V1_DDGRID_LONG_R12_C23_E75_CR40_REDD_RECOVERED_DD7_SLNONE</x:v>
      </x:c>
      <x:c r="B864" s="41" t="str">
        <x:v>dd_guard_grid</x:v>
      </x:c>
      <x:c r="C864" s="41" t="str">
        <x:v>1999-01-04</x:v>
      </x:c>
      <x:c r="D864" s="41" t="str">
        <x:v>2026-05-22</x:v>
      </x:c>
      <x:c r="E864" s="41" t="n">
        <x:v>12.757016</x:v>
      </x:c>
      <x:c r="F864" s="41" t="n">
        <x:v>-34.428645</x:v>
      </x:c>
      <x:c r="G864" s="41" t="n">
        <x:v>2576.783357</x:v>
      </x:c>
      <x:c r="H864" s="41" t="n">
        <x:f>IFERROR(E864/ABS(F864),"")</x:f>
        <x:v>0.3705349426327989</x:v>
      </x:c>
      <x:c r="I864" s="41" t="n">
        <x:v>13.298344</x:v>
      </x:c>
      <x:c r="J864" s="41" t="n">
        <x:v>-30.377743</x:v>
      </x:c>
      <x:c r="K864" s="41" t="n">
        <x:v>2951.828966</x:v>
      </x:c>
      <x:c r="L864" s="41" t="n">
        <x:f>IFERROR(I864/ABS(J864),"")</x:f>
        <x:v>0.437766031531704</x:v>
      </x:c>
      <x:c r="M864" s="41" t="n">
        <x:v>6.802475</x:v>
      </x:c>
      <x:c r="N864" s="41" t="n">
        <x:v>-56.473669</x:v>
      </x:c>
      <x:c r="O864" s="41" t="n">
        <x:v>506.057416</x:v>
      </x:c>
      <x:c r="P864" s="41" t="n">
        <x:f>IFERROR(M864/ABS(N864),"")</x:f>
        <x:v>0.12045392340278087</x:v>
      </x:c>
      <x:c r="Q864" s="41" t="str">
        <x:f>IF(L864&gt;=MAX(H864,P864),"Weekly",IF(H864&gt;=MAX(L864,P864),"No weekly","SPY"))</x:f>
        <x:v>Weekly</x:v>
      </x:c>
      <x:c r="R864" s="41" t="n">
        <x:f>IFERROR(L864-P864,"")</x:f>
        <x:v>0.31731210812892313</x:v>
      </x:c>
      <x:c r="S864" s="41" t="n">
        <x:f>IFERROR(H864-P864,"")</x:f>
        <x:v>0.250081019230018</x:v>
      </x:c>
      <x:c r="T864" s="41" t="n">
        <x:f>IFERROR(I864-M864,"")</x:f>
        <x:v>6.495869</x:v>
      </x:c>
      <x:c r="U864" s="41" t="n">
        <x:f>IFERROR(E864-M864,"")</x:f>
        <x:v>5.954541</x:v>
      </x:c>
      <x:c r="V864" s="41" t="str">
        <x:f>IF(AND(I864&gt;M864,J864&gt;N864),"Sí","No")</x:f>
        <x:v>Sí</x:v>
      </x:c>
      <x:c r="W864" s="41" t="str">
        <x:f>IF(AND(E864&gt;M864,F864&gt;N864),"Sí","No")</x:f>
        <x:v>Sí</x:v>
      </x:c>
      <x:c r="X864" s="41" t="str">
        <x:f>IF(L864&gt;=H864,"Weekly","No weekly")</x:f>
        <x:v>Weekly</x:v>
      </x:c>
      <x:c r="Y864" s="41" t="n">
        <x:f>IFERROR(I864-E864,"")</x:f>
        <x:v>0.541328</x:v>
      </x:c>
      <x:c r="Z864" s="41" t="n">
        <x:f>IFERROR(J864-F864,"")</x:f>
        <x:v>4.050902000000004</x:v>
      </x:c>
      <x:c r="AA864" s="41" t="n">
        <x:v>12147</x:v>
      </x:c>
      <x:c r="AB864" s="41" t="n">
        <x:v>6363</x:v>
      </x:c>
    </x:row>
    <x:row r="865">
      <x:c r="A865" s="41" t="str">
        <x:v>HYP_REFINE_AUTO002_TOPN_6_V1_DDGRID_LONG_R12_C23_E75_CR40_REDD_RECOVERED_DD8_SL18</x:v>
      </x:c>
      <x:c r="B865" s="41" t="str">
        <x:v>dd_guard_grid</x:v>
      </x:c>
      <x:c r="C865" s="41" t="str">
        <x:v>1999-01-04</x:v>
      </x:c>
      <x:c r="D865" s="41" t="str">
        <x:v>2026-05-22</x:v>
      </x:c>
      <x:c r="E865" s="41" t="n">
        <x:v>12.63008</x:v>
      </x:c>
      <x:c r="F865" s="41" t="n">
        <x:v>-33.120684</x:v>
      </x:c>
      <x:c r="G865" s="41" t="n">
        <x:v>2495.495011</x:v>
      </x:c>
      <x:c r="H865" s="41" t="n">
        <x:f>IFERROR(E865/ABS(F865),"")</x:f>
        <x:v>0.3813351197698695</x:v>
      </x:c>
      <x:c r="I865" s="41" t="n">
        <x:v>11.760994</x:v>
      </x:c>
      <x:c r="J865" s="41" t="n">
        <x:v>-30.389067</x:v>
      </x:c>
      <x:c r="K865" s="41" t="n">
        <x:v>1999.496645</x:v>
      </x:c>
      <x:c r="L865" s="41" t="n">
        <x:f>IFERROR(I865/ABS(J865),"")</x:f>
        <x:v>0.3870139876291694</x:v>
      </x:c>
      <x:c r="M865" s="41" t="n">
        <x:v>6.802475</x:v>
      </x:c>
      <x:c r="N865" s="41" t="n">
        <x:v>-56.473669</x:v>
      </x:c>
      <x:c r="O865" s="41" t="n">
        <x:v>506.057416</x:v>
      </x:c>
      <x:c r="P865" s="41" t="n">
        <x:f>IFERROR(M865/ABS(N865),"")</x:f>
        <x:v>0.12045392340278087</x:v>
      </x:c>
      <x:c r="Q865" s="41" t="str">
        <x:f>IF(L865&gt;=MAX(H865,P865),"Weekly",IF(H865&gt;=MAX(L865,P865),"No weekly","SPY"))</x:f>
        <x:v>Weekly</x:v>
      </x:c>
      <x:c r="R865" s="41" t="n">
        <x:f>IFERROR(L865-P865,"")</x:f>
        <x:v>0.2665600642263885</x:v>
      </x:c>
      <x:c r="S865" s="41" t="n">
        <x:f>IFERROR(H865-P865,"")</x:f>
        <x:v>0.2608811963670886</x:v>
      </x:c>
      <x:c r="T865" s="41" t="n">
        <x:f>IFERROR(I865-M865,"")</x:f>
        <x:v>4.958519</x:v>
      </x:c>
      <x:c r="U865" s="41" t="n">
        <x:f>IFERROR(E865-M865,"")</x:f>
        <x:v>5.827604999999999</x:v>
      </x:c>
      <x:c r="V865" s="41" t="str">
        <x:f>IF(AND(I865&gt;M865,J865&gt;N865),"Sí","No")</x:f>
        <x:v>Sí</x:v>
      </x:c>
      <x:c r="W865" s="41" t="str">
        <x:f>IF(AND(E865&gt;M865,F865&gt;N865),"Sí","No")</x:f>
        <x:v>Sí</x:v>
      </x:c>
      <x:c r="X865" s="41" t="str">
        <x:f>IF(L865&gt;=H865,"Weekly","No weekly")</x:f>
        <x:v>Weekly</x:v>
      </x:c>
      <x:c r="Y865" s="41" t="n">
        <x:f>IFERROR(I865-E865,"")</x:f>
        <x:v>-0.8690859999999994</x:v>
      </x:c>
      <x:c r="Z865" s="41" t="n">
        <x:f>IFERROR(J865-F865,"")</x:f>
        <x:v>2.7316169999999964</x:v>
      </x:c>
      <x:c r="AA865" s="41" t="n">
        <x:v>12130</x:v>
      </x:c>
      <x:c r="AB865" s="41" t="n">
        <x:v>5542</x:v>
      </x:c>
    </x:row>
    <x:row r="866">
      <x:c r="A866" s="41" t="str">
        <x:v>HYP_REFINE_AUTO002_TOPN_6_V1_DDGRID_LONG_R12_C23_E75_CR40_REDD_RECOVERED_DD8_SL20</x:v>
      </x:c>
      <x:c r="B866" s="41" t="str">
        <x:v>dd_guard_grid</x:v>
      </x:c>
      <x:c r="C866" s="41" t="str">
        <x:v>1999-01-04</x:v>
      </x:c>
      <x:c r="D866" s="41" t="str">
        <x:v>2026-05-22</x:v>
      </x:c>
      <x:c r="E866" s="41" t="n">
        <x:v>12.893961</x:v>
      </x:c>
      <x:c r="F866" s="41" t="n">
        <x:v>-33.768143</x:v>
      </x:c>
      <x:c r="G866" s="41" t="n">
        <x:v>2667.231659</x:v>
      </x:c>
      <x:c r="H866" s="41" t="n">
        <x:f>IFERROR(E866/ABS(F866),"")</x:f>
        <x:v>0.3818380240808622</x:v>
      </x:c>
      <x:c r="I866" s="41" t="n">
        <x:v>13.045767</x:v>
      </x:c>
      <x:c r="J866" s="41" t="n">
        <x:v>-30.056923</x:v>
      </x:c>
      <x:c r="K866" s="41" t="n">
        <x:v>2770.935331</x:v>
      </x:c>
      <x:c r="L866" s="41" t="n">
        <x:f>IFERROR(I866/ABS(J866),"")</x:f>
        <x:v>0.4340353468650134</x:v>
      </x:c>
      <x:c r="M866" s="41" t="n">
        <x:v>6.802475</x:v>
      </x:c>
      <x:c r="N866" s="41" t="n">
        <x:v>-56.473669</x:v>
      </x:c>
      <x:c r="O866" s="41" t="n">
        <x:v>506.057416</x:v>
      </x:c>
      <x:c r="P866" s="41" t="n">
        <x:f>IFERROR(M866/ABS(N866),"")</x:f>
        <x:v>0.12045392340278087</x:v>
      </x:c>
      <x:c r="Q866" s="41" t="str">
        <x:f>IF(L866&gt;=MAX(H866,P866),"Weekly",IF(H866&gt;=MAX(L866,P866),"No weekly","SPY"))</x:f>
        <x:v>Weekly</x:v>
      </x:c>
      <x:c r="R866" s="41" t="n">
        <x:f>IFERROR(L866-P866,"")</x:f>
        <x:v>0.3135814234622325</x:v>
      </x:c>
      <x:c r="S866" s="41" t="n">
        <x:f>IFERROR(H866-P866,"")</x:f>
        <x:v>0.2613841006780813</x:v>
      </x:c>
      <x:c r="T866" s="41" t="n">
        <x:f>IFERROR(I866-M866,"")</x:f>
        <x:v>6.243291999999999</x:v>
      </x:c>
      <x:c r="U866" s="41" t="n">
        <x:f>IFERROR(E866-M866,"")</x:f>
        <x:v>6.091485999999999</x:v>
      </x:c>
      <x:c r="V866" s="41" t="str">
        <x:f>IF(AND(I866&gt;M866,J866&gt;N866),"Sí","No")</x:f>
        <x:v>Sí</x:v>
      </x:c>
      <x:c r="W866" s="41" t="str">
        <x:f>IF(AND(E866&gt;M866,F866&gt;N866),"Sí","No")</x:f>
        <x:v>Sí</x:v>
      </x:c>
      <x:c r="X866" s="41" t="str">
        <x:f>IF(L866&gt;=H866,"Weekly","No weekly")</x:f>
        <x:v>Weekly</x:v>
      </x:c>
      <x:c r="Y866" s="41" t="n">
        <x:f>IFERROR(I866-E866,"")</x:f>
        <x:v>0.15180600000000055</x:v>
      </x:c>
      <x:c r="Z866" s="41" t="n">
        <x:f>IFERROR(J866-F866,"")</x:f>
        <x:v>3.711220000000001</x:v>
      </x:c>
      <x:c r="AA866" s="41" t="n">
        <x:v>11670</x:v>
      </x:c>
      <x:c r="AB866" s="41" t="n">
        <x:v>5623</x:v>
      </x:c>
    </x:row>
    <x:row r="867">
      <x:c r="A867" s="41" t="str">
        <x:v>HYP_REFINE_AUTO002_TOPN_6_V1_DDGRID_LONG_R12_C23_E75_CR40_REDD_RECOVERED_DD8_SL22</x:v>
      </x:c>
      <x:c r="B867" s="41" t="str">
        <x:v>dd_guard_grid</x:v>
      </x:c>
      <x:c r="C867" s="41" t="str">
        <x:v>1999-01-04</x:v>
      </x:c>
      <x:c r="D867" s="41" t="str">
        <x:v>2026-05-22</x:v>
      </x:c>
      <x:c r="E867" s="41" t="n">
        <x:v>14.215276</x:v>
      </x:c>
      <x:c r="F867" s="41" t="n">
        <x:v>-34.327584</x:v>
      </x:c>
      <x:c r="G867" s="41" t="n">
        <x:v>3705.417239</x:v>
      </x:c>
      <x:c r="H867" s="41" t="n">
        <x:f>IFERROR(E867/ABS(F867),"")</x:f>
        <x:v>0.41410650979690267</x:v>
      </x:c>
      <x:c r="I867" s="41" t="n">
        <x:v>13.138632</x:v>
      </x:c>
      <x:c r="J867" s="41" t="n">
        <x:v>-28.108438</x:v>
      </x:c>
      <x:c r="K867" s="41" t="n">
        <x:v>2836.209619</x:v>
      </x:c>
      <x:c r="L867" s="41" t="n">
        <x:f>IFERROR(I867/ABS(J867),"")</x:f>
        <x:v>0.4674266140295665</x:v>
      </x:c>
      <x:c r="M867" s="41" t="n">
        <x:v>6.802475</x:v>
      </x:c>
      <x:c r="N867" s="41" t="n">
        <x:v>-56.473669</x:v>
      </x:c>
      <x:c r="O867" s="41" t="n">
        <x:v>506.057416</x:v>
      </x:c>
      <x:c r="P867" s="41" t="n">
        <x:f>IFERROR(M867/ABS(N867),"")</x:f>
        <x:v>0.12045392340278087</x:v>
      </x:c>
      <x:c r="Q867" s="41" t="str">
        <x:f>IF(L867&gt;=MAX(H867,P867),"Weekly",IF(H867&gt;=MAX(L867,P867),"No weekly","SPY"))</x:f>
        <x:v>Weekly</x:v>
      </x:c>
      <x:c r="R867" s="41" t="n">
        <x:f>IFERROR(L867-P867,"")</x:f>
        <x:v>0.3469726906267856</x:v>
      </x:c>
      <x:c r="S867" s="41" t="n">
        <x:f>IFERROR(H867-P867,"")</x:f>
        <x:v>0.2936525863941218</x:v>
      </x:c>
      <x:c r="T867" s="41" t="n">
        <x:f>IFERROR(I867-M867,"")</x:f>
        <x:v>6.336156999999999</x:v>
      </x:c>
      <x:c r="U867" s="41" t="n">
        <x:f>IFERROR(E867-M867,"")</x:f>
        <x:v>7.412800999999999</x:v>
      </x:c>
      <x:c r="V867" s="41" t="str">
        <x:f>IF(AND(I867&gt;M867,J867&gt;N867),"Sí","No")</x:f>
        <x:v>Sí</x:v>
      </x:c>
      <x:c r="W867" s="41" t="str">
        <x:f>IF(AND(E867&gt;M867,F867&gt;N867),"Sí","No")</x:f>
        <x:v>Sí</x:v>
      </x:c>
      <x:c r="X867" s="41" t="str">
        <x:f>IF(L867&gt;=H867,"Weekly","No weekly")</x:f>
        <x:v>Weekly</x:v>
      </x:c>
      <x:c r="Y867" s="41" t="n">
        <x:f>IFERROR(I867-E867,"")</x:f>
        <x:v>-1.076644</x:v>
      </x:c>
      <x:c r="Z867" s="41" t="n">
        <x:f>IFERROR(J867-F867,"")</x:f>
        <x:v>6.219146000000002</x:v>
      </x:c>
      <x:c r="AA867" s="41" t="n">
        <x:v>11585</x:v>
      </x:c>
      <x:c r="AB867" s="41" t="n">
        <x:v>5493</x:v>
      </x:c>
    </x:row>
    <x:row r="868">
      <x:c r="A868" s="41" t="str">
        <x:v>HYP_REFINE_AUTO002_TOPN_6_V1_DDGRID_LONG_R12_C23_E75_CR40_REDD_RECOVERED_DD8_SL24</x:v>
      </x:c>
      <x:c r="B868" s="41" t="str">
        <x:v>dd_guard_grid</x:v>
      </x:c>
      <x:c r="C868" s="41" t="str">
        <x:v>1999-01-04</x:v>
      </x:c>
      <x:c r="D868" s="41" t="str">
        <x:v>2026-05-22</x:v>
      </x:c>
      <x:c r="E868" s="41" t="n">
        <x:v>12.84483</x:v>
      </x:c>
      <x:c r="F868" s="41" t="n">
        <x:v>-34.139571</x:v>
      </x:c>
      <x:c r="G868" s="41" t="n">
        <x:v>2634.448575</x:v>
      </x:c>
      <x:c r="H868" s="41" t="n">
        <x:f>IFERROR(E868/ABS(F868),"")</x:f>
        <x:v>0.37624462240606366</x:v>
      </x:c>
      <x:c r="I868" s="41" t="n">
        <x:v>13.4075</x:v>
      </x:c>
      <x:c r="J868" s="41" t="n">
        <x:v>-30.385878</x:v>
      </x:c>
      <x:c r="K868" s="41" t="n">
        <x:v>3033.360252</x:v>
      </x:c>
      <x:c r="L868" s="41" t="n">
        <x:f>IFERROR(I868/ABS(J868),"")</x:f>
        <x:v>0.4412411581458992</x:v>
      </x:c>
      <x:c r="M868" s="41" t="n">
        <x:v>6.802475</x:v>
      </x:c>
      <x:c r="N868" s="41" t="n">
        <x:v>-56.473669</x:v>
      </x:c>
      <x:c r="O868" s="41" t="n">
        <x:v>506.057416</x:v>
      </x:c>
      <x:c r="P868" s="41" t="n">
        <x:f>IFERROR(M868/ABS(N868),"")</x:f>
        <x:v>0.12045392340278087</x:v>
      </x:c>
      <x:c r="Q868" s="41" t="str">
        <x:f>IF(L868&gt;=MAX(H868,P868),"Weekly",IF(H868&gt;=MAX(L868,P868),"No weekly","SPY"))</x:f>
        <x:v>Weekly</x:v>
      </x:c>
      <x:c r="R868" s="41" t="n">
        <x:f>IFERROR(L868-P868,"")</x:f>
        <x:v>0.3207872347431183</x:v>
      </x:c>
      <x:c r="S868" s="41" t="n">
        <x:f>IFERROR(H868-P868,"")</x:f>
        <x:v>0.2557906990032828</x:v>
      </x:c>
      <x:c r="T868" s="41" t="n">
        <x:f>IFERROR(I868-M868,"")</x:f>
        <x:v>6.605025</x:v>
      </x:c>
      <x:c r="U868" s="41" t="n">
        <x:f>IFERROR(E868-M868,"")</x:f>
        <x:v>6.042355</x:v>
      </x:c>
      <x:c r="V868" s="41" t="str">
        <x:f>IF(AND(I868&gt;M868,J868&gt;N868),"Sí","No")</x:f>
        <x:v>Sí</x:v>
      </x:c>
      <x:c r="W868" s="41" t="str">
        <x:f>IF(AND(E868&gt;M868,F868&gt;N868),"Sí","No")</x:f>
        <x:v>Sí</x:v>
      </x:c>
      <x:c r="X868" s="41" t="str">
        <x:f>IF(L868&gt;=H868,"Weekly","No weekly")</x:f>
        <x:v>Weekly</x:v>
      </x:c>
      <x:c r="Y868" s="41" t="n">
        <x:f>IFERROR(I868-E868,"")</x:f>
        <x:v>0.5626700000000007</x:v>
      </x:c>
      <x:c r="Z868" s="41" t="n">
        <x:f>IFERROR(J868-F868,"")</x:f>
        <x:v>3.753692999999995</x:v>
      </x:c>
      <x:c r="AA868" s="41" t="n">
        <x:v>11892</x:v>
      </x:c>
      <x:c r="AB868" s="41" t="n">
        <x:v>5745</x:v>
      </x:c>
    </x:row>
    <x:row r="869">
      <x:c r="A869" s="41" t="str">
        <x:v>HYP_REFINE_AUTO002_TOPN_6_V1_DDGRID_LONG_R12_C23_E75_CR40_REDD_RECOVERED_DD8_SLNONE</x:v>
      </x:c>
      <x:c r="B869" s="41" t="str">
        <x:v>dd_guard_grid</x:v>
      </x:c>
      <x:c r="C869" s="41" t="str">
        <x:v>1999-01-04</x:v>
      </x:c>
      <x:c r="D869" s="41" t="str">
        <x:v>2026-05-22</x:v>
      </x:c>
      <x:c r="E869" s="41" t="n">
        <x:v>12.693635</x:v>
      </x:c>
      <x:c r="F869" s="41" t="n">
        <x:v>-34.428645</x:v>
      </x:c>
      <x:c r="G869" s="41" t="n">
        <x:v>2535.893092</x:v>
      </x:c>
      <x:c r="H869" s="41" t="n">
        <x:f>IFERROR(E869/ABS(F869),"")</x:f>
        <x:v>0.3686940046580398</x:v>
      </x:c>
      <x:c r="I869" s="41" t="n">
        <x:v>13.723808</x:v>
      </x:c>
      <x:c r="J869" s="41" t="n">
        <x:v>-30.377743</x:v>
      </x:c>
      <x:c r="K869" s="41" t="n">
        <x:v>3281.643842</x:v>
      </x:c>
      <x:c r="L869" s="41" t="n">
        <x:f>IFERROR(I869/ABS(J869),"")</x:f>
        <x:v>0.45177181201381555</x:v>
      </x:c>
      <x:c r="M869" s="41" t="n">
        <x:v>6.802475</x:v>
      </x:c>
      <x:c r="N869" s="41" t="n">
        <x:v>-56.473669</x:v>
      </x:c>
      <x:c r="O869" s="41" t="n">
        <x:v>506.057416</x:v>
      </x:c>
      <x:c r="P869" s="41" t="n">
        <x:f>IFERROR(M869/ABS(N869),"")</x:f>
        <x:v>0.12045392340278087</x:v>
      </x:c>
      <x:c r="Q869" s="41" t="str">
        <x:f>IF(L869&gt;=MAX(H869,P869),"Weekly",IF(H869&gt;=MAX(L869,P869),"No weekly","SPY"))</x:f>
        <x:v>Weekly</x:v>
      </x:c>
      <x:c r="R869" s="41" t="n">
        <x:f>IFERROR(L869-P869,"")</x:f>
        <x:v>0.33131788861103467</x:v>
      </x:c>
      <x:c r="S869" s="41" t="n">
        <x:f>IFERROR(H869-P869,"")</x:f>
        <x:v>0.24824008125525893</x:v>
      </x:c>
      <x:c r="T869" s="41" t="n">
        <x:f>IFERROR(I869-M869,"")</x:f>
        <x:v>6.921333</x:v>
      </x:c>
      <x:c r="U869" s="41" t="n">
        <x:f>IFERROR(E869-M869,"")</x:f>
        <x:v>5.89116</x:v>
      </x:c>
      <x:c r="V869" s="41" t="str">
        <x:f>IF(AND(I869&gt;M869,J869&gt;N869),"Sí","No")</x:f>
        <x:v>Sí</x:v>
      </x:c>
      <x:c r="W869" s="41" t="str">
        <x:f>IF(AND(E869&gt;M869,F869&gt;N869),"Sí","No")</x:f>
        <x:v>Sí</x:v>
      </x:c>
      <x:c r="X869" s="41" t="str">
        <x:f>IF(L869&gt;=H869,"Weekly","No weekly")</x:f>
        <x:v>Weekly</x:v>
      </x:c>
      <x:c r="Y869" s="41" t="n">
        <x:f>IFERROR(I869-E869,"")</x:f>
        <x:v>1.0301729999999996</x:v>
      </x:c>
      <x:c r="Z869" s="41" t="n">
        <x:f>IFERROR(J869-F869,"")</x:f>
        <x:v>4.050902000000004</x:v>
      </x:c>
      <x:c r="AA869" s="41" t="n">
        <x:v>11964</x:v>
      </x:c>
      <x:c r="AB869" s="41" t="n">
        <x:v>6211</x:v>
      </x:c>
    </x:row>
    <x:row r="870">
      <x:c r="A870" s="41" t="str">
        <x:v>HYP_REFINE_AUTO002_TOPN_6_V1_DDGRID_LONG_R12_C23_E75_CR40_REDD_RECOVERED_DD9_SL18</x:v>
      </x:c>
      <x:c r="B870" s="41" t="str">
        <x:v>dd_guard_grid</x:v>
      </x:c>
      <x:c r="C870" s="41" t="str">
        <x:v>1999-01-04</x:v>
      </x:c>
      <x:c r="D870" s="41" t="str">
        <x:v>2026-05-22</x:v>
      </x:c>
      <x:c r="E870" s="41" t="n">
        <x:v>12.48329</x:v>
      </x:c>
      <x:c r="F870" s="41" t="n">
        <x:v>-33.120684</x:v>
      </x:c>
      <x:c r="G870" s="41" t="n">
        <x:v>2404.456336</x:v>
      </x:c>
      <x:c r="H870" s="41" t="n">
        <x:f>IFERROR(E870/ABS(F870),"")</x:f>
        <x:v>0.3769031460823696</x:v>
      </x:c>
      <x:c r="I870" s="41" t="n">
        <x:v>11.93562</x:v>
      </x:c>
      <x:c r="J870" s="41" t="n">
        <x:v>-30.389067</x:v>
      </x:c>
      <x:c r="K870" s="41" t="n">
        <x:v>2091.185873</x:v>
      </x:c>
      <x:c r="L870" s="41" t="n">
        <x:f>IFERROR(I870/ABS(J870),"")</x:f>
        <x:v>0.3927603305491412</x:v>
      </x:c>
      <x:c r="M870" s="41" t="n">
        <x:v>6.802475</x:v>
      </x:c>
      <x:c r="N870" s="41" t="n">
        <x:v>-56.473669</x:v>
      </x:c>
      <x:c r="O870" s="41" t="n">
        <x:v>506.057416</x:v>
      </x:c>
      <x:c r="P870" s="41" t="n">
        <x:f>IFERROR(M870/ABS(N870),"")</x:f>
        <x:v>0.12045392340278087</x:v>
      </x:c>
      <x:c r="Q870" s="41" t="str">
        <x:f>IF(L870&gt;=MAX(H870,P870),"Weekly",IF(H870&gt;=MAX(L870,P870),"No weekly","SPY"))</x:f>
        <x:v>Weekly</x:v>
      </x:c>
      <x:c r="R870" s="41" t="n">
        <x:f>IFERROR(L870-P870,"")</x:f>
        <x:v>0.27230640714636034</x:v>
      </x:c>
      <x:c r="S870" s="41" t="n">
        <x:f>IFERROR(H870-P870,"")</x:f>
        <x:v>0.2564492226795887</x:v>
      </x:c>
      <x:c r="T870" s="41" t="n">
        <x:f>IFERROR(I870-M870,"")</x:f>
        <x:v>5.133145</x:v>
      </x:c>
      <x:c r="U870" s="41" t="n">
        <x:f>IFERROR(E870-M870,"")</x:f>
        <x:v>5.680815</x:v>
      </x:c>
      <x:c r="V870" s="41" t="str">
        <x:f>IF(AND(I870&gt;M870,J870&gt;N870),"Sí","No")</x:f>
        <x:v>Sí</x:v>
      </x:c>
      <x:c r="W870" s="41" t="str">
        <x:f>IF(AND(E870&gt;M870,F870&gt;N870),"Sí","No")</x:f>
        <x:v>Sí</x:v>
      </x:c>
      <x:c r="X870" s="41" t="str">
        <x:f>IF(L870&gt;=H870,"Weekly","No weekly")</x:f>
        <x:v>Weekly</x:v>
      </x:c>
      <x:c r="Y870" s="41" t="n">
        <x:f>IFERROR(I870-E870,"")</x:f>
        <x:v>-0.5476700000000001</x:v>
      </x:c>
      <x:c r="Z870" s="41" t="n">
        <x:f>IFERROR(J870-F870,"")</x:f>
        <x:v>2.7316169999999964</x:v>
      </x:c>
      <x:c r="AA870" s="41" t="n">
        <x:v>12031</x:v>
      </x:c>
      <x:c r="AB870" s="41" t="n">
        <x:v>5340</x:v>
      </x:c>
    </x:row>
    <x:row r="871">
      <x:c r="A871" s="41" t="str">
        <x:v>HYP_REFINE_AUTO002_TOPN_6_V1_DDGRID_LONG_R12_C23_E75_CR40_REDD_RECOVERED_DD9_SL20</x:v>
      </x:c>
      <x:c r="B871" s="41" t="str">
        <x:v>dd_guard_grid</x:v>
      </x:c>
      <x:c r="C871" s="41" t="str">
        <x:v>1999-01-04</x:v>
      </x:c>
      <x:c r="D871" s="41" t="str">
        <x:v>2026-05-22</x:v>
      </x:c>
      <x:c r="E871" s="41" t="n">
        <x:v>12.715925</x:v>
      </x:c>
      <x:c r="F871" s="41" t="n">
        <x:v>-33.768143</x:v>
      </x:c>
      <x:c r="G871" s="41" t="n">
        <x:v>2550.204674</x:v>
      </x:c>
      <x:c r="H871" s="41" t="n">
        <x:f>IFERROR(E871/ABS(F871),"")</x:f>
        <x:v>0.3765657175758821</x:v>
      </x:c>
      <x:c r="I871" s="41" t="n">
        <x:v>13.138842</x:v>
      </x:c>
      <x:c r="J871" s="41" t="n">
        <x:v>-30.056923</x:v>
      </x:c>
      <x:c r="K871" s="41" t="n">
        <x:v>2836.359211</x:v>
      </x:c>
      <x:c r="L871" s="41" t="n">
        <x:f>IFERROR(I871/ABS(J871),"")</x:f>
        <x:v>0.4371319712267287</x:v>
      </x:c>
      <x:c r="M871" s="41" t="n">
        <x:v>6.802475</x:v>
      </x:c>
      <x:c r="N871" s="41" t="n">
        <x:v>-56.473669</x:v>
      </x:c>
      <x:c r="O871" s="41" t="n">
        <x:v>506.057416</x:v>
      </x:c>
      <x:c r="P871" s="41" t="n">
        <x:f>IFERROR(M871/ABS(N871),"")</x:f>
        <x:v>0.12045392340278087</x:v>
      </x:c>
      <x:c r="Q871" s="41" t="str">
        <x:f>IF(L871&gt;=MAX(H871,P871),"Weekly",IF(H871&gt;=MAX(L871,P871),"No weekly","SPY"))</x:f>
        <x:v>Weekly</x:v>
      </x:c>
      <x:c r="R871" s="41" t="n">
        <x:f>IFERROR(L871-P871,"")</x:f>
        <x:v>0.3166780478239478</x:v>
      </x:c>
      <x:c r="S871" s="41" t="n">
        <x:f>IFERROR(H871-P871,"")</x:f>
        <x:v>0.2561117941731012</x:v>
      </x:c>
      <x:c r="T871" s="41" t="n">
        <x:f>IFERROR(I871-M871,"")</x:f>
        <x:v>6.336367</x:v>
      </x:c>
      <x:c r="U871" s="41" t="n">
        <x:f>IFERROR(E871-M871,"")</x:f>
        <x:v>5.91345</x:v>
      </x:c>
      <x:c r="V871" s="41" t="str">
        <x:f>IF(AND(I871&gt;M871,J871&gt;N871),"Sí","No")</x:f>
        <x:v>Sí</x:v>
      </x:c>
      <x:c r="W871" s="41" t="str">
        <x:f>IF(AND(E871&gt;M871,F871&gt;N871),"Sí","No")</x:f>
        <x:v>Sí</x:v>
      </x:c>
      <x:c r="X871" s="41" t="str">
        <x:f>IF(L871&gt;=H871,"Weekly","No weekly")</x:f>
        <x:v>Weekly</x:v>
      </x:c>
      <x:c r="Y871" s="41" t="n">
        <x:f>IFERROR(I871-E871,"")</x:f>
        <x:v>0.422917</x:v>
      </x:c>
      <x:c r="Z871" s="41" t="n">
        <x:f>IFERROR(J871-F871,"")</x:f>
        <x:v>3.711220000000001</x:v>
      </x:c>
      <x:c r="AA871" s="41" t="n">
        <x:v>11544</x:v>
      </x:c>
      <x:c r="AB871" s="41" t="n">
        <x:v>5578</x:v>
      </x:c>
    </x:row>
    <x:row r="872">
      <x:c r="A872" s="41" t="str">
        <x:v>HYP_REFINE_AUTO002_TOPN_6_V1_DDGRID_LONG_R12_C23_E75_CR40_REDD_RECOVERED_DD9_SL22</x:v>
      </x:c>
      <x:c r="B872" s="41" t="str">
        <x:v>dd_guard_grid</x:v>
      </x:c>
      <x:c r="C872" s="41" t="str">
        <x:v>1999-01-04</x:v>
      </x:c>
      <x:c r="D872" s="41" t="str">
        <x:v>2026-05-22</x:v>
      </x:c>
      <x:c r="E872" s="41" t="n">
        <x:v>13.977848</x:v>
      </x:c>
      <x:c r="F872" s="41" t="n">
        <x:v>-34.327584</x:v>
      </x:c>
      <x:c r="G872" s="41" t="n">
        <x:v>3494.671423</x:v>
      </x:c>
      <x:c r="H872" s="41" t="n">
        <x:f>IFERROR(E872/ABS(F872),"")</x:f>
        <x:v>0.40718997293838094</x:v>
      </x:c>
      <x:c r="I872" s="41" t="n">
        <x:v>13.093947</x:v>
      </x:c>
      <x:c r="J872" s="41" t="n">
        <x:v>-28.108438</x:v>
      </x:c>
      <x:c r="K872" s="41" t="n">
        <x:v>2804.624217</x:v>
      </x:c>
      <x:c r="L872" s="41" t="n">
        <x:f>IFERROR(I872/ABS(J872),"")</x:f>
        <x:v>0.46583687787987366</x:v>
      </x:c>
      <x:c r="M872" s="41" t="n">
        <x:v>6.802475</x:v>
      </x:c>
      <x:c r="N872" s="41" t="n">
        <x:v>-56.473669</x:v>
      </x:c>
      <x:c r="O872" s="41" t="n">
        <x:v>506.057416</x:v>
      </x:c>
      <x:c r="P872" s="41" t="n">
        <x:f>IFERROR(M872/ABS(N872),"")</x:f>
        <x:v>0.12045392340278087</x:v>
      </x:c>
      <x:c r="Q872" s="41" t="str">
        <x:f>IF(L872&gt;=MAX(H872,P872),"Weekly",IF(H872&gt;=MAX(L872,P872),"No weekly","SPY"))</x:f>
        <x:v>Weekly</x:v>
      </x:c>
      <x:c r="R872" s="41" t="n">
        <x:f>IFERROR(L872-P872,"")</x:f>
        <x:v>0.3453829544770928</x:v>
      </x:c>
      <x:c r="S872" s="41" t="n">
        <x:f>IFERROR(H872-P872,"")</x:f>
        <x:v>0.28673604953560006</x:v>
      </x:c>
      <x:c r="T872" s="41" t="n">
        <x:f>IFERROR(I872-M872,"")</x:f>
        <x:v>6.291472</x:v>
      </x:c>
      <x:c r="U872" s="41" t="n">
        <x:f>IFERROR(E872-M872,"")</x:f>
        <x:v>7.175373</x:v>
      </x:c>
      <x:c r="V872" s="41" t="str">
        <x:f>IF(AND(I872&gt;M872,J872&gt;N872),"Sí","No")</x:f>
        <x:v>Sí</x:v>
      </x:c>
      <x:c r="W872" s="41" t="str">
        <x:f>IF(AND(E872&gt;M872,F872&gt;N872),"Sí","No")</x:f>
        <x:v>Sí</x:v>
      </x:c>
      <x:c r="X872" s="41" t="str">
        <x:f>IF(L872&gt;=H872,"Weekly","No weekly")</x:f>
        <x:v>Weekly</x:v>
      </x:c>
      <x:c r="Y872" s="41" t="n">
        <x:f>IFERROR(I872-E872,"")</x:f>
        <x:v>-0.8839009999999998</x:v>
      </x:c>
      <x:c r="Z872" s="41" t="n">
        <x:f>IFERROR(J872-F872,"")</x:f>
        <x:v>6.219146000000002</x:v>
      </x:c>
      <x:c r="AA872" s="41" t="n">
        <x:v>11516</x:v>
      </x:c>
      <x:c r="AB872" s="41" t="n">
        <x:v>5411</x:v>
      </x:c>
    </x:row>
    <x:row r="873">
      <x:c r="A873" s="41" t="str">
        <x:v>HYP_REFINE_AUTO002_TOPN_6_V1_DDGRID_LONG_R12_C23_E75_CR40_REDD_RECOVERED_DD9_SL24</x:v>
      </x:c>
      <x:c r="B873" s="41" t="str">
        <x:v>dd_guard_grid</x:v>
      </x:c>
      <x:c r="C873" s="41" t="str">
        <x:v>1999-01-04</x:v>
      </x:c>
      <x:c r="D873" s="41" t="str">
        <x:v>2026-05-22</x:v>
      </x:c>
      <x:c r="E873" s="41" t="n">
        <x:v>12.607726</x:v>
      </x:c>
      <x:c r="F873" s="41" t="n">
        <x:v>-34.139571</x:v>
      </x:c>
      <x:c r="G873" s="41" t="n">
        <x:v>2481.428361</x:v>
      </x:c>
      <x:c r="H873" s="41" t="n">
        <x:f>IFERROR(E873/ABS(F873),"")</x:f>
        <x:v>0.36929948533916845</x:v>
      </x:c>
      <x:c r="I873" s="41" t="n">
        <x:v>13.350526</x:v>
      </x:c>
      <x:c r="J873" s="41" t="n">
        <x:v>-30.385878</x:v>
      </x:c>
      <x:c r="K873" s="41" t="n">
        <x:v>2990.546732</x:v>
      </x:c>
      <x:c r="L873" s="41" t="n">
        <x:f>IFERROR(I873/ABS(J873),"")</x:f>
        <x:v>0.4393661423902248</x:v>
      </x:c>
      <x:c r="M873" s="41" t="n">
        <x:v>6.802475</x:v>
      </x:c>
      <x:c r="N873" s="41" t="n">
        <x:v>-56.473669</x:v>
      </x:c>
      <x:c r="O873" s="41" t="n">
        <x:v>506.057416</x:v>
      </x:c>
      <x:c r="P873" s="41" t="n">
        <x:f>IFERROR(M873/ABS(N873),"")</x:f>
        <x:v>0.12045392340278087</x:v>
      </x:c>
      <x:c r="Q873" s="41" t="str">
        <x:f>IF(L873&gt;=MAX(H873,P873),"Weekly",IF(H873&gt;=MAX(L873,P873),"No weekly","SPY"))</x:f>
        <x:v>Weekly</x:v>
      </x:c>
      <x:c r="R873" s="41" t="n">
        <x:f>IFERROR(L873-P873,"")</x:f>
        <x:v>0.31891221898744393</x:v>
      </x:c>
      <x:c r="S873" s="41" t="n">
        <x:f>IFERROR(H873-P873,"")</x:f>
        <x:v>0.24884556193638757</x:v>
      </x:c>
      <x:c r="T873" s="41" t="n">
        <x:f>IFERROR(I873-M873,"")</x:f>
        <x:v>6.548051</x:v>
      </x:c>
      <x:c r="U873" s="41" t="n">
        <x:f>IFERROR(E873-M873,"")</x:f>
        <x:v>5.805250999999999</x:v>
      </x:c>
      <x:c r="V873" s="41" t="str">
        <x:f>IF(AND(I873&gt;M873,J873&gt;N873),"Sí","No")</x:f>
        <x:v>Sí</x:v>
      </x:c>
      <x:c r="W873" s="41" t="str">
        <x:f>IF(AND(E873&gt;M873,F873&gt;N873),"Sí","No")</x:f>
        <x:v>Sí</x:v>
      </x:c>
      <x:c r="X873" s="41" t="str">
        <x:f>IF(L873&gt;=H873,"Weekly","No weekly")</x:f>
        <x:v>Weekly</x:v>
      </x:c>
      <x:c r="Y873" s="41" t="n">
        <x:f>IFERROR(I873-E873,"")</x:f>
        <x:v>0.7428000000000008</x:v>
      </x:c>
      <x:c r="Z873" s="41" t="n">
        <x:f>IFERROR(J873-F873,"")</x:f>
        <x:v>3.753692999999995</x:v>
      </x:c>
      <x:c r="AA873" s="41" t="n">
        <x:v>11865</x:v>
      </x:c>
      <x:c r="AB873" s="41" t="n">
        <x:v>5654</x:v>
      </x:c>
    </x:row>
    <x:row r="874">
      <x:c r="A874" s="41" t="str">
        <x:v>HYP_REFINE_AUTO002_TOPN_6_V1_DDGRID_LONG_R12_C23_E75_CR40_REDD_RECOVERED_DD9_SLNONE</x:v>
      </x:c>
      <x:c r="B874" s="41" t="str">
        <x:v>dd_guard_grid</x:v>
      </x:c>
      <x:c r="C874" s="41" t="str">
        <x:v>1999-01-04</x:v>
      </x:c>
      <x:c r="D874" s="41" t="str">
        <x:v>2026-05-22</x:v>
      </x:c>
      <x:c r="E874" s="41" t="n">
        <x:v>12.47081</x:v>
      </x:c>
      <x:c r="F874" s="41" t="n">
        <x:v>-34.428645</x:v>
      </x:c>
      <x:c r="G874" s="41" t="n">
        <x:v>2396.860014</x:v>
      </x:c>
      <x:c r="H874" s="41" t="n">
        <x:f>IFERROR(E874/ABS(F874),"")</x:f>
        <x:v>0.36222192305273704</x:v>
      </x:c>
      <x:c r="I874" s="41" t="n">
        <x:v>13.644379</x:v>
      </x:c>
      <x:c r="J874" s="41" t="n">
        <x:v>-30.377743</x:v>
      </x:c>
      <x:c r="K874" s="41" t="n">
        <x:v>3217.570868</x:v>
      </x:c>
      <x:c r="L874" s="41" t="n">
        <x:f>IFERROR(I874/ABS(J874),"")</x:f>
        <x:v>0.44915710163194156</x:v>
      </x:c>
      <x:c r="M874" s="41" t="n">
        <x:v>6.802475</x:v>
      </x:c>
      <x:c r="N874" s="41" t="n">
        <x:v>-56.473669</x:v>
      </x:c>
      <x:c r="O874" s="41" t="n">
        <x:v>506.057416</x:v>
      </x:c>
      <x:c r="P874" s="41" t="n">
        <x:f>IFERROR(M874/ABS(N874),"")</x:f>
        <x:v>0.12045392340278087</x:v>
      </x:c>
      <x:c r="Q874" s="41" t="str">
        <x:f>IF(L874&gt;=MAX(H874,P874),"Weekly",IF(H874&gt;=MAX(L874,P874),"No weekly","SPY"))</x:f>
        <x:v>Weekly</x:v>
      </x:c>
      <x:c r="R874" s="41" t="n">
        <x:f>IFERROR(L874-P874,"")</x:f>
        <x:v>0.3287031782291607</x:v>
      </x:c>
      <x:c r="S874" s="41" t="n">
        <x:f>IFERROR(H874-P874,"")</x:f>
        <x:v>0.24176799964995616</x:v>
      </x:c>
      <x:c r="T874" s="41" t="n">
        <x:f>IFERROR(I874-M874,"")</x:f>
        <x:v>6.841904</x:v>
      </x:c>
      <x:c r="U874" s="41" t="n">
        <x:f>IFERROR(E874-M874,"")</x:f>
        <x:v>5.668335</x:v>
      </x:c>
      <x:c r="V874" s="41" t="str">
        <x:f>IF(AND(I874&gt;M874,J874&gt;N874),"Sí","No")</x:f>
        <x:v>Sí</x:v>
      </x:c>
      <x:c r="W874" s="41" t="str">
        <x:f>IF(AND(E874&gt;M874,F874&gt;N874),"Sí","No")</x:f>
        <x:v>Sí</x:v>
      </x:c>
      <x:c r="X874" s="41" t="str">
        <x:f>IF(L874&gt;=H874,"Weekly","No weekly")</x:f>
        <x:v>Weekly</x:v>
      </x:c>
      <x:c r="Y874" s="41" t="n">
        <x:f>IFERROR(I874-E874,"")</x:f>
        <x:v>1.1735690000000005</x:v>
      </x:c>
      <x:c r="Z874" s="41" t="n">
        <x:f>IFERROR(J874-F874,"")</x:f>
        <x:v>4.050902000000004</x:v>
      </x:c>
      <x:c r="AA874" s="41" t="n">
        <x:v>11932</x:v>
      </x:c>
      <x:c r="AB874" s="41" t="n">
        <x:v>6128</x:v>
      </x:c>
    </x:row>
    <x:row r="875">
      <x:c r="A875" s="41" t="str">
        <x:v>HYP_REFINE_AUTO002_TOPN_6_V1_DDGRID_LONG_R12_C23_E75_CR42_REDD_RECOVERED_DD7_SL18</x:v>
      </x:c>
      <x:c r="B875" s="41" t="str">
        <x:v>dd_guard_grid</x:v>
      </x:c>
      <x:c r="C875" s="41" t="str">
        <x:v>1999-01-04</x:v>
      </x:c>
      <x:c r="D875" s="41" t="str">
        <x:v>2026-05-22</x:v>
      </x:c>
      <x:c r="E875" s="41" t="n">
        <x:v>13.659625</x:v>
      </x:c>
      <x:c r="F875" s="41" t="n">
        <x:v>-33.259523</x:v>
      </x:c>
      <x:c r="G875" s="41" t="n">
        <x:v>3229.777815</x:v>
      </x:c>
      <x:c r="H875" s="41" t="n">
        <x:f>IFERROR(E875/ABS(F875),"")</x:f>
        <x:v>0.41069816304942197</x:v>
      </x:c>
      <x:c r="I875" s="41" t="n">
        <x:v>12.231041</x:v>
      </x:c>
      <x:c r="J875" s="41" t="n">
        <x:v>-30.703044</x:v>
      </x:c>
      <x:c r="K875" s="41" t="n">
        <x:v>2255.152107</x:v>
      </x:c>
      <x:c r="L875" s="41" t="n">
        <x:f>IFERROR(I875/ABS(J875),"")</x:f>
        <x:v>0.3983657451033194</x:v>
      </x:c>
      <x:c r="M875" s="41" t="n">
        <x:v>6.802475</x:v>
      </x:c>
      <x:c r="N875" s="41" t="n">
        <x:v>-56.473669</x:v>
      </x:c>
      <x:c r="O875" s="41" t="n">
        <x:v>506.057416</x:v>
      </x:c>
      <x:c r="P875" s="41" t="n">
        <x:f>IFERROR(M875/ABS(N875),"")</x:f>
        <x:v>0.12045392340278087</x:v>
      </x:c>
      <x:c r="Q875" s="41" t="str">
        <x:f>IF(L875&gt;=MAX(H875,P875),"Weekly",IF(H875&gt;=MAX(L875,P875),"No weekly","SPY"))</x:f>
        <x:v>No weekly</x:v>
      </x:c>
      <x:c r="R875" s="41" t="n">
        <x:f>IFERROR(L875-P875,"")</x:f>
        <x:v>0.2779118217005385</x:v>
      </x:c>
      <x:c r="S875" s="41" t="n">
        <x:f>IFERROR(H875-P875,"")</x:f>
        <x:v>0.2902442396466411</x:v>
      </x:c>
      <x:c r="T875" s="41" t="n">
        <x:f>IFERROR(I875-M875,"")</x:f>
        <x:v>5.428565999999999</x:v>
      </x:c>
      <x:c r="U875" s="41" t="n">
        <x:f>IFERROR(E875-M875,"")</x:f>
        <x:v>6.85715</x:v>
      </x:c>
      <x:c r="V875" s="41" t="str">
        <x:f>IF(AND(I875&gt;M875,J875&gt;N875),"Sí","No")</x:f>
        <x:v>Sí</x:v>
      </x:c>
      <x:c r="W875" s="41" t="str">
        <x:f>IF(AND(E875&gt;M875,F875&gt;N875),"Sí","No")</x:f>
        <x:v>Sí</x:v>
      </x:c>
      <x:c r="X875" s="41" t="str">
        <x:f>IF(L875&gt;=H875,"Weekly","No weekly")</x:f>
        <x:v>No weekly</x:v>
      </x:c>
      <x:c r="Y875" s="41" t="n">
        <x:f>IFERROR(I875-E875,"")</x:f>
        <x:v>-1.4285840000000007</x:v>
      </x:c>
      <x:c r="Z875" s="41" t="n">
        <x:f>IFERROR(J875-F875,"")</x:f>
        <x:v>2.556479000000003</x:v>
      </x:c>
      <x:c r="AA875" s="41" t="n">
        <x:v>12003</x:v>
      </x:c>
      <x:c r="AB875" s="41" t="n">
        <x:v>5439</x:v>
      </x:c>
    </x:row>
    <x:row r="876">
      <x:c r="A876" s="41" t="str">
        <x:v>HYP_REFINE_AUTO002_TOPN_6_V1_DDGRID_LONG_R12_C23_E75_CR42_REDD_RECOVERED_DD7_SL22</x:v>
      </x:c>
      <x:c r="B876" s="41" t="str">
        <x:v>dd_guard_grid</x:v>
      </x:c>
      <x:c r="C876" s="41" t="str">
        <x:v>1999-01-04</x:v>
      </x:c>
      <x:c r="D876" s="41" t="str">
        <x:v>2026-05-22</x:v>
      </x:c>
      <x:c r="E876" s="41" t="n">
        <x:v>12.847787</x:v>
      </x:c>
      <x:c r="F876" s="41" t="n">
        <x:v>-34.588702</x:v>
      </x:c>
      <x:c r="G876" s="41" t="n">
        <x:v>2636.410895</x:v>
      </x:c>
      <x:c r="H876" s="41" t="n">
        <x:f>IFERROR(E876/ABS(F876),"")</x:f>
        <x:v>0.37144461217422964</x:v>
      </x:c>
      <x:c r="I876" s="41" t="n">
        <x:v>12.371446</x:v>
      </x:c>
      <x:c r="J876" s="41" t="n">
        <x:v>-30.641357</x:v>
      </x:c>
      <x:c r="K876" s="41" t="n">
        <x:v>2337.164507</x:v>
      </x:c>
      <x:c r="L876" s="41" t="n">
        <x:f>IFERROR(I876/ABS(J876),"")</x:f>
        <x:v>0.4037499383594532</x:v>
      </x:c>
      <x:c r="M876" s="41" t="n">
        <x:v>6.802475</x:v>
      </x:c>
      <x:c r="N876" s="41" t="n">
        <x:v>-56.473669</x:v>
      </x:c>
      <x:c r="O876" s="41" t="n">
        <x:v>506.057416</x:v>
      </x:c>
      <x:c r="P876" s="41" t="n">
        <x:f>IFERROR(M876/ABS(N876),"")</x:f>
        <x:v>0.12045392340278087</x:v>
      </x:c>
      <x:c r="Q876" s="41" t="str">
        <x:f>IF(L876&gt;=MAX(H876,P876),"Weekly",IF(H876&gt;=MAX(L876,P876),"No weekly","SPY"))</x:f>
        <x:v>Weekly</x:v>
      </x:c>
      <x:c r="R876" s="41" t="n">
        <x:f>IFERROR(L876-P876,"")</x:f>
        <x:v>0.28329601495667234</x:v>
      </x:c>
      <x:c r="S876" s="41" t="n">
        <x:f>IFERROR(H876-P876,"")</x:f>
        <x:v>0.25099068877144876</x:v>
      </x:c>
      <x:c r="T876" s="41" t="n">
        <x:f>IFERROR(I876-M876,"")</x:f>
        <x:v>5.568971</x:v>
      </x:c>
      <x:c r="U876" s="41" t="n">
        <x:f>IFERROR(E876-M876,"")</x:f>
        <x:v>6.045312</x:v>
      </x:c>
      <x:c r="V876" s="41" t="str">
        <x:f>IF(AND(I876&gt;M876,J876&gt;N876),"Sí","No")</x:f>
        <x:v>Sí</x:v>
      </x:c>
      <x:c r="W876" s="41" t="str">
        <x:f>IF(AND(E876&gt;M876,F876&gt;N876),"Sí","No")</x:f>
        <x:v>Sí</x:v>
      </x:c>
      <x:c r="X876" s="41" t="str">
        <x:f>IF(L876&gt;=H876,"Weekly","No weekly")</x:f>
        <x:v>Weekly</x:v>
      </x:c>
      <x:c r="Y876" s="41" t="n">
        <x:f>IFERROR(I876-E876,"")</x:f>
        <x:v>-0.4763409999999997</x:v>
      </x:c>
      <x:c r="Z876" s="41" t="n">
        <x:f>IFERROR(J876-F876,"")</x:f>
        <x:v>3.9473449999999985</x:v>
      </x:c>
      <x:c r="AA876" s="41" t="n">
        <x:v>12077</x:v>
      </x:c>
      <x:c r="AB876" s="41" t="n">
        <x:v>5807</x:v>
      </x:c>
    </x:row>
    <x:row r="877">
      <x:c r="A877" s="41" t="str">
        <x:v>HYP_REFINE_AUTO002_TOPN_6_V1_DDGRID_LONG_R12_C23_E75_CR42_REDD_RECOVERED_DD8_SL18</x:v>
      </x:c>
      <x:c r="B877" s="41" t="str">
        <x:v>dd_guard_grid</x:v>
      </x:c>
      <x:c r="C877" s="41" t="str">
        <x:v>1999-01-04</x:v>
      </x:c>
      <x:c r="D877" s="41" t="str">
        <x:v>2026-05-22</x:v>
      </x:c>
      <x:c r="E877" s="41" t="n">
        <x:v>13.521564</x:v>
      </x:c>
      <x:c r="F877" s="41" t="n">
        <x:v>-33.259523</x:v>
      </x:c>
      <x:c r="G877" s="41" t="n">
        <x:v>3120.797548</x:v>
      </x:c>
      <x:c r="H877" s="41" t="n">
        <x:f>IFERROR(E877/ABS(F877),"")</x:f>
        <x:v>0.4065471414006749</x:v>
      </x:c>
      <x:c r="I877" s="41" t="n">
        <x:v>12.673668</x:v>
      </x:c>
      <x:c r="J877" s="41" t="n">
        <x:v>-30.703044</x:v>
      </x:c>
      <x:c r="K877" s="41" t="n">
        <x:v>2523.136596</x:v>
      </x:c>
      <x:c r="L877" s="41" t="n">
        <x:f>IFERROR(I877/ABS(J877),"")</x:f>
        <x:v>0.4127821332633989</x:v>
      </x:c>
      <x:c r="M877" s="41" t="n">
        <x:v>6.802475</x:v>
      </x:c>
      <x:c r="N877" s="41" t="n">
        <x:v>-56.473669</x:v>
      </x:c>
      <x:c r="O877" s="41" t="n">
        <x:v>506.057416</x:v>
      </x:c>
      <x:c r="P877" s="41" t="n">
        <x:f>IFERROR(M877/ABS(N877),"")</x:f>
        <x:v>0.12045392340278087</x:v>
      </x:c>
      <x:c r="Q877" s="41" t="str">
        <x:f>IF(L877&gt;=MAX(H877,P877),"Weekly",IF(H877&gt;=MAX(L877,P877),"No weekly","SPY"))</x:f>
        <x:v>Weekly</x:v>
      </x:c>
      <x:c r="R877" s="41" t="n">
        <x:f>IFERROR(L877-P877,"")</x:f>
        <x:v>0.292328209860618</x:v>
      </x:c>
      <x:c r="S877" s="41" t="n">
        <x:f>IFERROR(H877-P877,"")</x:f>
        <x:v>0.286093217997894</x:v>
      </x:c>
      <x:c r="T877" s="41" t="n">
        <x:f>IFERROR(I877-M877,"")</x:f>
        <x:v>5.871192999999999</x:v>
      </x:c>
      <x:c r="U877" s="41" t="n">
        <x:f>IFERROR(E877-M877,"")</x:f>
        <x:v>6.719088999999999</x:v>
      </x:c>
      <x:c r="V877" s="41" t="str">
        <x:f>IF(AND(I877&gt;M877,J877&gt;N877),"Sí","No")</x:f>
        <x:v>Sí</x:v>
      </x:c>
      <x:c r="W877" s="41" t="str">
        <x:f>IF(AND(E877&gt;M877,F877&gt;N877),"Sí","No")</x:f>
        <x:v>Sí</x:v>
      </x:c>
      <x:c r="X877" s="41" t="str">
        <x:f>IF(L877&gt;=H877,"Weekly","No weekly")</x:f>
        <x:v>Weekly</x:v>
      </x:c>
      <x:c r="Y877" s="41" t="n">
        <x:f>IFERROR(I877-E877,"")</x:f>
        <x:v>-0.8478960000000004</x:v>
      </x:c>
      <x:c r="Z877" s="41" t="n">
        <x:f>IFERROR(J877-F877,"")</x:f>
        <x:v>2.556479000000003</x:v>
      </x:c>
      <x:c r="AA877" s="41" t="n">
        <x:v>11760</x:v>
      </x:c>
      <x:c r="AB877" s="41" t="n">
        <x:v>5368</x:v>
      </x:c>
    </x:row>
    <x:row r="878">
      <x:c r="A878" s="41" t="str">
        <x:v>HYP_REFINE_AUTO002_TOPN_6_V1_DDGRID_LONG_R12_C23_E75_CR42_REDD_RECOVERED_DD8_SL20</x:v>
      </x:c>
      <x:c r="B878" s="41" t="str">
        <x:v>dd_guard_grid</x:v>
      </x:c>
      <x:c r="C878" s="41" t="str">
        <x:v>1999-01-04</x:v>
      </x:c>
      <x:c r="D878" s="41" t="str">
        <x:v>2026-05-22</x:v>
      </x:c>
      <x:c r="E878" s="41" t="n">
        <x:v>12.816239</x:v>
      </x:c>
      <x:c r="F878" s="41" t="n">
        <x:v>-33.973945</x:v>
      </x:c>
      <x:c r="G878" s="41" t="n">
        <x:v>2615.543245</x:v>
      </x:c>
      <x:c r="H878" s="41" t="n">
        <x:f>IFERROR(E878/ABS(F878),"")</x:f>
        <x:v>0.37723729169515047</x:v>
      </x:c>
      <x:c r="I878" s="41" t="n">
        <x:v>13.970559</x:v>
      </x:c>
      <x:c r="J878" s="41" t="n">
        <x:v>-29.594357</x:v>
      </x:c>
      <x:c r="K878" s="41" t="n">
        <x:v>3488.383337</x:v>
      </x:c>
      <x:c r="L878" s="41" t="n">
        <x:f>IFERROR(I878/ABS(J878),"")</x:f>
        <x:v>0.4720683405961481</x:v>
      </x:c>
      <x:c r="M878" s="41" t="n">
        <x:v>6.802475</x:v>
      </x:c>
      <x:c r="N878" s="41" t="n">
        <x:v>-56.473669</x:v>
      </x:c>
      <x:c r="O878" s="41" t="n">
        <x:v>506.057416</x:v>
      </x:c>
      <x:c r="P878" s="41" t="n">
        <x:f>IFERROR(M878/ABS(N878),"")</x:f>
        <x:v>0.12045392340278087</x:v>
      </x:c>
      <x:c r="Q878" s="41" t="str">
        <x:f>IF(L878&gt;=MAX(H878,P878),"Weekly",IF(H878&gt;=MAX(L878,P878),"No weekly","SPY"))</x:f>
        <x:v>Weekly</x:v>
      </x:c>
      <x:c r="R878" s="41" t="n">
        <x:f>IFERROR(L878-P878,"")</x:f>
        <x:v>0.3516144171933672</x:v>
      </x:c>
      <x:c r="S878" s="41" t="n">
        <x:f>IFERROR(H878-P878,"")</x:f>
        <x:v>0.2567833682923696</x:v>
      </x:c>
      <x:c r="T878" s="41" t="n">
        <x:f>IFERROR(I878-M878,"")</x:f>
        <x:v>7.1680839999999995</x:v>
      </x:c>
      <x:c r="U878" s="41" t="n">
        <x:f>IFERROR(E878-M878,"")</x:f>
        <x:v>6.013763999999999</x:v>
      </x:c>
      <x:c r="V878" s="41" t="str">
        <x:f>IF(AND(I878&gt;M878,J878&gt;N878),"Sí","No")</x:f>
        <x:v>Sí</x:v>
      </x:c>
      <x:c r="W878" s="41" t="str">
        <x:f>IF(AND(E878&gt;M878,F878&gt;N878),"Sí","No")</x:f>
        <x:v>Sí</x:v>
      </x:c>
      <x:c r="X878" s="41" t="str">
        <x:f>IF(L878&gt;=H878,"Weekly","No weekly")</x:f>
        <x:v>Weekly</x:v>
      </x:c>
      <x:c r="Y878" s="41" t="n">
        <x:f>IFERROR(I878-E878,"")</x:f>
        <x:v>1.1543200000000002</x:v>
      </x:c>
      <x:c r="Z878" s="41" t="n">
        <x:f>IFERROR(J878-F878,"")</x:f>
        <x:v>4.379588000000002</x:v>
      </x:c>
      <x:c r="AA878" s="41" t="n">
        <x:v>11168</x:v>
      </x:c>
      <x:c r="AB878" s="41" t="n">
        <x:v>5587</x:v>
      </x:c>
    </x:row>
    <x:row r="879">
      <x:c r="A879" s="41" t="str">
        <x:v>HYP_REFINE_AUTO002_TOPN_6_V1_DDGRID_LONG_R12_C23_E75_CR42_REDD_RECOVERED_DD8_SL22</x:v>
      </x:c>
      <x:c r="B879" s="41" t="str">
        <x:v>dd_guard_grid</x:v>
      </x:c>
      <x:c r="C879" s="41" t="str">
        <x:v>1999-01-04</x:v>
      </x:c>
      <x:c r="D879" s="41" t="str">
        <x:v>2026-05-22</x:v>
      </x:c>
      <x:c r="E879" s="41" t="n">
        <x:v>14.312146</x:v>
      </x:c>
      <x:c r="F879" s="41" t="n">
        <x:v>-34.588702</x:v>
      </x:c>
      <x:c r="G879" s="41" t="n">
        <x:v>3794.776863</x:v>
      </x:c>
      <x:c r="H879" s="41" t="n">
        <x:f>IFERROR(E879/ABS(F879),"")</x:f>
        <x:v>0.4137809507856063</x:v>
      </x:c>
      <x:c r="I879" s="41" t="n">
        <x:v>12.76675</x:v>
      </x:c>
      <x:c r="J879" s="41" t="n">
        <x:v>-30.641357</x:v>
      </x:c>
      <x:c r="K879" s="41" t="n">
        <x:v>2583.117071</x:v>
      </x:c>
      <x:c r="L879" s="41" t="n">
        <x:f>IFERROR(I879/ABS(J879),"")</x:f>
        <x:v>0.4166509335732096</x:v>
      </x:c>
      <x:c r="M879" s="41" t="n">
        <x:v>6.802475</x:v>
      </x:c>
      <x:c r="N879" s="41" t="n">
        <x:v>-56.473669</x:v>
      </x:c>
      <x:c r="O879" s="41" t="n">
        <x:v>506.057416</x:v>
      </x:c>
      <x:c r="P879" s="41" t="n">
        <x:f>IFERROR(M879/ABS(N879),"")</x:f>
        <x:v>0.12045392340278087</x:v>
      </x:c>
      <x:c r="Q879" s="41" t="str">
        <x:f>IF(L879&gt;=MAX(H879,P879),"Weekly",IF(H879&gt;=MAX(L879,P879),"No weekly","SPY"))</x:f>
        <x:v>Weekly</x:v>
      </x:c>
      <x:c r="R879" s="41" t="n">
        <x:f>IFERROR(L879-P879,"")</x:f>
        <x:v>0.2961970101704287</x:v>
      </x:c>
      <x:c r="S879" s="41" t="n">
        <x:f>IFERROR(H879-P879,"")</x:f>
        <x:v>0.2933270273828254</x:v>
      </x:c>
      <x:c r="T879" s="41" t="n">
        <x:f>IFERROR(I879-M879,"")</x:f>
        <x:v>5.964275</x:v>
      </x:c>
      <x:c r="U879" s="41" t="n">
        <x:f>IFERROR(E879-M879,"")</x:f>
        <x:v>7.509671</x:v>
      </x:c>
      <x:c r="V879" s="41" t="str">
        <x:f>IF(AND(I879&gt;M879,J879&gt;N879),"Sí","No")</x:f>
        <x:v>Sí</x:v>
      </x:c>
      <x:c r="W879" s="41" t="str">
        <x:f>IF(AND(E879&gt;M879,F879&gt;N879),"Sí","No")</x:f>
        <x:v>Sí</x:v>
      </x:c>
      <x:c r="X879" s="41" t="str">
        <x:f>IF(L879&gt;=H879,"Weekly","No weekly")</x:f>
        <x:v>Weekly</x:v>
      </x:c>
      <x:c r="Y879" s="41" t="n">
        <x:f>IFERROR(I879-E879,"")</x:f>
        <x:v>-1.5453960000000002</x:v>
      </x:c>
      <x:c r="Z879" s="41" t="n">
        <x:f>IFERROR(J879-F879,"")</x:f>
        <x:v>3.9473449999999985</x:v>
      </x:c>
      <x:c r="AA879" s="41" t="n">
        <x:v>11923</x:v>
      </x:c>
      <x:c r="AB879" s="41" t="n">
        <x:v>5455</x:v>
      </x:c>
    </x:row>
    <x:row r="880">
      <x:c r="A880" s="41" t="str">
        <x:v>HYP_REFINE_AUTO002_TOPN_6_V1_DDGRID_LONG_R12_C23_E75_CR42_REDD_RECOVERED_DD8_SL24</x:v>
      </x:c>
      <x:c r="B880" s="41" t="str">
        <x:v>dd_guard_grid</x:v>
      </x:c>
      <x:c r="C880" s="41" t="str">
        <x:v>1999-01-04</x:v>
      </x:c>
      <x:c r="D880" s="41" t="str">
        <x:v>2026-05-22</x:v>
      </x:c>
      <x:c r="E880" s="41" t="n">
        <x:v>14.135538</x:v>
      </x:c>
      <x:c r="F880" s="41" t="n">
        <x:v>-34.447339</x:v>
      </x:c>
      <x:c r="G880" s="41" t="n">
        <x:v>3633.346726</x:v>
      </x:c>
      <x:c r="H880" s="41" t="n">
        <x:f>IFERROR(E880/ABS(F880),"")</x:f>
        <x:v>0.41035210295924457</x:v>
      </x:c>
      <x:c r="I880" s="41" t="n">
        <x:v>14.069072</x:v>
      </x:c>
      <x:c r="J880" s="41" t="n">
        <x:v>-28.487234</x:v>
      </x:c>
      <x:c r="K880" s="41" t="n">
        <x:v>3574.277948</x:v>
      </x:c>
      <x:c r="L880" s="41" t="n">
        <x:f>IFERROR(I880/ABS(J880),"")</x:f>
        <x:v>0.49387286951060255</x:v>
      </x:c>
      <x:c r="M880" s="41" t="n">
        <x:v>6.802475</x:v>
      </x:c>
      <x:c r="N880" s="41" t="n">
        <x:v>-56.473669</x:v>
      </x:c>
      <x:c r="O880" s="41" t="n">
        <x:v>506.057416</x:v>
      </x:c>
      <x:c r="P880" s="41" t="n">
        <x:f>IFERROR(M880/ABS(N880),"")</x:f>
        <x:v>0.12045392340278087</x:v>
      </x:c>
      <x:c r="Q880" s="41" t="str">
        <x:f>IF(L880&gt;=MAX(H880,P880),"Weekly",IF(H880&gt;=MAX(L880,P880),"No weekly","SPY"))</x:f>
        <x:v>Weekly</x:v>
      </x:c>
      <x:c r="R880" s="41" t="n">
        <x:f>IFERROR(L880-P880,"")</x:f>
        <x:v>0.37341894610782167</x:v>
      </x:c>
      <x:c r="S880" s="41" t="n">
        <x:f>IFERROR(H880-P880,"")</x:f>
        <x:v>0.2898981795564637</x:v>
      </x:c>
      <x:c r="T880" s="41" t="n">
        <x:f>IFERROR(I880-M880,"")</x:f>
        <x:v>7.266597</x:v>
      </x:c>
      <x:c r="U880" s="41" t="n">
        <x:f>IFERROR(E880-M880,"")</x:f>
        <x:v>7.333063</x:v>
      </x:c>
      <x:c r="V880" s="41" t="str">
        <x:f>IF(AND(I880&gt;M880,J880&gt;N880),"Sí","No")</x:f>
        <x:v>Sí</x:v>
      </x:c>
      <x:c r="W880" s="41" t="str">
        <x:f>IF(AND(E880&gt;M880,F880&gt;N880),"Sí","No")</x:f>
        <x:v>Sí</x:v>
      </x:c>
      <x:c r="X880" s="41" t="str">
        <x:f>IF(L880&gt;=H880,"Weekly","No weekly")</x:f>
        <x:v>Weekly</x:v>
      </x:c>
      <x:c r="Y880" s="41" t="n">
        <x:f>IFERROR(I880-E880,"")</x:f>
        <x:v>-0.06646600000000014</x:v>
      </x:c>
      <x:c r="Z880" s="41" t="n">
        <x:f>IFERROR(J880-F880,"")</x:f>
        <x:v>5.960104999999999</x:v>
      </x:c>
      <x:c r="AA880" s="41" t="n">
        <x:v>11314</x:v>
      </x:c>
      <x:c r="AB880" s="41" t="n">
        <x:v>5542</x:v>
      </x:c>
    </x:row>
    <x:row r="881">
      <x:c r="A881" s="41" t="str">
        <x:v>HYP_REFINE_AUTO002_TOPN_6_V1_DDGRID_LONG_R12_C23_E75_CR42_REDD_RECOVERED_DD8_SLNONE</x:v>
      </x:c>
      <x:c r="B881" s="41" t="str">
        <x:v>dd_guard_grid</x:v>
      </x:c>
      <x:c r="C881" s="41" t="str">
        <x:v>1999-01-04</x:v>
      </x:c>
      <x:c r="D881" s="41" t="str">
        <x:v>2026-05-22</x:v>
      </x:c>
      <x:c r="E881" s="41" t="n">
        <x:v>12.761095</x:v>
      </x:c>
      <x:c r="F881" s="41" t="n">
        <x:v>-34.716154</x:v>
      </x:c>
      <x:c r="G881" s="41" t="n">
        <x:v>2579.435795</x:v>
      </x:c>
      <x:c r="H881" s="41" t="n">
        <x:f>IFERROR(E881/ABS(F881),"")</x:f>
        <x:v>0.3675837767052191</x:v>
      </x:c>
      <x:c r="I881" s="41" t="n">
        <x:v>14.093944</x:v>
      </x:c>
      <x:c r="J881" s="41" t="n">
        <x:v>-29.791963</x:v>
      </x:c>
      <x:c r="K881" s="41" t="n">
        <x:v>3596.275878</x:v>
      </x:c>
      <x:c r="L881" s="41" t="n">
        <x:f>IFERROR(I881/ABS(J881),"")</x:f>
        <x:v>0.4730787293203875</x:v>
      </x:c>
      <x:c r="M881" s="41" t="n">
        <x:v>6.802475</x:v>
      </x:c>
      <x:c r="N881" s="41" t="n">
        <x:v>-56.473669</x:v>
      </x:c>
      <x:c r="O881" s="41" t="n">
        <x:v>506.057416</x:v>
      </x:c>
      <x:c r="P881" s="41" t="n">
        <x:f>IFERROR(M881/ABS(N881),"")</x:f>
        <x:v>0.12045392340278087</x:v>
      </x:c>
      <x:c r="Q881" s="41" t="str">
        <x:f>IF(L881&gt;=MAX(H881,P881),"Weekly",IF(H881&gt;=MAX(L881,P881),"No weekly","SPY"))</x:f>
        <x:v>Weekly</x:v>
      </x:c>
      <x:c r="R881" s="41" t="n">
        <x:f>IFERROR(L881-P881,"")</x:f>
        <x:v>0.35262480591760664</x:v>
      </x:c>
      <x:c r="S881" s="41" t="n">
        <x:f>IFERROR(H881-P881,"")</x:f>
        <x:v>0.2471298533024382</x:v>
      </x:c>
      <x:c r="T881" s="41" t="n">
        <x:f>IFERROR(I881-M881,"")</x:f>
        <x:v>7.291469</x:v>
      </x:c>
      <x:c r="U881" s="41" t="n">
        <x:f>IFERROR(E881-M881,"")</x:f>
        <x:v>5.958619999999999</x:v>
      </x:c>
      <x:c r="V881" s="41" t="str">
        <x:f>IF(AND(I881&gt;M881,J881&gt;N881),"Sí","No")</x:f>
        <x:v>Sí</x:v>
      </x:c>
      <x:c r="W881" s="41" t="str">
        <x:f>IF(AND(E881&gt;M881,F881&gt;N881),"Sí","No")</x:f>
        <x:v>Sí</x:v>
      </x:c>
      <x:c r="X881" s="41" t="str">
        <x:f>IF(L881&gt;=H881,"Weekly","No weekly")</x:f>
        <x:v>Weekly</x:v>
      </x:c>
      <x:c r="Y881" s="41" t="n">
        <x:f>IFERROR(I881-E881,"")</x:f>
        <x:v>1.3328490000000013</x:v>
      </x:c>
      <x:c r="Z881" s="41" t="n">
        <x:f>IFERROR(J881-F881,"")</x:f>
        <x:v>4.924191000000004</x:v>
      </x:c>
      <x:c r="AA881" s="41" t="n">
        <x:v>11587</x:v>
      </x:c>
      <x:c r="AB881" s="41" t="n">
        <x:v>6028</x:v>
      </x:c>
    </x:row>
    <x:row r="882">
      <x:c r="A882" s="41" t="str">
        <x:v>HYP_REFINE_AUTO002_TOPN_6_V1_DDGRID_LONG_R12_C23_E75_CR42_REDD_RECOVERED_DD9_SL22</x:v>
      </x:c>
      <x:c r="B882" s="41" t="str">
        <x:v>dd_guard_grid</x:v>
      </x:c>
      <x:c r="C882" s="41" t="str">
        <x:v>1999-01-04</x:v>
      </x:c>
      <x:c r="D882" s="41" t="str">
        <x:v>2026-05-22</x:v>
      </x:c>
      <x:c r="E882" s="41" t="n">
        <x:v>14.04078</x:v>
      </x:c>
      <x:c r="F882" s="41" t="n">
        <x:v>-34.588702</x:v>
      </x:c>
      <x:c r="G882" s="41" t="n">
        <x:v>3549.408933</x:v>
      </x:c>
      <x:c r="H882" s="41" t="n">
        <x:f>IFERROR(E882/ABS(F882),"")</x:f>
        <x:v>0.40593544100035905</x:v>
      </x:c>
      <x:c r="I882" s="41" t="n">
        <x:v>12.715362</x:v>
      </x:c>
      <x:c r="J882" s="41" t="n">
        <x:v>-30.641357</x:v>
      </x:c>
      <x:c r="K882" s="41" t="n">
        <x:v>2549.841758</x:v>
      </x:c>
      <x:c r="L882" s="41" t="n">
        <x:f>IFERROR(I882/ABS(J882),"")</x:f>
        <x:v>0.41497385380157936</x:v>
      </x:c>
      <x:c r="M882" s="41" t="n">
        <x:v>6.802475</x:v>
      </x:c>
      <x:c r="N882" s="41" t="n">
        <x:v>-56.473669</x:v>
      </x:c>
      <x:c r="O882" s="41" t="n">
        <x:v>506.057416</x:v>
      </x:c>
      <x:c r="P882" s="41" t="n">
        <x:f>IFERROR(M882/ABS(N882),"")</x:f>
        <x:v>0.12045392340278087</x:v>
      </x:c>
      <x:c r="Q882" s="41" t="str">
        <x:f>IF(L882&gt;=MAX(H882,P882),"Weekly",IF(H882&gt;=MAX(L882,P882),"No weekly","SPY"))</x:f>
        <x:v>Weekly</x:v>
      </x:c>
      <x:c r="R882" s="41" t="n">
        <x:f>IFERROR(L882-P882,"")</x:f>
        <x:v>0.2945199303987985</x:v>
      </x:c>
      <x:c r="S882" s="41" t="n">
        <x:f>IFERROR(H882-P882,"")</x:f>
        <x:v>0.28548151759757817</x:v>
      </x:c>
      <x:c r="T882" s="41" t="n">
        <x:f>IFERROR(I882-M882,"")</x:f>
        <x:v>5.9128870000000004</x:v>
      </x:c>
      <x:c r="U882" s="41" t="n">
        <x:f>IFERROR(E882-M882,"")</x:f>
        <x:v>7.2383049999999995</x:v>
      </x:c>
      <x:c r="V882" s="41" t="str">
        <x:f>IF(AND(I882&gt;M882,J882&gt;N882),"Sí","No")</x:f>
        <x:v>Sí</x:v>
      </x:c>
      <x:c r="W882" s="41" t="str">
        <x:f>IF(AND(E882&gt;M882,F882&gt;N882),"Sí","No")</x:f>
        <x:v>Sí</x:v>
      </x:c>
      <x:c r="X882" s="41" t="str">
        <x:f>IF(L882&gt;=H882,"Weekly","No weekly")</x:f>
        <x:v>Weekly</x:v>
      </x:c>
      <x:c r="Y882" s="41" t="n">
        <x:f>IFERROR(I882-E882,"")</x:f>
        <x:v>-1.325417999999999</x:v>
      </x:c>
      <x:c r="Z882" s="41" t="n">
        <x:f>IFERROR(J882-F882,"")</x:f>
        <x:v>3.9473449999999985</x:v>
      </x:c>
      <x:c r="AA882" s="41" t="n">
        <x:v>11903</x:v>
      </x:c>
      <x:c r="AB882" s="41" t="n">
        <x:v>5368</x:v>
      </x:c>
    </x:row>
    <x:row r="883">
      <x:c r="A883" s="41" t="str">
        <x:v>HYP_REFINE_AUTO002_TOPN_6_V1_DDGRID_LONG_R12_C23_E75_CR45_REDD_RECOVERED_DD7_SL20</x:v>
      </x:c>
      <x:c r="B883" s="41" t="str">
        <x:v>dd_guard_grid</x:v>
      </x:c>
      <x:c r="C883" s="41" t="str">
        <x:v>1999-01-04</x:v>
      </x:c>
      <x:c r="D883" s="41" t="str">
        <x:v>2026-05-22</x:v>
      </x:c>
      <x:c r="E883" s="41" t="n">
        <x:v>13.160089</x:v>
      </x:c>
      <x:c r="F883" s="41" t="n">
        <x:v>-34.417137</x:v>
      </x:c>
      <x:c r="G883" s="41" t="n">
        <x:v>2851.493922</x:v>
      </x:c>
      <x:c r="H883" s="41" t="n">
        <x:f>IFERROR(E883/ABS(F883),"")</x:f>
        <x:v>0.38237024189432145</x:v>
      </x:c>
      <x:c r="I883" s="41" t="n">
        <x:v>13.618471</x:v>
      </x:c>
      <x:c r="J883" s="41" t="n">
        <x:v>-28.821215</x:v>
      </x:c>
      <x:c r="K883" s="41" t="n">
        <x:v>3196.926037</x:v>
      </x:c>
      <x:c r="L883" s="41" t="n">
        <x:f>IFERROR(I883/ABS(J883),"")</x:f>
        <x:v>0.47251550637264944</x:v>
      </x:c>
      <x:c r="M883" s="41" t="n">
        <x:v>6.802475</x:v>
      </x:c>
      <x:c r="N883" s="41" t="n">
        <x:v>-56.473669</x:v>
      </x:c>
      <x:c r="O883" s="41" t="n">
        <x:v>506.057416</x:v>
      </x:c>
      <x:c r="P883" s="41" t="n">
        <x:f>IFERROR(M883/ABS(N883),"")</x:f>
        <x:v>0.12045392340278087</x:v>
      </x:c>
      <x:c r="Q883" s="41" t="str">
        <x:f>IF(L883&gt;=MAX(H883,P883),"Weekly",IF(H883&gt;=MAX(L883,P883),"No weekly","SPY"))</x:f>
        <x:v>Weekly</x:v>
      </x:c>
      <x:c r="R883" s="41" t="n">
        <x:f>IFERROR(L883-P883,"")</x:f>
        <x:v>0.35206158296986856</x:v>
      </x:c>
      <x:c r="S883" s="41" t="n">
        <x:f>IFERROR(H883-P883,"")</x:f>
        <x:v>0.26191631849154057</x:v>
      </x:c>
      <x:c r="T883" s="41" t="n">
        <x:f>IFERROR(I883-M883,"")</x:f>
        <x:v>6.815995999999999</x:v>
      </x:c>
      <x:c r="U883" s="41" t="n">
        <x:f>IFERROR(E883-M883,"")</x:f>
        <x:v>6.357613999999999</x:v>
      </x:c>
      <x:c r="V883" s="41" t="str">
        <x:f>IF(AND(I883&gt;M883,J883&gt;N883),"Sí","No")</x:f>
        <x:v>Sí</x:v>
      </x:c>
      <x:c r="W883" s="41" t="str">
        <x:f>IF(AND(E883&gt;M883,F883&gt;N883),"Sí","No")</x:f>
        <x:v>Sí</x:v>
      </x:c>
      <x:c r="X883" s="41" t="str">
        <x:f>IF(L883&gt;=H883,"Weekly","No weekly")</x:f>
        <x:v>Weekly</x:v>
      </x:c>
      <x:c r="Y883" s="41" t="n">
        <x:f>IFERROR(I883-E883,"")</x:f>
        <x:v>0.4583820000000003</x:v>
      </x:c>
      <x:c r="Z883" s="41" t="n">
        <x:f>IFERROR(J883-F883,"")</x:f>
        <x:v>5.595921999999998</x:v>
      </x:c>
      <x:c r="AA883" s="41" t="n">
        <x:v>11647</x:v>
      </x:c>
      <x:c r="AB883" s="41" t="n">
        <x:v>5713</x:v>
      </x:c>
    </x:row>
    <x:row r="884">
      <x:c r="A884" s="41" t="str">
        <x:v>HYP_REFINE_AUTO002_TOPN_6_V1_DDGRID_LONG_R12_C23_E75_CR45_REDD_RECOVERED_DD8_SL18</x:v>
      </x:c>
      <x:c r="B884" s="41" t="str">
        <x:v>dd_guard_grid</x:v>
      </x:c>
      <x:c r="C884" s="41" t="str">
        <x:v>1999-01-04</x:v>
      </x:c>
      <x:c r="D884" s="41" t="str">
        <x:v>2026-05-22</x:v>
      </x:c>
      <x:c r="E884" s="41" t="n">
        <x:v>12.333845</x:v>
      </x:c>
      <x:c r="F884" s="41" t="n">
        <x:v>-33.471152</x:v>
      </x:c>
      <x:c r="G884" s="41" t="n">
        <x:v>2314.935325</x:v>
      </x:c>
      <x:c r="H884" s="41" t="n">
        <x:f>IFERROR(E884/ABS(F884),"")</x:f>
        <x:v>0.3684917985493897</x:v>
      </x:c>
      <x:c r="I884" s="41" t="n">
        <x:v>13.322819</x:v>
      </x:c>
      <x:c r="J884" s="41" t="n">
        <x:v>-30.051222</x:v>
      </x:c>
      <x:c r="K884" s="41" t="n">
        <x:v>2969.930303</x:v>
      </x:c>
      <x:c r="L884" s="41" t="n">
        <x:f>IFERROR(I884/ABS(J884),"")</x:f>
        <x:v>0.44333701305058415</x:v>
      </x:c>
      <x:c r="M884" s="41" t="n">
        <x:v>6.802475</x:v>
      </x:c>
      <x:c r="N884" s="41" t="n">
        <x:v>-56.473669</x:v>
      </x:c>
      <x:c r="O884" s="41" t="n">
        <x:v>506.057416</x:v>
      </x:c>
      <x:c r="P884" s="41" t="n">
        <x:f>IFERROR(M884/ABS(N884),"")</x:f>
        <x:v>0.12045392340278087</x:v>
      </x:c>
      <x:c r="Q884" s="41" t="str">
        <x:f>IF(L884&gt;=MAX(H884,P884),"Weekly",IF(H884&gt;=MAX(L884,P884),"No weekly","SPY"))</x:f>
        <x:v>Weekly</x:v>
      </x:c>
      <x:c r="R884" s="41" t="n">
        <x:f>IFERROR(L884-P884,"")</x:f>
        <x:v>0.32288308964780327</x:v>
      </x:c>
      <x:c r="S884" s="41" t="n">
        <x:f>IFERROR(H884-P884,"")</x:f>
        <x:v>0.2480378751466088</x:v>
      </x:c>
      <x:c r="T884" s="41" t="n">
        <x:f>IFERROR(I884-M884,"")</x:f>
        <x:v>6.520344000000001</x:v>
      </x:c>
      <x:c r="U884" s="41" t="n">
        <x:f>IFERROR(E884-M884,"")</x:f>
        <x:v>5.53137</x:v>
      </x:c>
      <x:c r="V884" s="41" t="str">
        <x:f>IF(AND(I884&gt;M884,J884&gt;N884),"Sí","No")</x:f>
        <x:v>Sí</x:v>
      </x:c>
      <x:c r="W884" s="41" t="str">
        <x:f>IF(AND(E884&gt;M884,F884&gt;N884),"Sí","No")</x:f>
        <x:v>Sí</x:v>
      </x:c>
      <x:c r="X884" s="41" t="str">
        <x:f>IF(L884&gt;=H884,"Weekly","No weekly")</x:f>
        <x:v>Weekly</x:v>
      </x:c>
      <x:c r="Y884" s="41" t="n">
        <x:f>IFERROR(I884-E884,"")</x:f>
        <x:v>0.9889740000000007</x:v>
      </x:c>
      <x:c r="Z884" s="41" t="n">
        <x:f>IFERROR(J884-F884,"")</x:f>
        <x:v>3.4199299999999972</x:v>
      </x:c>
      <x:c r="AA884" s="41" t="n">
        <x:v>11499</x:v>
      </x:c>
      <x:c r="AB884" s="41" t="n">
        <x:v>5647</x:v>
      </x:c>
    </x:row>
    <x:row r="885">
      <x:c r="A885" s="41" t="str">
        <x:v>HYP_REFINE_AUTO002_TOPN_6_V1_DDGRID_LONG_R12_C23_E75_CR45_REDD_RECOVERED_DD8_SL20</x:v>
      </x:c>
      <x:c r="B885" s="41" t="str">
        <x:v>dd_guard_grid</x:v>
      </x:c>
      <x:c r="C885" s="41" t="str">
        <x:v>1999-01-04</x:v>
      </x:c>
      <x:c r="D885" s="41" t="str">
        <x:v>2026-05-22</x:v>
      </x:c>
      <x:c r="E885" s="41" t="n">
        <x:v>13.144285</x:v>
      </x:c>
      <x:c r="F885" s="41" t="n">
        <x:v>-34.417137</x:v>
      </x:c>
      <x:c r="G885" s="41" t="n">
        <x:v>2840.229291</x:v>
      </x:c>
      <x:c r="H885" s="41" t="n">
        <x:f>IFERROR(E885/ABS(F885),"")</x:f>
        <x:v>0.38191105204363746</x:v>
      </x:c>
      <x:c r="I885" s="41" t="n">
        <x:v>14.007761</x:v>
      </x:c>
      <x:c r="J885" s="41" t="n">
        <x:v>-28.821215</x:v>
      </x:c>
      <x:c r="K885" s="41" t="n">
        <x:v>3520.590225</x:v>
      </x:c>
      <x:c r="L885" s="41" t="n">
        <x:f>IFERROR(I885/ABS(J885),"")</x:f>
        <x:v>0.4860225705266069</x:v>
      </x:c>
      <x:c r="M885" s="41" t="n">
        <x:v>6.802475</x:v>
      </x:c>
      <x:c r="N885" s="41" t="n">
        <x:v>-56.473669</x:v>
      </x:c>
      <x:c r="O885" s="41" t="n">
        <x:v>506.057416</x:v>
      </x:c>
      <x:c r="P885" s="41" t="n">
        <x:f>IFERROR(M885/ABS(N885),"")</x:f>
        <x:v>0.12045392340278087</x:v>
      </x:c>
      <x:c r="Q885" s="41" t="str">
        <x:f>IF(L885&gt;=MAX(H885,P885),"Weekly",IF(H885&gt;=MAX(L885,P885),"No weekly","SPY"))</x:f>
        <x:v>Weekly</x:v>
      </x:c>
      <x:c r="R885" s="41" t="n">
        <x:f>IFERROR(L885-P885,"")</x:f>
        <x:v>0.36556864712382603</x:v>
      </x:c>
      <x:c r="S885" s="41" t="n">
        <x:f>IFERROR(H885-P885,"")</x:f>
        <x:v>0.2614571286408566</x:v>
      </x:c>
      <x:c r="T885" s="41" t="n">
        <x:f>IFERROR(I885-M885,"")</x:f>
        <x:v>7.205286</x:v>
      </x:c>
      <x:c r="U885" s="41" t="n">
        <x:f>IFERROR(E885-M885,"")</x:f>
        <x:v>6.34181</x:v>
      </x:c>
      <x:c r="V885" s="41" t="str">
        <x:f>IF(AND(I885&gt;M885,J885&gt;N885),"Sí","No")</x:f>
        <x:v>Sí</x:v>
      </x:c>
      <x:c r="W885" s="41" t="str">
        <x:f>IF(AND(E885&gt;M885,F885&gt;N885),"Sí","No")</x:f>
        <x:v>Sí</x:v>
      </x:c>
      <x:c r="X885" s="41" t="str">
        <x:f>IF(L885&gt;=H885,"Weekly","No weekly")</x:f>
        <x:v>Weekly</x:v>
      </x:c>
      <x:c r="Y885" s="41" t="n">
        <x:f>IFERROR(I885-E885,"")</x:f>
        <x:v>0.8634760000000004</x:v>
      </x:c>
      <x:c r="Z885" s="41" t="n">
        <x:f>IFERROR(J885-F885,"")</x:f>
        <x:v>5.595921999999998</x:v>
      </x:c>
      <x:c r="AA885" s="41" t="n">
        <x:v>11421</x:v>
      </x:c>
      <x:c r="AB885" s="41" t="n">
        <x:v>5548</x:v>
      </x:c>
    </x:row>
    <x:row r="886">
      <x:c r="A886" s="41" t="str">
        <x:v>HYP_REFINE_AUTO002_TOPN_6_V1_DDGRID_LONG_R12_C23_E75_CR45_REDD_RECOVERED_DD8_SL22</x:v>
      </x:c>
      <x:c r="B886" s="41" t="str">
        <x:v>dd_guard_grid</x:v>
      </x:c>
      <x:c r="C886" s="41" t="str">
        <x:v>1999-01-04</x:v>
      </x:c>
      <x:c r="D886" s="41" t="str">
        <x:v>2026-05-22</x:v>
      </x:c>
      <x:c r="E886" s="41" t="n">
        <x:v>14.367328</x:v>
      </x:c>
      <x:c r="F886" s="41" t="n">
        <x:v>-34.944032</x:v>
      </x:c>
      <x:c r="G886" s="41" t="n">
        <x:v>3846.581758</x:v>
      </x:c>
      <x:c r="H886" s="41" t="n">
        <x:f>IFERROR(E886/ABS(F886),"")</x:f>
        <x:v>0.4111525538896027</x:v>
      </x:c>
      <x:c r="I886" s="41" t="n">
        <x:v>14.123181</x:v>
      </x:c>
      <x:c r="J886" s="41" t="n">
        <x:v>-30.07725</x:v>
      </x:c>
      <x:c r="K886" s="41" t="n">
        <x:v>3622.295608</x:v>
      </x:c>
      <x:c r="L886" s="41" t="n">
        <x:f>IFERROR(I886/ABS(J886),"")</x:f>
        <x:v>0.46956357379747155</x:v>
      </x:c>
      <x:c r="M886" s="41" t="n">
        <x:v>6.802475</x:v>
      </x:c>
      <x:c r="N886" s="41" t="n">
        <x:v>-56.473669</x:v>
      </x:c>
      <x:c r="O886" s="41" t="n">
        <x:v>506.057416</x:v>
      </x:c>
      <x:c r="P886" s="41" t="n">
        <x:f>IFERROR(M886/ABS(N886),"")</x:f>
        <x:v>0.12045392340278087</x:v>
      </x:c>
      <x:c r="Q886" s="41" t="str">
        <x:f>IF(L886&gt;=MAX(H886,P886),"Weekly",IF(H886&gt;=MAX(L886,P886),"No weekly","SPY"))</x:f>
        <x:v>Weekly</x:v>
      </x:c>
      <x:c r="R886" s="41" t="n">
        <x:f>IFERROR(L886-P886,"")</x:f>
        <x:v>0.34910965039469066</x:v>
      </x:c>
      <x:c r="S886" s="41" t="n">
        <x:f>IFERROR(H886-P886,"")</x:f>
        <x:v>0.2906986304868218</x:v>
      </x:c>
      <x:c r="T886" s="41" t="n">
        <x:f>IFERROR(I886-M886,"")</x:f>
        <x:v>7.320706</x:v>
      </x:c>
      <x:c r="U886" s="41" t="n">
        <x:f>IFERROR(E886-M886,"")</x:f>
        <x:v>7.564853</x:v>
      </x:c>
      <x:c r="V886" s="41" t="str">
        <x:f>IF(AND(I886&gt;M886,J886&gt;N886),"Sí","No")</x:f>
        <x:v>Sí</x:v>
      </x:c>
      <x:c r="W886" s="41" t="str">
        <x:f>IF(AND(E886&gt;M886,F886&gt;N886),"Sí","No")</x:f>
        <x:v>Sí</x:v>
      </x:c>
      <x:c r="X886" s="41" t="str">
        <x:f>IF(L886&gt;=H886,"Weekly","No weekly")</x:f>
        <x:v>Weekly</x:v>
      </x:c>
      <x:c r="Y886" s="41" t="n">
        <x:f>IFERROR(I886-E886,"")</x:f>
        <x:v>-0.2441469999999999</x:v>
      </x:c>
      <x:c r="Z886" s="41" t="n">
        <x:f>IFERROR(J886-F886,"")</x:f>
        <x:v>4.866782000000001</x:v>
      </x:c>
      <x:c r="AA886" s="41" t="n">
        <x:v>11535</x:v>
      </x:c>
      <x:c r="AB886" s="41" t="n">
        <x:v>5328</x:v>
      </x:c>
    </x:row>
    <x:row r="887">
      <x:c r="A887" s="41" t="str">
        <x:v>HYP_REFINE_AUTO002_TOPN_6_V1_DDGRID_LONG_R12_C23_E75_CR45_REDD_RECOVERED_DD9_SL20</x:v>
      </x:c>
      <x:c r="B887" s="41" t="str">
        <x:v>dd_guard_grid</x:v>
      </x:c>
      <x:c r="C887" s="41" t="str">
        <x:v>1999-01-04</x:v>
      </x:c>
      <x:c r="D887" s="41" t="str">
        <x:v>2026-05-22</x:v>
      </x:c>
      <x:c r="E887" s="41" t="n">
        <x:v>13.010802</x:v>
      </x:c>
      <x:c r="F887" s="41" t="n">
        <x:v>-34.417137</x:v>
      </x:c>
      <x:c r="G887" s="41" t="n">
        <x:v>2746.722532</x:v>
      </x:c>
      <x:c r="H887" s="41" t="n">
        <x:f>IFERROR(E887/ABS(F887),"")</x:f>
        <x:v>0.3780326643671727</x:v>
      </x:c>
      <x:c r="I887" s="41" t="n">
        <x:v>13.945456</x:v>
      </x:c>
      <x:c r="J887" s="41" t="n">
        <x:v>-28.821215</x:v>
      </x:c>
      <x:c r="K887" s="41" t="n">
        <x:v>3466.806124</x:v>
      </x:c>
      <x:c r="L887" s="41" t="n">
        <x:f>IFERROR(I887/ABS(J887),"")</x:f>
        <x:v>0.48386079490403167</x:v>
      </x:c>
      <x:c r="M887" s="41" t="n">
        <x:v>6.802475</x:v>
      </x:c>
      <x:c r="N887" s="41" t="n">
        <x:v>-56.473669</x:v>
      </x:c>
      <x:c r="O887" s="41" t="n">
        <x:v>506.057416</x:v>
      </x:c>
      <x:c r="P887" s="41" t="n">
        <x:f>IFERROR(M887/ABS(N887),"")</x:f>
        <x:v>0.12045392340278087</x:v>
      </x:c>
      <x:c r="Q887" s="41" t="str">
        <x:f>IF(L887&gt;=MAX(H887,P887),"Weekly",IF(H887&gt;=MAX(L887,P887),"No weekly","SPY"))</x:f>
        <x:v>Weekly</x:v>
      </x:c>
      <x:c r="R887" s="41" t="n">
        <x:f>IFERROR(L887-P887,"")</x:f>
        <x:v>0.3634068715012508</x:v>
      </x:c>
      <x:c r="S887" s="41" t="n">
        <x:f>IFERROR(H887-P887,"")</x:f>
        <x:v>0.2575787409643918</x:v>
      </x:c>
      <x:c r="T887" s="41" t="n">
        <x:f>IFERROR(I887-M887,"")</x:f>
        <x:v>7.142981</x:v>
      </x:c>
      <x:c r="U887" s="41" t="n">
        <x:f>IFERROR(E887-M887,"")</x:f>
        <x:v>6.208327</x:v>
      </x:c>
      <x:c r="V887" s="41" t="str">
        <x:f>IF(AND(I887&gt;M887,J887&gt;N887),"Sí","No")</x:f>
        <x:v>Sí</x:v>
      </x:c>
      <x:c r="W887" s="41" t="str">
        <x:f>IF(AND(E887&gt;M887,F887&gt;N887),"Sí","No")</x:f>
        <x:v>Sí</x:v>
      </x:c>
      <x:c r="X887" s="41" t="str">
        <x:f>IF(L887&gt;=H887,"Weekly","No weekly")</x:f>
        <x:v>Weekly</x:v>
      </x:c>
      <x:c r="Y887" s="41" t="n">
        <x:f>IFERROR(I887-E887,"")</x:f>
        <x:v>0.9346540000000001</x:v>
      </x:c>
      <x:c r="Z887" s="41" t="n">
        <x:f>IFERROR(J887-F887,"")</x:f>
        <x:v>5.595921999999998</x:v>
      </x:c>
      <x:c r="AA887" s="41" t="n">
        <x:v>11280</x:v>
      </x:c>
      <x:c r="AB887" s="41" t="n">
        <x:v>5500</x:v>
      </x:c>
    </x:row>
    <x:row r="888">
      <x:c r="A888" s="41" t="str">
        <x:v>HYP_REFINE_AUTO002_TOPN_6_V1_DDGRID_LONG_R12_C23_E75_CR50_REDD_RECOVERED_DD8_SL22</x:v>
      </x:c>
      <x:c r="B888" s="41" t="str">
        <x:v>dd_guard_grid</x:v>
      </x:c>
      <x:c r="C888" s="41" t="str">
        <x:v>1999-01-04</x:v>
      </x:c>
      <x:c r="D888" s="41" t="str">
        <x:v>2026-05-22</x:v>
      </x:c>
      <x:c r="E888" s="41" t="n">
        <x:v>14.249521</x:v>
      </x:c>
      <x:c r="F888" s="41" t="n">
        <x:v>-36.111176</x:v>
      </x:c>
      <x:c r="G888" s="41" t="n">
        <x:v>3736.77925</x:v>
      </x:c>
      <x:c r="H888" s="41" t="n">
        <x:f>IFERROR(E888/ABS(F888),"")</x:f>
        <x:v>0.3946014109316185</x:v>
      </x:c>
      <x:c r="I888" s="41" t="n">
        <x:v>15.061449</x:v>
      </x:c>
      <x:c r="J888" s="41" t="n">
        <x:v>-29.27349</x:v>
      </x:c>
      <x:c r="K888" s="41" t="n">
        <x:v>4557.662753</x:v>
      </x:c>
      <x:c r="L888" s="41" t="n">
        <x:f>IFERROR(I888/ABS(J888),"")</x:f>
        <x:v>0.5145081437163795</x:v>
      </x:c>
      <x:c r="M888" s="41" t="n">
        <x:v>6.802475</x:v>
      </x:c>
      <x:c r="N888" s="41" t="n">
        <x:v>-56.473669</x:v>
      </x:c>
      <x:c r="O888" s="41" t="n">
        <x:v>506.057416</x:v>
      </x:c>
      <x:c r="P888" s="41" t="n">
        <x:f>IFERROR(M888/ABS(N888),"")</x:f>
        <x:v>0.12045392340278087</x:v>
      </x:c>
      <x:c r="Q888" s="41" t="str">
        <x:f>IF(L888&gt;=MAX(H888,P888),"Weekly",IF(H888&gt;=MAX(L888,P888),"No weekly","SPY"))</x:f>
        <x:v>Weekly</x:v>
      </x:c>
      <x:c r="R888" s="41" t="n">
        <x:f>IFERROR(L888-P888,"")</x:f>
        <x:v>0.39405422031359866</x:v>
      </x:c>
      <x:c r="S888" s="41" t="n">
        <x:f>IFERROR(H888-P888,"")</x:f>
        <x:v>0.2741474875288376</x:v>
      </x:c>
      <x:c r="T888" s="41" t="n">
        <x:f>IFERROR(I888-M888,"")</x:f>
        <x:v>8.258973999999998</x:v>
      </x:c>
      <x:c r="U888" s="41" t="n">
        <x:f>IFERROR(E888-M888,"")</x:f>
        <x:v>7.447045999999999</x:v>
      </x:c>
      <x:c r="V888" s="41" t="str">
        <x:f>IF(AND(I888&gt;M888,J888&gt;N888),"Sí","No")</x:f>
        <x:v>Sí</x:v>
      </x:c>
      <x:c r="W888" s="41" t="str">
        <x:f>IF(AND(E888&gt;M888,F888&gt;N888),"Sí","No")</x:f>
        <x:v>Sí</x:v>
      </x:c>
      <x:c r="X888" s="41" t="str">
        <x:f>IF(L888&gt;=H888,"Weekly","No weekly")</x:f>
        <x:v>Weekly</x:v>
      </x:c>
      <x:c r="Y888" s="41" t="n">
        <x:f>IFERROR(I888-E888,"")</x:f>
        <x:v>0.811928</x:v>
      </x:c>
      <x:c r="Z888" s="41" t="n">
        <x:f>IFERROR(J888-F888,"")</x:f>
        <x:v>6.8376860000000015</x:v>
      </x:c>
      <x:c r="AA888" s="41" t="n">
        <x:v>11037</x:v>
      </x:c>
      <x:c r="AB888" s="41" t="n">
        <x:v>5378</x:v>
      </x:c>
    </x:row>
    <x:row r="889">
      <x:c r="A889" s="41" t="str">
        <x:v>HYP_REFINE_AUTO002_TOPN_6_V1_DDGRID_LONG_R12_C23_E78_CR40_REDD_RECOVERED_DD7_SL18</x:v>
      </x:c>
      <x:c r="B889" s="41" t="str">
        <x:v>dd_guard_grid</x:v>
      </x:c>
      <x:c r="C889" s="41" t="str">
        <x:v>1999-01-04</x:v>
      </x:c>
      <x:c r="D889" s="41" t="str">
        <x:v>2026-05-22</x:v>
      </x:c>
      <x:c r="E889" s="41" t="n">
        <x:v>12.210589</x:v>
      </x:c>
      <x:c r="F889" s="41" t="n">
        <x:v>-32.702913</x:v>
      </x:c>
      <x:c r="G889" s="41" t="n">
        <x:v>2243.429627</x:v>
      </x:c>
      <x:c r="H889" s="41" t="n">
        <x:f>IFERROR(E889/ABS(F889),"")</x:f>
        <x:v>0.3733792460628813</x:v>
      </x:c>
      <x:c r="I889" s="41" t="n">
        <x:v>13.115673</x:v>
      </x:c>
      <x:c r="J889" s="41" t="n">
        <x:v>-28.762816</x:v>
      </x:c>
      <x:c r="K889" s="41" t="n">
        <x:v>2819.940077</x:v>
      </x:c>
      <x:c r="L889" s="41" t="n">
        <x:f>IFERROR(I889/ABS(J889),"")</x:f>
        <x:v>0.4559940514864747</x:v>
      </x:c>
      <x:c r="M889" s="41" t="n">
        <x:v>6.802475</x:v>
      </x:c>
      <x:c r="N889" s="41" t="n">
        <x:v>-56.473669</x:v>
      </x:c>
      <x:c r="O889" s="41" t="n">
        <x:v>506.057416</x:v>
      </x:c>
      <x:c r="P889" s="41" t="n">
        <x:f>IFERROR(M889/ABS(N889),"")</x:f>
        <x:v>0.12045392340278087</x:v>
      </x:c>
      <x:c r="Q889" s="41" t="str">
        <x:f>IF(L889&gt;=MAX(H889,P889),"Weekly",IF(H889&gt;=MAX(L889,P889),"No weekly","SPY"))</x:f>
        <x:v>Weekly</x:v>
      </x:c>
      <x:c r="R889" s="41" t="n">
        <x:f>IFERROR(L889-P889,"")</x:f>
        <x:v>0.3355401280836938</x:v>
      </x:c>
      <x:c r="S889" s="41" t="n">
        <x:f>IFERROR(H889-P889,"")</x:f>
        <x:v>0.2529253226601004</x:v>
      </x:c>
      <x:c r="T889" s="41" t="n">
        <x:f>IFERROR(I889-M889,"")</x:f>
        <x:v>6.313197999999999</x:v>
      </x:c>
      <x:c r="U889" s="41" t="n">
        <x:f>IFERROR(E889-M889,"")</x:f>
        <x:v>5.408114</x:v>
      </x:c>
      <x:c r="V889" s="41" t="str">
        <x:f>IF(AND(I889&gt;M889,J889&gt;N889),"Sí","No")</x:f>
        <x:v>Sí</x:v>
      </x:c>
      <x:c r="W889" s="41" t="str">
        <x:f>IF(AND(E889&gt;M889,F889&gt;N889),"Sí","No")</x:f>
        <x:v>Sí</x:v>
      </x:c>
      <x:c r="X889" s="41" t="str">
        <x:f>IF(L889&gt;=H889,"Weekly","No weekly")</x:f>
        <x:v>Weekly</x:v>
      </x:c>
      <x:c r="Y889" s="41" t="n">
        <x:f>IFERROR(I889-E889,"")</x:f>
        <x:v>0.9050839999999987</x:v>
      </x:c>
      <x:c r="Z889" s="41" t="n">
        <x:f>IFERROR(J889-F889,"")</x:f>
        <x:v>3.9400970000000015</x:v>
      </x:c>
      <x:c r="AA889" s="41" t="n">
        <x:v>11384</x:v>
      </x:c>
      <x:c r="AB889" s="41" t="n">
        <x:v>6003</x:v>
      </x:c>
    </x:row>
    <x:row r="890">
      <x:c r="A890" s="41" t="str">
        <x:v>HYP_REFINE_AUTO002_TOPN_6_V1_DDGRID_LONG_R12_C23_E78_CR40_REDD_RECOVERED_DD7_SL22</x:v>
      </x:c>
      <x:c r="B890" s="41" t="str">
        <x:v>dd_guard_grid</x:v>
      </x:c>
      <x:c r="C890" s="41" t="str">
        <x:v>1999-01-04</x:v>
      </x:c>
      <x:c r="D890" s="41" t="str">
        <x:v>2026-05-22</x:v>
      </x:c>
      <x:c r="E890" s="41" t="n">
        <x:v>12.93352</x:v>
      </x:c>
      <x:c r="F890" s="41" t="n">
        <x:v>-33.192721</x:v>
      </x:c>
      <x:c r="G890" s="41" t="n">
        <x:v>2693.902353</x:v>
      </x:c>
      <x:c r="H890" s="41" t="n">
        <x:f>IFERROR(E890/ABS(F890),"")</x:f>
        <x:v>0.3896492848537485</x:v>
      </x:c>
      <x:c r="I890" s="41" t="n">
        <x:v>12.452251</x:v>
      </x:c>
      <x:c r="J890" s="41" t="n">
        <x:v>-30.628532</x:v>
      </x:c>
      <x:c r="K890" s="41" t="n">
        <x:v>2385.604209</x:v>
      </x:c>
      <x:c r="L890" s="41" t="n">
        <x:f>IFERROR(I890/ABS(J890),"")</x:f>
        <x:v>0.40655722579195114</x:v>
      </x:c>
      <x:c r="M890" s="41" t="n">
        <x:v>6.802475</x:v>
      </x:c>
      <x:c r="N890" s="41" t="n">
        <x:v>-56.473669</x:v>
      </x:c>
      <x:c r="O890" s="41" t="n">
        <x:v>506.057416</x:v>
      </x:c>
      <x:c r="P890" s="41" t="n">
        <x:f>IFERROR(M890/ABS(N890),"")</x:f>
        <x:v>0.12045392340278087</x:v>
      </x:c>
      <x:c r="Q890" s="41" t="str">
        <x:f>IF(L890&gt;=MAX(H890,P890),"Weekly",IF(H890&gt;=MAX(L890,P890),"No weekly","SPY"))</x:f>
        <x:v>Weekly</x:v>
      </x:c>
      <x:c r="R890" s="41" t="n">
        <x:f>IFERROR(L890-P890,"")</x:f>
        <x:v>0.28610330238917026</x:v>
      </x:c>
      <x:c r="S890" s="41" t="n">
        <x:f>IFERROR(H890-P890,"")</x:f>
        <x:v>0.2691953614509676</x:v>
      </x:c>
      <x:c r="T890" s="41" t="n">
        <x:f>IFERROR(I890-M890,"")</x:f>
        <x:v>5.649776</x:v>
      </x:c>
      <x:c r="U890" s="41" t="n">
        <x:f>IFERROR(E890-M890,"")</x:f>
        <x:v>6.131044999999999</x:v>
      </x:c>
      <x:c r="V890" s="41" t="str">
        <x:f>IF(AND(I890&gt;M890,J890&gt;N890),"Sí","No")</x:f>
        <x:v>Sí</x:v>
      </x:c>
      <x:c r="W890" s="41" t="str">
        <x:f>IF(AND(E890&gt;M890,F890&gt;N890),"Sí","No")</x:f>
        <x:v>Sí</x:v>
      </x:c>
      <x:c r="X890" s="41" t="str">
        <x:f>IF(L890&gt;=H890,"Weekly","No weekly")</x:f>
        <x:v>Weekly</x:v>
      </x:c>
      <x:c r="Y890" s="41" t="n">
        <x:f>IFERROR(I890-E890,"")</x:f>
        <x:v>-0.4812689999999993</x:v>
      </x:c>
      <x:c r="Z890" s="41" t="n">
        <x:f>IFERROR(J890-F890,"")</x:f>
        <x:v>2.564188999999999</x:v>
      </x:c>
      <x:c r="AA890" s="41" t="n">
        <x:v>12188</x:v>
      </x:c>
      <x:c r="AB890" s="41" t="n">
        <x:v>6182</x:v>
      </x:c>
    </x:row>
    <x:row r="891">
      <x:c r="A891" s="41" t="str">
        <x:v>HYP_REFINE_AUTO002_TOPN_6_V1_DDGRID_LONG_R12_C23_E78_CR40_REDD_RECOVERED_DD8_SL18</x:v>
      </x:c>
      <x:c r="B891" s="41" t="str">
        <x:v>dd_guard_grid</x:v>
      </x:c>
      <x:c r="C891" s="41" t="str">
        <x:v>1999-01-04</x:v>
      </x:c>
      <x:c r="D891" s="41" t="str">
        <x:v>2026-05-22</x:v>
      </x:c>
      <x:c r="E891" s="41" t="n">
        <x:v>12.409821</x:v>
      </x:c>
      <x:c r="F891" s="41" t="n">
        <x:v>-32.702913</x:v>
      </x:c>
      <x:c r="G891" s="41" t="n">
        <x:v>2360.054519</x:v>
      </x:c>
      <x:c r="H891" s="41" t="n">
        <x:f>IFERROR(E891/ABS(F891),"")</x:f>
        <x:v>0.3794714250684641</x:v>
      </x:c>
      <x:c r="I891" s="41" t="n">
        <x:v>12.867403</x:v>
      </x:c>
      <x:c r="J891" s="41" t="n">
        <x:v>-28.762816</x:v>
      </x:c>
      <x:c r="K891" s="41" t="n">
        <x:v>2649.463758</x:v>
      </x:c>
      <x:c r="L891" s="41" t="n">
        <x:f>IFERROR(I891/ABS(J891),"")</x:f>
        <x:v>0.4473624209813114</x:v>
      </x:c>
      <x:c r="M891" s="41" t="n">
        <x:v>6.802475</x:v>
      </x:c>
      <x:c r="N891" s="41" t="n">
        <x:v>-56.473669</x:v>
      </x:c>
      <x:c r="O891" s="41" t="n">
        <x:v>506.057416</x:v>
      </x:c>
      <x:c r="P891" s="41" t="n">
        <x:f>IFERROR(M891/ABS(N891),"")</x:f>
        <x:v>0.12045392340278087</x:v>
      </x:c>
      <x:c r="Q891" s="41" t="str">
        <x:f>IF(L891&gt;=MAX(H891,P891),"Weekly",IF(H891&gt;=MAX(L891,P891),"No weekly","SPY"))</x:f>
        <x:v>Weekly</x:v>
      </x:c>
      <x:c r="R891" s="41" t="n">
        <x:f>IFERROR(L891-P891,"")</x:f>
        <x:v>0.3269084975785305</x:v>
      </x:c>
      <x:c r="S891" s="41" t="n">
        <x:f>IFERROR(H891-P891,"")</x:f>
        <x:v>0.2590175016656832</x:v>
      </x:c>
      <x:c r="T891" s="41" t="n">
        <x:f>IFERROR(I891-M891,"")</x:f>
        <x:v>6.064927999999999</x:v>
      </x:c>
      <x:c r="U891" s="41" t="n">
        <x:f>IFERROR(E891-M891,"")</x:f>
        <x:v>5.607346000000001</x:v>
      </x:c>
      <x:c r="V891" s="41" t="str">
        <x:f>IF(AND(I891&gt;M891,J891&gt;N891),"Sí","No")</x:f>
        <x:v>Sí</x:v>
      </x:c>
      <x:c r="W891" s="41" t="str">
        <x:f>IF(AND(E891&gt;M891,F891&gt;N891),"Sí","No")</x:f>
        <x:v>Sí</x:v>
      </x:c>
      <x:c r="X891" s="41" t="str">
        <x:f>IF(L891&gt;=H891,"Weekly","No weekly")</x:f>
        <x:v>Weekly</x:v>
      </x:c>
      <x:c r="Y891" s="41" t="n">
        <x:f>IFERROR(I891-E891,"")</x:f>
        <x:v>0.4575819999999986</x:v>
      </x:c>
      <x:c r="Z891" s="41" t="n">
        <x:f>IFERROR(J891-F891,"")</x:f>
        <x:v>3.9400970000000015</x:v>
      </x:c>
      <x:c r="AA891" s="41" t="n">
        <x:v>11480</x:v>
      </x:c>
      <x:c r="AB891" s="41" t="n">
        <x:v>5866</x:v>
      </x:c>
    </x:row>
    <x:row r="892">
      <x:c r="A892" s="41" t="str">
        <x:v>HYP_REFINE_AUTO002_TOPN_6_V1_DDGRID_LONG_R12_C23_E78_CR40_REDD_RECOVERED_DD8_SL20</x:v>
      </x:c>
      <x:c r="B892" s="41" t="str">
        <x:v>dd_guard_grid</x:v>
      </x:c>
      <x:c r="C892" s="41" t="str">
        <x:v>1999-01-04</x:v>
      </x:c>
      <x:c r="D892" s="41" t="str">
        <x:v>2026-05-22</x:v>
      </x:c>
      <x:c r="E892" s="41" t="n">
        <x:v>12.907427</x:v>
      </x:c>
      <x:c r="F892" s="41" t="n">
        <x:v>-34.299764</x:v>
      </x:c>
      <x:c r="G892" s="41" t="n">
        <x:v>2676.28254</x:v>
      </x:c>
      <x:c r="H892" s="41" t="n">
        <x:f>IFERROR(E892/ABS(F892),"")</x:f>
        <x:v>0.3763124142778358</x:v>
      </x:c>
      <x:c r="I892" s="41" t="n">
        <x:v>12.821218</x:v>
      </x:c>
      <x:c r="J892" s="41" t="n">
        <x:v>-31.225085</x:v>
      </x:c>
      <x:c r="K892" s="41" t="n">
        <x:v>2618.826438</x:v>
      </x:c>
      <x:c r="L892" s="41" t="n">
        <x:f>IFERROR(I892/ABS(J892),"")</x:f>
        <x:v>0.41060634422612463</x:v>
      </x:c>
      <x:c r="M892" s="41" t="n">
        <x:v>6.802475</x:v>
      </x:c>
      <x:c r="N892" s="41" t="n">
        <x:v>-56.473669</x:v>
      </x:c>
      <x:c r="O892" s="41" t="n">
        <x:v>506.057416</x:v>
      </x:c>
      <x:c r="P892" s="41" t="n">
        <x:f>IFERROR(M892/ABS(N892),"")</x:f>
        <x:v>0.12045392340278087</x:v>
      </x:c>
      <x:c r="Q892" s="41" t="str">
        <x:f>IF(L892&gt;=MAX(H892,P892),"Weekly",IF(H892&gt;=MAX(L892,P892),"No weekly","SPY"))</x:f>
        <x:v>Weekly</x:v>
      </x:c>
      <x:c r="R892" s="41" t="n">
        <x:f>IFERROR(L892-P892,"")</x:f>
        <x:v>0.29015242082334375</x:v>
      </x:c>
      <x:c r="S892" s="41" t="n">
        <x:f>IFERROR(H892-P892,"")</x:f>
        <x:v>0.2558584908750549</x:v>
      </x:c>
      <x:c r="T892" s="41" t="n">
        <x:f>IFERROR(I892-M892,"")</x:f>
        <x:v>6.018743</x:v>
      </x:c>
      <x:c r="U892" s="41" t="n">
        <x:f>IFERROR(E892-M892,"")</x:f>
        <x:v>6.104952</x:v>
      </x:c>
      <x:c r="V892" s="41" t="str">
        <x:f>IF(AND(I892&gt;M892,J892&gt;N892),"Sí","No")</x:f>
        <x:v>Sí</x:v>
      </x:c>
      <x:c r="W892" s="41" t="str">
        <x:f>IF(AND(E892&gt;M892,F892&gt;N892),"Sí","No")</x:f>
        <x:v>Sí</x:v>
      </x:c>
      <x:c r="X892" s="41" t="str">
        <x:f>IF(L892&gt;=H892,"Weekly","No weekly")</x:f>
        <x:v>Weekly</x:v>
      </x:c>
      <x:c r="Y892" s="41" t="n">
        <x:f>IFERROR(I892-E892,"")</x:f>
        <x:v>-0.0862090000000002</x:v>
      </x:c>
      <x:c r="Z892" s="41" t="n">
        <x:f>IFERROR(J892-F892,"")</x:f>
        <x:v>3.0746790000000033</x:v>
      </x:c>
      <x:c r="AA892" s="41" t="n">
        <x:v>11605</x:v>
      </x:c>
      <x:c r="AB892" s="41" t="n">
        <x:v>6105</x:v>
      </x:c>
    </x:row>
    <x:row r="893">
      <x:c r="A893" s="41" t="str">
        <x:v>HYP_REFINE_AUTO002_TOPN_6_V1_DDGRID_LONG_R12_C23_E78_CR40_REDD_RECOVERED_DD8_SL22</x:v>
      </x:c>
      <x:c r="B893" s="41" t="str">
        <x:v>dd_guard_grid</x:v>
      </x:c>
      <x:c r="C893" s="41" t="str">
        <x:v>1999-01-04</x:v>
      </x:c>
      <x:c r="D893" s="41" t="str">
        <x:v>2026-05-22</x:v>
      </x:c>
      <x:c r="E893" s="41" t="n">
        <x:v>12.992635</x:v>
      </x:c>
      <x:c r="F893" s="41" t="n">
        <x:v>-33.193524</x:v>
      </x:c>
      <x:c r="G893" s="41" t="n">
        <x:v>2734.219921</x:v>
      </x:c>
      <x:c r="H893" s="41" t="n">
        <x:f>IFERROR(E893/ABS(F893),"")</x:f>
        <x:v>0.3914207783421851</x:v>
      </x:c>
      <x:c r="I893" s="41" t="n">
        <x:v>12.729609</x:v>
      </x:c>
      <x:c r="J893" s="41" t="n">
        <x:v>-30.628532</x:v>
      </x:c>
      <x:c r="K893" s="41" t="n">
        <x:v>2559.027627</x:v>
      </x:c>
      <x:c r="L893" s="41" t="n">
        <x:f>IFERROR(I893/ABS(J893),"")</x:f>
        <x:v>0.4156127691656917</x:v>
      </x:c>
      <x:c r="M893" s="41" t="n">
        <x:v>6.802475</x:v>
      </x:c>
      <x:c r="N893" s="41" t="n">
        <x:v>-56.473669</x:v>
      </x:c>
      <x:c r="O893" s="41" t="n">
        <x:v>506.057416</x:v>
      </x:c>
      <x:c r="P893" s="41" t="n">
        <x:f>IFERROR(M893/ABS(N893),"")</x:f>
        <x:v>0.12045392340278087</x:v>
      </x:c>
      <x:c r="Q893" s="41" t="str">
        <x:f>IF(L893&gt;=MAX(H893,P893),"Weekly",IF(H893&gt;=MAX(L893,P893),"No weekly","SPY"))</x:f>
        <x:v>Weekly</x:v>
      </x:c>
      <x:c r="R893" s="41" t="n">
        <x:f>IFERROR(L893-P893,"")</x:f>
        <x:v>0.2951588457629108</x:v>
      </x:c>
      <x:c r="S893" s="41" t="n">
        <x:f>IFERROR(H893-P893,"")</x:f>
        <x:v>0.2709668549394042</x:v>
      </x:c>
      <x:c r="T893" s="41" t="n">
        <x:f>IFERROR(I893-M893,"")</x:f>
        <x:v>5.927134</x:v>
      </x:c>
      <x:c r="U893" s="41" t="n">
        <x:f>IFERROR(E893-M893,"")</x:f>
        <x:v>6.19016</x:v>
      </x:c>
      <x:c r="V893" s="41" t="str">
        <x:f>IF(AND(I893&gt;M893,J893&gt;N893),"Sí","No")</x:f>
        <x:v>Sí</x:v>
      </x:c>
      <x:c r="W893" s="41" t="str">
        <x:f>IF(AND(E893&gt;M893,F893&gt;N893),"Sí","No")</x:f>
        <x:v>Sí</x:v>
      </x:c>
      <x:c r="X893" s="41" t="str">
        <x:f>IF(L893&gt;=H893,"Weekly","No weekly")</x:f>
        <x:v>Weekly</x:v>
      </x:c>
      <x:c r="Y893" s="41" t="n">
        <x:f>IFERROR(I893-E893,"")</x:f>
        <x:v>-0.263026</x:v>
      </x:c>
      <x:c r="Z893" s="41" t="n">
        <x:f>IFERROR(J893-F893,"")</x:f>
        <x:v>2.5649919999999966</x:v>
      </x:c>
      <x:c r="AA893" s="41" t="n">
        <x:v>12067</x:v>
      </x:c>
      <x:c r="AB893" s="41" t="n">
        <x:v>5706</x:v>
      </x:c>
    </x:row>
    <x:row r="894">
      <x:c r="A894" s="41" t="str">
        <x:v>HYP_REFINE_AUTO002_TOPN_6_V1_DDGRID_LONG_R12_C23_E78_CR40_REDD_RECOVERED_DD8_SL24</x:v>
      </x:c>
      <x:c r="B894" s="41" t="str">
        <x:v>dd_guard_grid</x:v>
      </x:c>
      <x:c r="C894" s="41" t="str">
        <x:v>1999-01-04</x:v>
      </x:c>
      <x:c r="D894" s="41" t="str">
        <x:v>2026-05-22</x:v>
      </x:c>
      <x:c r="E894" s="41" t="n">
        <x:v>11.957375</x:v>
      </x:c>
      <x:c r="F894" s="41" t="n">
        <x:v>-34.585175</x:v>
      </x:c>
      <x:c r="G894" s="41" t="n">
        <x:v>2102.875142</x:v>
      </x:c>
      <x:c r="H894" s="41" t="n">
        <x:f>IFERROR(E894/ABS(F894),"")</x:f>
        <x:v>0.34573701014958</x:v>
      </x:c>
      <x:c r="I894" s="41" t="n">
        <x:v>13.020213</x:v>
      </x:c>
      <x:c r="J894" s="41" t="n">
        <x:v>-30.22708</x:v>
      </x:c>
      <x:c r="K894" s="41" t="n">
        <x:v>2753.220077</x:v>
      </x:c>
      <x:c r="L894" s="41" t="n">
        <x:f>IFERROR(I894/ABS(J894),"")</x:f>
        <x:v>0.43074663513644057</x:v>
      </x:c>
      <x:c r="M894" s="41" t="n">
        <x:v>6.802475</x:v>
      </x:c>
      <x:c r="N894" s="41" t="n">
        <x:v>-56.473669</x:v>
      </x:c>
      <x:c r="O894" s="41" t="n">
        <x:v>506.057416</x:v>
      </x:c>
      <x:c r="P894" s="41" t="n">
        <x:f>IFERROR(M894/ABS(N894),"")</x:f>
        <x:v>0.12045392340278087</x:v>
      </x:c>
      <x:c r="Q894" s="41" t="str">
        <x:f>IF(L894&gt;=MAX(H894,P894),"Weekly",IF(H894&gt;=MAX(L894,P894),"No weekly","SPY"))</x:f>
        <x:v>Weekly</x:v>
      </x:c>
      <x:c r="R894" s="41" t="n">
        <x:f>IFERROR(L894-P894,"")</x:f>
        <x:v>0.3102927117336597</x:v>
      </x:c>
      <x:c r="S894" s="41" t="n">
        <x:f>IFERROR(H894-P894,"")</x:f>
        <x:v>0.22528308674679914</x:v>
      </x:c>
      <x:c r="T894" s="41" t="n">
        <x:f>IFERROR(I894-M894,"")</x:f>
        <x:v>6.217738</x:v>
      </x:c>
      <x:c r="U894" s="41" t="n">
        <x:f>IFERROR(E894-M894,"")</x:f>
        <x:v>5.1549000000000005</x:v>
      </x:c>
      <x:c r="V894" s="41" t="str">
        <x:f>IF(AND(I894&gt;M894,J894&gt;N894),"Sí","No")</x:f>
        <x:v>Sí</x:v>
      </x:c>
      <x:c r="W894" s="41" t="str">
        <x:f>IF(AND(E894&gt;M894,F894&gt;N894),"Sí","No")</x:f>
        <x:v>Sí</x:v>
      </x:c>
      <x:c r="X894" s="41" t="str">
        <x:f>IF(L894&gt;=H894,"Weekly","No weekly")</x:f>
        <x:v>Weekly</x:v>
      </x:c>
      <x:c r="Y894" s="41" t="n">
        <x:f>IFERROR(I894-E894,"")</x:f>
        <x:v>1.0628379999999993</x:v>
      </x:c>
      <x:c r="Z894" s="41" t="n">
        <x:f>IFERROR(J894-F894,"")</x:f>
        <x:v>4.358094999999999</x:v>
      </x:c>
      <x:c r="AA894" s="41" t="n">
        <x:v>11753</x:v>
      </x:c>
      <x:c r="AB894" s="41" t="n">
        <x:v>5796</x:v>
      </x:c>
    </x:row>
    <x:row r="895">
      <x:c r="A895" s="41" t="str">
        <x:v>HYP_REFINE_AUTO002_TOPN_6_V1_DDGRID_LONG_R12_C23_E78_CR40_REDD_RECOVERED_DD8_SLNONE</x:v>
      </x:c>
      <x:c r="B895" s="41" t="str">
        <x:v>dd_guard_grid</x:v>
      </x:c>
      <x:c r="C895" s="41" t="str">
        <x:v>1999-01-04</x:v>
      </x:c>
      <x:c r="D895" s="41" t="str">
        <x:v>2026-05-22</x:v>
      </x:c>
      <x:c r="E895" s="41" t="n">
        <x:v>12.980645</x:v>
      </x:c>
      <x:c r="F895" s="41" t="n">
        <x:v>-34.831266</x:v>
      </x:c>
      <x:c r="G895" s="41" t="n">
        <x:v>2725.99767</x:v>
      </x:c>
      <x:c r="H895" s="41" t="n">
        <x:f>IFERROR(E895/ABS(F895),"")</x:f>
        <x:v>0.3726722135221844</x:v>
      </x:c>
      <x:c r="I895" s="41" t="n">
        <x:v>13.86282</x:v>
      </x:c>
      <x:c r="J895" s="41" t="n">
        <x:v>-28.862775</x:v>
      </x:c>
      <x:c r="K895" s="41" t="n">
        <x:v>3396.658928</x:v>
      </x:c>
      <x:c r="L895" s="41" t="n">
        <x:f>IFERROR(I895/ABS(J895),"")</x:f>
        <x:v>0.4803010105577166</x:v>
      </x:c>
      <x:c r="M895" s="41" t="n">
        <x:v>6.802475</x:v>
      </x:c>
      <x:c r="N895" s="41" t="n">
        <x:v>-56.473669</x:v>
      </x:c>
      <x:c r="O895" s="41" t="n">
        <x:v>506.057416</x:v>
      </x:c>
      <x:c r="P895" s="41" t="n">
        <x:f>IFERROR(M895/ABS(N895),"")</x:f>
        <x:v>0.12045392340278087</x:v>
      </x:c>
      <x:c r="Q895" s="41" t="str">
        <x:f>IF(L895&gt;=MAX(H895,P895),"Weekly",IF(H895&gt;=MAX(L895,P895),"No weekly","SPY"))</x:f>
        <x:v>Weekly</x:v>
      </x:c>
      <x:c r="R895" s="41" t="n">
        <x:f>IFERROR(L895-P895,"")</x:f>
        <x:v>0.35984708715493574</x:v>
      </x:c>
      <x:c r="S895" s="41" t="n">
        <x:f>IFERROR(H895-P895,"")</x:f>
        <x:v>0.2522182901194035</x:v>
      </x:c>
      <x:c r="T895" s="41" t="n">
        <x:f>IFERROR(I895-M895,"")</x:f>
        <x:v>7.060344999999999</x:v>
      </x:c>
      <x:c r="U895" s="41" t="n">
        <x:f>IFERROR(E895-M895,"")</x:f>
        <x:v>6.178170000000001</x:v>
      </x:c>
      <x:c r="V895" s="41" t="str">
        <x:f>IF(AND(I895&gt;M895,J895&gt;N895),"Sí","No")</x:f>
        <x:v>Sí</x:v>
      </x:c>
      <x:c r="W895" s="41" t="str">
        <x:f>IF(AND(E895&gt;M895,F895&gt;N895),"Sí","No")</x:f>
        <x:v>Sí</x:v>
      </x:c>
      <x:c r="X895" s="41" t="str">
        <x:f>IF(L895&gt;=H895,"Weekly","No weekly")</x:f>
        <x:v>Weekly</x:v>
      </x:c>
      <x:c r="Y895" s="41" t="n">
        <x:f>IFERROR(I895-E895,"")</x:f>
        <x:v>0.8821749999999984</x:v>
      </x:c>
      <x:c r="Z895" s="41" t="n">
        <x:f>IFERROR(J895-F895,"")</x:f>
        <x:v>5.968491</x:v>
      </x:c>
      <x:c r="AA895" s="41" t="n">
        <x:v>12040</x:v>
      </x:c>
      <x:c r="AB895" s="41" t="n">
        <x:v>6118</x:v>
      </x:c>
    </x:row>
    <x:row r="896">
      <x:c r="A896" s="41" t="str">
        <x:v>HYP_REFINE_AUTO002_TOPN_6_V1_DDGRID_LONG_R12_C23_E78_CR40_REDD_RECOVERED_DD9_SL22</x:v>
      </x:c>
      <x:c r="B896" s="41" t="str">
        <x:v>dd_guard_grid</x:v>
      </x:c>
      <x:c r="C896" s="41" t="str">
        <x:v>1999-01-04</x:v>
      </x:c>
      <x:c r="D896" s="41" t="str">
        <x:v>2026-05-22</x:v>
      </x:c>
      <x:c r="E896" s="41" t="n">
        <x:v>12.800943</x:v>
      </x:c>
      <x:c r="F896" s="41" t="n">
        <x:v>-33.253615</x:v>
      </x:c>
      <x:c r="G896" s="41" t="n">
        <x:v>2605.481132</x:v>
      </x:c>
      <x:c r="H896" s="41" t="n">
        <x:f>IFERROR(E896/ABS(F896),"")</x:f>
        <x:v>0.38494891457665575</x:v>
      </x:c>
      <x:c r="I896" s="41" t="n">
        <x:v>12.724165</x:v>
      </x:c>
      <x:c r="J896" s="41" t="n">
        <x:v>-30.628532</x:v>
      </x:c>
      <x:c r="K896" s="41" t="n">
        <x:v>2555.514177</x:v>
      </x:c>
      <x:c r="L896" s="41" t="n">
        <x:f>IFERROR(I896/ABS(J896),"")</x:f>
        <x:v>0.41543502639956753</x:v>
      </x:c>
      <x:c r="M896" s="41" t="n">
        <x:v>6.802475</x:v>
      </x:c>
      <x:c r="N896" s="41" t="n">
        <x:v>-56.473669</x:v>
      </x:c>
      <x:c r="O896" s="41" t="n">
        <x:v>506.057416</x:v>
      </x:c>
      <x:c r="P896" s="41" t="n">
        <x:f>IFERROR(M896/ABS(N896),"")</x:f>
        <x:v>0.12045392340278087</x:v>
      </x:c>
      <x:c r="Q896" s="41" t="str">
        <x:f>IF(L896&gt;=MAX(H896,P896),"Weekly",IF(H896&gt;=MAX(L896,P896),"No weekly","SPY"))</x:f>
        <x:v>Weekly</x:v>
      </x:c>
      <x:c r="R896" s="41" t="n">
        <x:f>IFERROR(L896-P896,"")</x:f>
        <x:v>0.29498110299678665</x:v>
      </x:c>
      <x:c r="S896" s="41" t="n">
        <x:f>IFERROR(H896-P896,"")</x:f>
        <x:v>0.26449499117387487</x:v>
      </x:c>
      <x:c r="T896" s="41" t="n">
        <x:f>IFERROR(I896-M896,"")</x:f>
        <x:v>5.921689999999999</x:v>
      </x:c>
      <x:c r="U896" s="41" t="n">
        <x:f>IFERROR(E896-M896,"")</x:f>
        <x:v>5.998468</x:v>
      </x:c>
      <x:c r="V896" s="41" t="str">
        <x:f>IF(AND(I896&gt;M896,J896&gt;N896),"Sí","No")</x:f>
        <x:v>Sí</x:v>
      </x:c>
      <x:c r="W896" s="41" t="str">
        <x:f>IF(AND(E896&gt;M896,F896&gt;N896),"Sí","No")</x:f>
        <x:v>Sí</x:v>
      </x:c>
      <x:c r="X896" s="41" t="str">
        <x:f>IF(L896&gt;=H896,"Weekly","No weekly")</x:f>
        <x:v>Weekly</x:v>
      </x:c>
      <x:c r="Y896" s="41" t="n">
        <x:f>IFERROR(I896-E896,"")</x:f>
        <x:v>-0.0767780000000009</x:v>
      </x:c>
      <x:c r="Z896" s="41" t="n">
        <x:f>IFERROR(J896-F896,"")</x:f>
        <x:v>2.6250830000000036</x:v>
      </x:c>
      <x:c r="AA896" s="41" t="n">
        <x:v>11870</x:v>
      </x:c>
      <x:c r="AB896" s="41" t="n">
        <x:v>5663</x:v>
      </x:c>
    </x:row>
    <x:row r="897">
      <x:c r="A897" s="41" t="str">
        <x:v>HYP_REFINE_AUTO002_TOPN_6_V1_DDGRID_LONG_R12_C23_E78_CR42_REDD_RECOVERED_DD8_SL22</x:v>
      </x:c>
      <x:c r="B897" s="41" t="str">
        <x:v>dd_guard_grid</x:v>
      </x:c>
      <x:c r="C897" s="41" t="str">
        <x:v>1999-01-04</x:v>
      </x:c>
      <x:c r="D897" s="41" t="str">
        <x:v>2026-05-22</x:v>
      </x:c>
      <x:c r="E897" s="41" t="n">
        <x:v>12.499822</x:v>
      </x:c>
      <x:c r="F897" s="41" t="n">
        <x:v>-35.109159</x:v>
      </x:c>
      <x:c r="G897" s="41" t="n">
        <x:v>2414.553729</x:v>
      </x:c>
      <x:c r="H897" s="41" t="n">
        <x:f>IFERROR(E897/ABS(F897),"")</x:f>
        <x:v>0.35602738305409143</x:v>
      </x:c>
      <x:c r="I897" s="41" t="n">
        <x:v>13.00478</x:v>
      </x:c>
      <x:c r="J897" s="41" t="n">
        <x:v>-29.763499</x:v>
      </x:c>
      <x:c r="K897" s="41" t="n">
        <x:v>2742.572661</x:v>
      </x:c>
      <x:c r="L897" s="41" t="n">
        <x:f>IFERROR(I897/ABS(J897),"")</x:f>
        <x:v>0.4369372028470174</x:v>
      </x:c>
      <x:c r="M897" s="41" t="n">
        <x:v>6.802475</x:v>
      </x:c>
      <x:c r="N897" s="41" t="n">
        <x:v>-56.473669</x:v>
      </x:c>
      <x:c r="O897" s="41" t="n">
        <x:v>506.057416</x:v>
      </x:c>
      <x:c r="P897" s="41" t="n">
        <x:f>IFERROR(M897/ABS(N897),"")</x:f>
        <x:v>0.12045392340278087</x:v>
      </x:c>
      <x:c r="Q897" s="41" t="str">
        <x:f>IF(L897&gt;=MAX(H897,P897),"Weekly",IF(H897&gt;=MAX(L897,P897),"No weekly","SPY"))</x:f>
        <x:v>Weekly</x:v>
      </x:c>
      <x:c r="R897" s="41" t="n">
        <x:f>IFERROR(L897-P897,"")</x:f>
        <x:v>0.31648327944423654</x:v>
      </x:c>
      <x:c r="S897" s="41" t="n">
        <x:f>IFERROR(H897-P897,"")</x:f>
        <x:v>0.23557345965131055</x:v>
      </x:c>
      <x:c r="T897" s="41" t="n">
        <x:f>IFERROR(I897-M897,"")</x:f>
        <x:v>6.202305</x:v>
      </x:c>
      <x:c r="U897" s="41" t="n">
        <x:f>IFERROR(E897-M897,"")</x:f>
        <x:v>5.697347</x:v>
      </x:c>
      <x:c r="V897" s="41" t="str">
        <x:f>IF(AND(I897&gt;M897,J897&gt;N897),"Sí","No")</x:f>
        <x:v>Sí</x:v>
      </x:c>
      <x:c r="W897" s="41" t="str">
        <x:f>IF(AND(E897&gt;M897,F897&gt;N897),"Sí","No")</x:f>
        <x:v>Sí</x:v>
      </x:c>
      <x:c r="X897" s="41" t="str">
        <x:f>IF(L897&gt;=H897,"Weekly","No weekly")</x:f>
        <x:v>Weekly</x:v>
      </x:c>
      <x:c r="Y897" s="41" t="n">
        <x:f>IFERROR(I897-E897,"")</x:f>
        <x:v>0.5049580000000002</x:v>
      </x:c>
      <x:c r="Z897" s="41" t="n">
        <x:f>IFERROR(J897-F897,"")</x:f>
        <x:v>5.345659999999999</x:v>
      </x:c>
      <x:c r="AA897" s="41" t="n">
        <x:v>11922</x:v>
      </x:c>
      <x:c r="AB897" s="41" t="n">
        <x:v>5550</x:v>
      </x:c>
    </x:row>
    <x:row r="898">
      <x:c r="A898" s="41" t="str">
        <x:v>HYP_REFINE_AUTO002_TOPN_6_V1_DDGRID_LONG_R12_C23_E78_CR45_REDD_RECOVERED_DD8_SL20</x:v>
      </x:c>
      <x:c r="B898" s="41" t="str">
        <x:v>dd_guard_grid</x:v>
      </x:c>
      <x:c r="C898" s="41" t="str">
        <x:v>1999-01-04</x:v>
      </x:c>
      <x:c r="D898" s="41" t="str">
        <x:v>2026-05-22</x:v>
      </x:c>
      <x:c r="E898" s="41" t="n">
        <x:v>13.129019</x:v>
      </x:c>
      <x:c r="F898" s="41" t="n">
        <x:v>-34.814458</x:v>
      </x:c>
      <x:c r="G898" s="41" t="n">
        <x:v>2829.387155</x:v>
      </x:c>
      <x:c r="H898" s="41" t="n">
        <x:f>IFERROR(E898/ABS(F898),"")</x:f>
        <x:v>0.37711398522992945</x:v>
      </x:c>
      <x:c r="I898" s="41" t="n">
        <x:v>13.546723</x:v>
      </x:c>
      <x:c r="J898" s="41" t="n">
        <x:v>-29.764894</x:v>
      </x:c>
      <x:c r="K898" s="41" t="n">
        <x:v>3140.397913</x:v>
      </x:c>
      <x:c r="L898" s="41" t="n">
        <x:f>IFERROR(I898/ABS(J898),"")</x:f>
        <x:v>0.4551241808554735</x:v>
      </x:c>
      <x:c r="M898" s="41" t="n">
        <x:v>6.802475</x:v>
      </x:c>
      <x:c r="N898" s="41" t="n">
        <x:v>-56.473669</x:v>
      </x:c>
      <x:c r="O898" s="41" t="n">
        <x:v>506.057416</x:v>
      </x:c>
      <x:c r="P898" s="41" t="n">
        <x:f>IFERROR(M898/ABS(N898),"")</x:f>
        <x:v>0.12045392340278087</x:v>
      </x:c>
      <x:c r="Q898" s="41" t="str">
        <x:f>IF(L898&gt;=MAX(H898,P898),"Weekly",IF(H898&gt;=MAX(L898,P898),"No weekly","SPY"))</x:f>
        <x:v>Weekly</x:v>
      </x:c>
      <x:c r="R898" s="41" t="n">
        <x:f>IFERROR(L898-P898,"")</x:f>
        <x:v>0.33467025745269263</x:v>
      </x:c>
      <x:c r="S898" s="41" t="n">
        <x:f>IFERROR(H898-P898,"")</x:f>
        <x:v>0.25666006182714857</x:v>
      </x:c>
      <x:c r="T898" s="41" t="n">
        <x:f>IFERROR(I898-M898,"")</x:f>
        <x:v>6.744248</x:v>
      </x:c>
      <x:c r="U898" s="41" t="n">
        <x:f>IFERROR(E898-M898,"")</x:f>
        <x:v>6.326543999999999</x:v>
      </x:c>
      <x:c r="V898" s="41" t="str">
        <x:f>IF(AND(I898&gt;M898,J898&gt;N898),"Sí","No")</x:f>
        <x:v>Sí</x:v>
      </x:c>
      <x:c r="W898" s="41" t="str">
        <x:f>IF(AND(E898&gt;M898,F898&gt;N898),"Sí","No")</x:f>
        <x:v>Sí</x:v>
      </x:c>
      <x:c r="X898" s="41" t="str">
        <x:f>IF(L898&gt;=H898,"Weekly","No weekly")</x:f>
        <x:v>Weekly</x:v>
      </x:c>
      <x:c r="Y898" s="41" t="n">
        <x:f>IFERROR(I898-E898,"")</x:f>
        <x:v>0.4177040000000005</x:v>
      </x:c>
      <x:c r="Z898" s="41" t="n">
        <x:f>IFERROR(J898-F898,"")</x:f>
        <x:v>5.049564</x:v>
      </x:c>
      <x:c r="AA898" s="41" t="n">
        <x:v>11471</x:v>
      </x:c>
      <x:c r="AB898" s="41" t="n">
        <x:v>5604</x:v>
      </x:c>
    </x:row>
    <x:row r="899">
      <x:c r="A899" s="41" t="str">
        <x:v>HYP_REFINE_AUTO002_TOPN_6_V1_DDGRID_LONG_R12_C23_E80_CR40_REDD_RECOVERED_DD8_SL18</x:v>
      </x:c>
      <x:c r="B899" s="41" t="str">
        <x:v>dd_guard_grid</x:v>
      </x:c>
      <x:c r="C899" s="41" t="str">
        <x:v>1999-01-04</x:v>
      </x:c>
      <x:c r="D899" s="41" t="str">
        <x:v>2026-05-22</x:v>
      </x:c>
      <x:c r="E899" s="41" t="n">
        <x:v>12.001118</x:v>
      </x:c>
      <x:c r="F899" s="41" t="n">
        <x:v>-32.325806</x:v>
      </x:c>
      <x:c r="G899" s="41" t="n">
        <x:v>2126.561386</x:v>
      </x:c>
      <x:c r="H899" s="41" t="n">
        <x:f>IFERROR(E899/ABS(F899),"")</x:f>
        <x:v>0.3712550276395274</x:v>
      </x:c>
      <x:c r="I899" s="41" t="n">
        <x:v>12.663654</x:v>
      </x:c>
      <x:c r="J899" s="41" t="n">
        <x:v>-30.545216</x:v>
      </x:c>
      <x:c r="K899" s="41" t="n">
        <x:v>2516.760855</x:v>
      </x:c>
      <x:c r="L899" s="41" t="n">
        <x:f>IFERROR(I899/ABS(J899),"")</x:f>
        <x:v>0.41458714844249256</x:v>
      </x:c>
      <x:c r="M899" s="41" t="n">
        <x:v>6.802475</x:v>
      </x:c>
      <x:c r="N899" s="41" t="n">
        <x:v>-56.473669</x:v>
      </x:c>
      <x:c r="O899" s="41" t="n">
        <x:v>506.057416</x:v>
      </x:c>
      <x:c r="P899" s="41" t="n">
        <x:f>IFERROR(M899/ABS(N899),"")</x:f>
        <x:v>0.12045392340278087</x:v>
      </x:c>
      <x:c r="Q899" s="41" t="str">
        <x:f>IF(L899&gt;=MAX(H899,P899),"Weekly",IF(H899&gt;=MAX(L899,P899),"No weekly","SPY"))</x:f>
        <x:v>Weekly</x:v>
      </x:c>
      <x:c r="R899" s="41" t="n">
        <x:f>IFERROR(L899-P899,"")</x:f>
        <x:v>0.2941332250397117</x:v>
      </x:c>
      <x:c r="S899" s="41" t="n">
        <x:f>IFERROR(H899-P899,"")</x:f>
        <x:v>0.2508011042367465</x:v>
      </x:c>
      <x:c r="T899" s="41" t="n">
        <x:f>IFERROR(I899-M899,"")</x:f>
        <x:v>5.861178999999999</x:v>
      </x:c>
      <x:c r="U899" s="41" t="n">
        <x:f>IFERROR(E899-M899,"")</x:f>
        <x:v>5.198643</x:v>
      </x:c>
      <x:c r="V899" s="41" t="str">
        <x:f>IF(AND(I899&gt;M899,J899&gt;N899),"Sí","No")</x:f>
        <x:v>Sí</x:v>
      </x:c>
      <x:c r="W899" s="41" t="str">
        <x:f>IF(AND(E899&gt;M899,F899&gt;N899),"Sí","No")</x:f>
        <x:v>Sí</x:v>
      </x:c>
      <x:c r="X899" s="41" t="str">
        <x:f>IF(L899&gt;=H899,"Weekly","No weekly")</x:f>
        <x:v>Weekly</x:v>
      </x:c>
      <x:c r="Y899" s="41" t="n">
        <x:f>IFERROR(I899-E899,"")</x:f>
        <x:v>0.6625359999999993</x:v>
      </x:c>
      <x:c r="Z899" s="41" t="n">
        <x:f>IFERROR(J899-F899,"")</x:f>
        <x:v>1.7805900000000001</x:v>
      </x:c>
      <x:c r="AA899" s="41" t="n">
        <x:v>11856</x:v>
      </x:c>
      <x:c r="AB899" s="41" t="n">
        <x:v>5702</x:v>
      </x:c>
    </x:row>
    <x:row r="900">
      <x:c r="A900" s="41" t="str">
        <x:v>HYP_REFINE_AUTO002_TOPN_6_V1_DDGRID_LONG_R12_C23_E80_CR40_REDD_RECOVERED_DD8_SL20</x:v>
      </x:c>
      <x:c r="B900" s="41" t="str">
        <x:v>dd_guard_grid</x:v>
      </x:c>
      <x:c r="C900" s="41" t="str">
        <x:v>1999-01-04</x:v>
      </x:c>
      <x:c r="D900" s="41" t="str">
        <x:v>2026-05-22</x:v>
      </x:c>
      <x:c r="E900" s="41" t="n">
        <x:v>12.714984</x:v>
      </x:c>
      <x:c r="F900" s="41" t="n">
        <x:v>-33.001636</x:v>
      </x:c>
      <x:c r="G900" s="41" t="n">
        <x:v>2549.599087</x:v>
      </x:c>
      <x:c r="H900" s="41" t="n">
        <x:f>IFERROR(E900/ABS(F900),"")</x:f>
        <x:v>0.38528344473589127</x:v>
      </x:c>
      <x:c r="I900" s="41" t="n">
        <x:v>12.679301</x:v>
      </x:c>
      <x:c r="J900" s="41" t="n">
        <x:v>-32.138297</x:v>
      </x:c>
      <x:c r="K900" s="41" t="n">
        <x:v>2526.729118</x:v>
      </x:c>
      <x:c r="L900" s="41" t="n">
        <x:f>IFERROR(I900/ABS(J900),"")</x:f>
        <x:v>0.39452311365471543</x:v>
      </x:c>
      <x:c r="M900" s="41" t="n">
        <x:v>6.802475</x:v>
      </x:c>
      <x:c r="N900" s="41" t="n">
        <x:v>-56.473669</x:v>
      </x:c>
      <x:c r="O900" s="41" t="n">
        <x:v>506.057416</x:v>
      </x:c>
      <x:c r="P900" s="41" t="n">
        <x:f>IFERROR(M900/ABS(N900),"")</x:f>
        <x:v>0.12045392340278087</x:v>
      </x:c>
      <x:c r="Q900" s="41" t="str">
        <x:f>IF(L900&gt;=MAX(H900,P900),"Weekly",IF(H900&gt;=MAX(L900,P900),"No weekly","SPY"))</x:f>
        <x:v>Weekly</x:v>
      </x:c>
      <x:c r="R900" s="41" t="n">
        <x:f>IFERROR(L900-P900,"")</x:f>
        <x:v>0.27406919025193455</x:v>
      </x:c>
      <x:c r="S900" s="41" t="n">
        <x:f>IFERROR(H900-P900,"")</x:f>
        <x:v>0.2648295213331104</x:v>
      </x:c>
      <x:c r="T900" s="41" t="n">
        <x:f>IFERROR(I900-M900,"")</x:f>
        <x:v>5.876826</x:v>
      </x:c>
      <x:c r="U900" s="41" t="n">
        <x:f>IFERROR(E900-M900,"")</x:f>
        <x:v>5.912508999999999</x:v>
      </x:c>
      <x:c r="V900" s="41" t="str">
        <x:f>IF(AND(I900&gt;M900,J900&gt;N900),"Sí","No")</x:f>
        <x:v>Sí</x:v>
      </x:c>
      <x:c r="W900" s="41" t="str">
        <x:f>IF(AND(E900&gt;M900,F900&gt;N900),"Sí","No")</x:f>
        <x:v>Sí</x:v>
      </x:c>
      <x:c r="X900" s="41" t="str">
        <x:f>IF(L900&gt;=H900,"Weekly","No weekly")</x:f>
        <x:v>Weekly</x:v>
      </x:c>
      <x:c r="Y900" s="41" t="n">
        <x:f>IFERROR(I900-E900,"")</x:f>
        <x:v>-0.0356829999999988</x:v>
      </x:c>
      <x:c r="Z900" s="41" t="n">
        <x:f>IFERROR(J900-F900,"")</x:f>
        <x:v>0.8633389999999963</x:v>
      </x:c>
      <x:c r="AA900" s="41" t="n">
        <x:v>11854</x:v>
      </x:c>
      <x:c r="AB900" s="41" t="n">
        <x:v>5752</x:v>
      </x:c>
    </x:row>
    <x:row r="901">
      <x:c r="A901" s="41" t="str">
        <x:v>HYP_REFINE_AUTO002_TOPN_6_V1_DDGRID_LONG_R12_C23_E80_CR40_REDD_RECOVERED_DD8_SL22</x:v>
      </x:c>
      <x:c r="B901" s="41" t="str">
        <x:v>dd_guard_grid</x:v>
      </x:c>
      <x:c r="C901" s="41" t="str">
        <x:v>1999-01-04</x:v>
      </x:c>
      <x:c r="D901" s="41" t="str">
        <x:v>2026-05-22</x:v>
      </x:c>
      <x:c r="E901" s="41" t="n">
        <x:v>13.225721</x:v>
      </x:c>
      <x:c r="F901" s="41" t="n">
        <x:v>-33.32644</x:v>
      </x:c>
      <x:c r="G901" s="41" t="n">
        <x:v>2898.722202</x:v>
      </x:c>
      <x:c r="H901" s="41" t="n">
        <x:f>IFERROR(E901/ABS(F901),"")</x:f>
        <x:v>0.39685369934502457</x:v>
      </x:c>
      <x:c r="I901" s="41" t="n">
        <x:v>12.976524</x:v>
      </x:c>
      <x:c r="J901" s="41" t="n">
        <x:v>-30.551778</x:v>
      </x:c>
      <x:c r="K901" s="41" t="n">
        <x:v>2723.17704</x:v>
      </x:c>
      <x:c r="L901" s="41" t="n">
        <x:f>IFERROR(I901/ABS(J901),"")</x:f>
        <x:v>0.42473875006554446</x:v>
      </x:c>
      <x:c r="M901" s="41" t="n">
        <x:v>6.802475</x:v>
      </x:c>
      <x:c r="N901" s="41" t="n">
        <x:v>-56.473669</x:v>
      </x:c>
      <x:c r="O901" s="41" t="n">
        <x:v>506.057416</x:v>
      </x:c>
      <x:c r="P901" s="41" t="n">
        <x:f>IFERROR(M901/ABS(N901),"")</x:f>
        <x:v>0.12045392340278087</x:v>
      </x:c>
      <x:c r="Q901" s="41" t="str">
        <x:f>IF(L901&gt;=MAX(H901,P901),"Weekly",IF(H901&gt;=MAX(L901,P901),"No weekly","SPY"))</x:f>
        <x:v>Weekly</x:v>
      </x:c>
      <x:c r="R901" s="41" t="n">
        <x:f>IFERROR(L901-P901,"")</x:f>
        <x:v>0.3042848266627636</x:v>
      </x:c>
      <x:c r="S901" s="41" t="n">
        <x:f>IFERROR(H901-P901,"")</x:f>
        <x:v>0.2763997759422437</x:v>
      </x:c>
      <x:c r="T901" s="41" t="n">
        <x:f>IFERROR(I901-M901,"")</x:f>
        <x:v>6.174048999999999</x:v>
      </x:c>
      <x:c r="U901" s="41" t="n">
        <x:f>IFERROR(E901-M901,"")</x:f>
        <x:v>6.423246</x:v>
      </x:c>
      <x:c r="V901" s="41" t="str">
        <x:f>IF(AND(I901&gt;M901,J901&gt;N901),"Sí","No")</x:f>
        <x:v>Sí</x:v>
      </x:c>
      <x:c r="W901" s="41" t="str">
        <x:f>IF(AND(E901&gt;M901,F901&gt;N901),"Sí","No")</x:f>
        <x:v>Sí</x:v>
      </x:c>
      <x:c r="X901" s="41" t="str">
        <x:f>IF(L901&gt;=H901,"Weekly","No weekly")</x:f>
        <x:v>Weekly</x:v>
      </x:c>
      <x:c r="Y901" s="41" t="n">
        <x:f>IFERROR(I901-E901,"")</x:f>
        <x:v>-0.24919700000000056</x:v>
      </x:c>
      <x:c r="Z901" s="41" t="n">
        <x:f>IFERROR(J901-F901,"")</x:f>
        <x:v>2.7746619999999993</x:v>
      </x:c>
      <x:c r="AA901" s="41" t="n">
        <x:v>12129</x:v>
      </x:c>
      <x:c r="AB901" s="41" t="n">
        <x:v>5650</x:v>
      </x:c>
    </x:row>
    <x:row r="902">
      <x:c r="A902" s="41" t="str">
        <x:v>HYP_REFINE_AUTO002_TOPN_6_V1_DDGRID_LONG_R12_C24_E70_CR40_REDD_RECOVERED_DD8_SL20</x:v>
      </x:c>
      <x:c r="B902" s="41" t="str">
        <x:v>dd_guard_grid</x:v>
      </x:c>
      <x:c r="C902" s="41" t="str">
        <x:v>1999-01-04</x:v>
      </x:c>
      <x:c r="D902" s="41" t="str">
        <x:v>2026-05-22</x:v>
      </x:c>
      <x:c r="E902" s="41" t="n">
        <x:v>12.738819</x:v>
      </x:c>
      <x:c r="F902" s="41" t="n">
        <x:v>-33.467469</x:v>
      </x:c>
      <x:c r="G902" s="41" t="n">
        <x:v>2564.981558</x:v>
      </x:c>
      <x:c r="H902" s="41" t="n">
        <x:f>IFERROR(E902/ABS(F902),"")</x:f>
        <x:v>0.3806328766600187</x:v>
      </x:c>
      <x:c r="I902" s="41" t="n">
        <x:v>13.954454</x:v>
      </x:c>
      <x:c r="J902" s="41" t="n">
        <x:v>-29.275688</x:v>
      </x:c>
      <x:c r="K902" s="41" t="n">
        <x:v>3474.52587</x:v>
      </x:c>
      <x:c r="L902" s="41" t="n">
        <x:f>IFERROR(I902/ABS(J902),"")</x:f>
        <x:v>0.47665673988601054</x:v>
      </x:c>
      <x:c r="M902" s="41" t="n">
        <x:v>6.802475</x:v>
      </x:c>
      <x:c r="N902" s="41" t="n">
        <x:v>-56.473669</x:v>
      </x:c>
      <x:c r="O902" s="41" t="n">
        <x:v>506.057416</x:v>
      </x:c>
      <x:c r="P902" s="41" t="n">
        <x:f>IFERROR(M902/ABS(N902),"")</x:f>
        <x:v>0.12045392340278087</x:v>
      </x:c>
      <x:c r="Q902" s="41" t="str">
        <x:f>IF(L902&gt;=MAX(H902,P902),"Weekly",IF(H902&gt;=MAX(L902,P902),"No weekly","SPY"))</x:f>
        <x:v>Weekly</x:v>
      </x:c>
      <x:c r="R902" s="41" t="n">
        <x:f>IFERROR(L902-P902,"")</x:f>
        <x:v>0.35620281648322966</x:v>
      </x:c>
      <x:c r="S902" s="41" t="n">
        <x:f>IFERROR(H902-P902,"")</x:f>
        <x:v>0.26017895325723783</x:v>
      </x:c>
      <x:c r="T902" s="41" t="n">
        <x:f>IFERROR(I902-M902,"")</x:f>
        <x:v>7.151979</x:v>
      </x:c>
      <x:c r="U902" s="41" t="n">
        <x:f>IFERROR(E902-M902,"")</x:f>
        <x:v>5.936343999999999</x:v>
      </x:c>
      <x:c r="V902" s="41" t="str">
        <x:f>IF(AND(I902&gt;M902,J902&gt;N902),"Sí","No")</x:f>
        <x:v>Sí</x:v>
      </x:c>
      <x:c r="W902" s="41" t="str">
        <x:f>IF(AND(E902&gt;M902,F902&gt;N902),"Sí","No")</x:f>
        <x:v>Sí</x:v>
      </x:c>
      <x:c r="X902" s="41" t="str">
        <x:f>IF(L902&gt;=H902,"Weekly","No weekly")</x:f>
        <x:v>Weekly</x:v>
      </x:c>
      <x:c r="Y902" s="41" t="n">
        <x:f>IFERROR(I902-E902,"")</x:f>
        <x:v>1.2156350000000007</x:v>
      </x:c>
      <x:c r="Z902" s="41" t="n">
        <x:f>IFERROR(J902-F902,"")</x:f>
        <x:v>4.191781000000002</x:v>
      </x:c>
      <x:c r="AA902" s="41" t="n">
        <x:v>11407</x:v>
      </x:c>
      <x:c r="AB902" s="41" t="n">
        <x:v>5435</x:v>
      </x:c>
    </x:row>
    <x:row r="903">
      <x:c r="A903" s="41" t="str">
        <x:v>HYP_REFINE_AUTO002_TOPN_6_V1_DDGRID_LONG_R12_C24_E72_CR40_REDD_RECOVERED_DD8_SL20</x:v>
      </x:c>
      <x:c r="B903" s="41" t="str">
        <x:v>dd_guard_grid</x:v>
      </x:c>
      <x:c r="C903" s="41" t="str">
        <x:v>1999-01-04</x:v>
      </x:c>
      <x:c r="D903" s="41" t="str">
        <x:v>2026-05-22</x:v>
      </x:c>
      <x:c r="E903" s="41" t="n">
        <x:v>12.951468</x:v>
      </x:c>
      <x:c r="F903" s="41" t="n">
        <x:v>-33.894489</x:v>
      </x:c>
      <x:c r="G903" s="41" t="n">
        <x:v>2706.084195</x:v>
      </x:c>
      <x:c r="H903" s="41" t="n">
        <x:f>IFERROR(E903/ABS(F903),"")</x:f>
        <x:v>0.3821113219910175</x:v>
      </x:c>
      <x:c r="I903" s="41" t="n">
        <x:v>12.57686</x:v>
      </x:c>
      <x:c r="J903" s="41" t="n">
        <x:v>-28.730808</x:v>
      </x:c>
      <x:c r="K903" s="41" t="n">
        <x:v>2462.12551</x:v>
      </x:c>
      <x:c r="L903" s="41" t="n">
        <x:f>IFERROR(I903/ABS(J903),"")</x:f>
        <x:v>0.4377482178712134</x:v>
      </x:c>
      <x:c r="M903" s="41" t="n">
        <x:v>6.802475</x:v>
      </x:c>
      <x:c r="N903" s="41" t="n">
        <x:v>-56.473669</x:v>
      </x:c>
      <x:c r="O903" s="41" t="n">
        <x:v>506.057416</x:v>
      </x:c>
      <x:c r="P903" s="41" t="n">
        <x:f>IFERROR(M903/ABS(N903),"")</x:f>
        <x:v>0.12045392340278087</x:v>
      </x:c>
      <x:c r="Q903" s="41" t="str">
        <x:f>IF(L903&gt;=MAX(H903,P903),"Weekly",IF(H903&gt;=MAX(L903,P903),"No weekly","SPY"))</x:f>
        <x:v>Weekly</x:v>
      </x:c>
      <x:c r="R903" s="41" t="n">
        <x:f>IFERROR(L903-P903,"")</x:f>
        <x:v>0.3172942944684325</x:v>
      </x:c>
      <x:c r="S903" s="41" t="n">
        <x:f>IFERROR(H903-P903,"")</x:f>
        <x:v>0.2616573985882366</x:v>
      </x:c>
      <x:c r="T903" s="41" t="n">
        <x:f>IFERROR(I903-M903,"")</x:f>
        <x:v>5.774385</x:v>
      </x:c>
      <x:c r="U903" s="41" t="n">
        <x:f>IFERROR(E903-M903,"")</x:f>
        <x:v>6.148993</x:v>
      </x:c>
      <x:c r="V903" s="41" t="str">
        <x:f>IF(AND(I903&gt;M903,J903&gt;N903),"Sí","No")</x:f>
        <x:v>Sí</x:v>
      </x:c>
      <x:c r="W903" s="41" t="str">
        <x:f>IF(AND(E903&gt;M903,F903&gt;N903),"Sí","No")</x:f>
        <x:v>Sí</x:v>
      </x:c>
      <x:c r="X903" s="41" t="str">
        <x:f>IF(L903&gt;=H903,"Weekly","No weekly")</x:f>
        <x:v>Weekly</x:v>
      </x:c>
      <x:c r="Y903" s="41" t="n">
        <x:f>IFERROR(I903-E903,"")</x:f>
        <x:v>-0.3746080000000003</x:v>
      </x:c>
      <x:c r="Z903" s="41" t="n">
        <x:f>IFERROR(J903-F903,"")</x:f>
        <x:v>5.163681</x:v>
      </x:c>
      <x:c r="AA903" s="41" t="n">
        <x:v>11610</x:v>
      </x:c>
      <x:c r="AB903" s="41" t="n">
        <x:v>5474</x:v>
      </x:c>
    </x:row>
    <x:row r="904">
      <x:c r="A904" s="41" t="str">
        <x:v>HYP_REFINE_AUTO002_TOPN_6_V1_DDGRID_LONG_R12_C24_E72_CR40_REDD_RECOVERED_DD8_SL22</x:v>
      </x:c>
      <x:c r="B904" s="41" t="str">
        <x:v>dd_guard_grid</x:v>
      </x:c>
      <x:c r="C904" s="41" t="str">
        <x:v>1999-01-04</x:v>
      </x:c>
      <x:c r="D904" s="41" t="str">
        <x:v>2026-05-22</x:v>
      </x:c>
      <x:c r="E904" s="41" t="n">
        <x:v>12.461582</x:v>
      </x:c>
      <x:c r="F904" s="41" t="n">
        <x:v>-34.502938</x:v>
      </x:c>
      <x:c r="G904" s="41" t="n">
        <x:v>2391.257077</x:v>
      </x:c>
      <x:c r="H904" s="41" t="n">
        <x:f>IFERROR(E904/ABS(F904),"")</x:f>
        <x:v>0.36117451794974675</x:v>
      </x:c>
      <x:c r="I904" s="41" t="n">
        <x:v>13.454798</x:v>
      </x:c>
      <x:c r="J904" s="41" t="n">
        <x:v>-31.202113</x:v>
      </x:c>
      <x:c r="K904" s="41" t="n">
        <x:v>3069.335869</x:v>
      </x:c>
      <x:c r="L904" s="41" t="n">
        <x:f>IFERROR(I904/ABS(J904),"")</x:f>
        <x:v>0.43121432192749254</x:v>
      </x:c>
      <x:c r="M904" s="41" t="n">
        <x:v>6.802475</x:v>
      </x:c>
      <x:c r="N904" s="41" t="n">
        <x:v>-56.473669</x:v>
      </x:c>
      <x:c r="O904" s="41" t="n">
        <x:v>506.057416</x:v>
      </x:c>
      <x:c r="P904" s="41" t="n">
        <x:f>IFERROR(M904/ABS(N904),"")</x:f>
        <x:v>0.12045392340278087</x:v>
      </x:c>
      <x:c r="Q904" s="41" t="str">
        <x:f>IF(L904&gt;=MAX(H904,P904),"Weekly",IF(H904&gt;=MAX(L904,P904),"No weekly","SPY"))</x:f>
        <x:v>Weekly</x:v>
      </x:c>
      <x:c r="R904" s="41" t="n">
        <x:f>IFERROR(L904-P904,"")</x:f>
        <x:v>0.31076039852471166</x:v>
      </x:c>
      <x:c r="S904" s="41" t="n">
        <x:f>IFERROR(H904-P904,"")</x:f>
        <x:v>0.24072059454696587</x:v>
      </x:c>
      <x:c r="T904" s="41" t="n">
        <x:f>IFERROR(I904-M904,"")</x:f>
        <x:v>6.652323</x:v>
      </x:c>
      <x:c r="U904" s="41" t="n">
        <x:f>IFERROR(E904-M904,"")</x:f>
        <x:v>5.659107</x:v>
      </x:c>
      <x:c r="V904" s="41" t="str">
        <x:f>IF(AND(I904&gt;M904,J904&gt;N904),"Sí","No")</x:f>
        <x:v>Sí</x:v>
      </x:c>
      <x:c r="W904" s="41" t="str">
        <x:f>IF(AND(E904&gt;M904,F904&gt;N904),"Sí","No")</x:f>
        <x:v>Sí</x:v>
      </x:c>
      <x:c r="X904" s="41" t="str">
        <x:f>IF(L904&gt;=H904,"Weekly","No weekly")</x:f>
        <x:v>Weekly</x:v>
      </x:c>
      <x:c r="Y904" s="41" t="n">
        <x:f>IFERROR(I904-E904,"")</x:f>
        <x:v>0.9932160000000003</x:v>
      </x:c>
      <x:c r="Z904" s="41" t="n">
        <x:f>IFERROR(J904-F904,"")</x:f>
        <x:v>3.3008249999999997</x:v>
      </x:c>
      <x:c r="AA904" s="41" t="n">
        <x:v>12021</x:v>
      </x:c>
      <x:c r="AB904" s="41" t="n">
        <x:v>5535</x:v>
      </x:c>
    </x:row>
    <x:row r="905">
      <x:c r="A905" s="41" t="str">
        <x:v>HYP_REFINE_AUTO002_TOPN_6_V1_DDGRID_LONG_R12_C24_E75_CR33_REDD_RECOVERED_DD8_SL20</x:v>
      </x:c>
      <x:c r="B905" s="41" t="str">
        <x:v>dd_guard_grid</x:v>
      </x:c>
      <x:c r="C905" s="41" t="str">
        <x:v>1999-01-04</x:v>
      </x:c>
      <x:c r="D905" s="41" t="str">
        <x:v>2026-05-22</x:v>
      </x:c>
      <x:c r="E905" s="41" t="n">
        <x:v>12.338742</x:v>
      </x:c>
      <x:c r="F905" s="41" t="n">
        <x:v>-33.05814</x:v>
      </x:c>
      <x:c r="G905" s="41" t="n">
        <x:v>2317.819657</x:v>
      </x:c>
      <x:c r="H905" s="41" t="n">
        <x:f>IFERROR(E905/ABS(F905),"")</x:f>
        <x:v>0.3732436852164096</x:v>
      </x:c>
      <x:c r="I905" s="41" t="n">
        <x:v>12.140427</x:v>
      </x:c>
      <x:c r="J905" s="41" t="n">
        <x:v>-30.368331</x:v>
      </x:c>
      <x:c r="K905" s="41" t="n">
        <x:v>2203.641601</x:v>
      </x:c>
      <x:c r="L905" s="41" t="n">
        <x:f>IFERROR(I905/ABS(J905),"")</x:f>
        <x:v>0.3997726118040534</x:v>
      </x:c>
      <x:c r="M905" s="41" t="n">
        <x:v>6.802475</x:v>
      </x:c>
      <x:c r="N905" s="41" t="n">
        <x:v>-56.473669</x:v>
      </x:c>
      <x:c r="O905" s="41" t="n">
        <x:v>506.057416</x:v>
      </x:c>
      <x:c r="P905" s="41" t="n">
        <x:f>IFERROR(M905/ABS(N905),"")</x:f>
        <x:v>0.12045392340278087</x:v>
      </x:c>
      <x:c r="Q905" s="41" t="str">
        <x:f>IF(L905&gt;=MAX(H905,P905),"Weekly",IF(H905&gt;=MAX(L905,P905),"No weekly","SPY"))</x:f>
        <x:v>Weekly</x:v>
      </x:c>
      <x:c r="R905" s="41" t="n">
        <x:f>IFERROR(L905-P905,"")</x:f>
        <x:v>0.2793186884012725</x:v>
      </x:c>
      <x:c r="S905" s="41" t="n">
        <x:f>IFERROR(H905-P905,"")</x:f>
        <x:v>0.2527897618136287</x:v>
      </x:c>
      <x:c r="T905" s="41" t="n">
        <x:f>IFERROR(I905-M905,"")</x:f>
        <x:v>5.3379520000000005</x:v>
      </x:c>
      <x:c r="U905" s="41" t="n">
        <x:f>IFERROR(E905-M905,"")</x:f>
        <x:v>5.536267</x:v>
      </x:c>
      <x:c r="V905" s="41" t="str">
        <x:f>IF(AND(I905&gt;M905,J905&gt;N905),"Sí","No")</x:f>
        <x:v>Sí</x:v>
      </x:c>
      <x:c r="W905" s="41" t="str">
        <x:f>IF(AND(E905&gt;M905,F905&gt;N905),"Sí","No")</x:f>
        <x:v>Sí</x:v>
      </x:c>
      <x:c r="X905" s="41" t="str">
        <x:f>IF(L905&gt;=H905,"Weekly","No weekly")</x:f>
        <x:v>Weekly</x:v>
      </x:c>
      <x:c r="Y905" s="41" t="n">
        <x:f>IFERROR(I905-E905,"")</x:f>
        <x:v>-0.19831499999999913</x:v>
      </x:c>
      <x:c r="Z905" s="41" t="n">
        <x:f>IFERROR(J905-F905,"")</x:f>
        <x:v>2.6898090000000003</x:v>
      </x:c>
      <x:c r="AA905" s="41" t="n">
        <x:v>12274</x:v>
      </x:c>
      <x:c r="AB905" s="41" t="n">
        <x:v>5890</x:v>
      </x:c>
    </x:row>
    <x:row r="906">
      <x:c r="A906" s="41" t="str">
        <x:v>HYP_REFINE_AUTO002_TOPN_6_V1_DDGRID_LONG_R12_C24_E75_CR36_REDD_RECOVERED_DD8_SL20</x:v>
      </x:c>
      <x:c r="B906" s="41" t="str">
        <x:v>dd_guard_grid</x:v>
      </x:c>
      <x:c r="C906" s="41" t="str">
        <x:v>1999-01-04</x:v>
      </x:c>
      <x:c r="D906" s="41" t="str">
        <x:v>2026-05-22</x:v>
      </x:c>
      <x:c r="E906" s="41" t="n">
        <x:v>13.060601</x:v>
      </x:c>
      <x:c r="F906" s="41" t="n">
        <x:v>-33.348675</x:v>
      </x:c>
      <x:c r="G906" s="41" t="n">
        <x:v>2781.267337</x:v>
      </x:c>
      <x:c r="H906" s="41" t="n">
        <x:f>IFERROR(E906/ABS(F906),"")</x:f>
        <x:v>0.3916377787123476</x:v>
      </x:c>
      <x:c r="I906" s="41" t="n">
        <x:v>12.516556</x:v>
      </x:c>
      <x:c r="J906" s="41" t="n">
        <x:v>-28.746109</x:v>
      </x:c>
      <x:c r="K906" s="41" t="n">
        <x:v>2424.814085</x:v>
      </x:c>
      <x:c r="L906" s="41" t="n">
        <x:f>IFERROR(I906/ABS(J906),"")</x:f>
        <x:v>0.435417398577317</x:v>
      </x:c>
      <x:c r="M906" s="41" t="n">
        <x:v>6.802475</x:v>
      </x:c>
      <x:c r="N906" s="41" t="n">
        <x:v>-56.473669</x:v>
      </x:c>
      <x:c r="O906" s="41" t="n">
        <x:v>506.057416</x:v>
      </x:c>
      <x:c r="P906" s="41" t="n">
        <x:f>IFERROR(M906/ABS(N906),"")</x:f>
        <x:v>0.12045392340278087</x:v>
      </x:c>
      <x:c r="Q906" s="41" t="str">
        <x:f>IF(L906&gt;=MAX(H906,P906),"Weekly",IF(H906&gt;=MAX(L906,P906),"No weekly","SPY"))</x:f>
        <x:v>Weekly</x:v>
      </x:c>
      <x:c r="R906" s="41" t="n">
        <x:f>IFERROR(L906-P906,"")</x:f>
        <x:v>0.3149634751745361</x:v>
      </x:c>
      <x:c r="S906" s="41" t="n">
        <x:f>IFERROR(H906-P906,"")</x:f>
        <x:v>0.27118385530956673</x:v>
      </x:c>
      <x:c r="T906" s="41" t="n">
        <x:f>IFERROR(I906-M906,"")</x:f>
        <x:v>5.714080999999999</x:v>
      </x:c>
      <x:c r="U906" s="41" t="n">
        <x:f>IFERROR(E906-M906,"")</x:f>
        <x:v>6.258126</x:v>
      </x:c>
      <x:c r="V906" s="41" t="str">
        <x:f>IF(AND(I906&gt;M906,J906&gt;N906),"Sí","No")</x:f>
        <x:v>Sí</x:v>
      </x:c>
      <x:c r="W906" s="41" t="str">
        <x:f>IF(AND(E906&gt;M906,F906&gt;N906),"Sí","No")</x:f>
        <x:v>Sí</x:v>
      </x:c>
      <x:c r="X906" s="41" t="str">
        <x:f>IF(L906&gt;=H906,"Weekly","No weekly")</x:f>
        <x:v>Weekly</x:v>
      </x:c>
      <x:c r="Y906" s="41" t="n">
        <x:f>IFERROR(I906-E906,"")</x:f>
        <x:v>-0.5440450000000006</x:v>
      </x:c>
      <x:c r="Z906" s="41" t="n">
        <x:f>IFERROR(J906-F906,"")</x:f>
        <x:v>4.6025659999999995</x:v>
      </x:c>
      <x:c r="AA906" s="41" t="n">
        <x:v>11697</x:v>
      </x:c>
      <x:c r="AB906" s="41" t="n">
        <x:v>5640</x:v>
      </x:c>
    </x:row>
    <x:row r="907">
      <x:c r="A907" s="41" t="str">
        <x:v>HYP_REFINE_AUTO002_TOPN_6_V1_DDGRID_LONG_R12_C24_E75_CR36_REDD_RECOVERED_DD8_SL22</x:v>
      </x:c>
      <x:c r="B907" s="41" t="str">
        <x:v>dd_guard_grid</x:v>
      </x:c>
      <x:c r="C907" s="41" t="str">
        <x:v>1999-01-04</x:v>
      </x:c>
      <x:c r="D907" s="41" t="str">
        <x:v>2026-05-22</x:v>
      </x:c>
      <x:c r="E907" s="41" t="n">
        <x:v>12.798496</x:v>
      </x:c>
      <x:c r="F907" s="41" t="n">
        <x:v>-33.952742</x:v>
      </x:c>
      <x:c r="G907" s="41" t="n">
        <x:v>2603.874553</x:v>
      </x:c>
      <x:c r="H907" s="41" t="n">
        <x:f>IFERROR(E907/ABS(F907),"")</x:f>
        <x:v>0.37695029167305544</x:v>
      </x:c>
      <x:c r="I907" s="41" t="n">
        <x:v>12.12544</x:v>
      </x:c>
      <x:c r="J907" s="41" t="n">
        <x:v>-29.074235</x:v>
      </x:c>
      <x:c r="K907" s="41" t="n">
        <x:v>2195.227792</x:v>
      </x:c>
      <x:c r="L907" s="41" t="n">
        <x:f>IFERROR(I907/ABS(J907),"")</x:f>
        <x:v>0.41705104192767234</x:v>
      </x:c>
      <x:c r="M907" s="41" t="n">
        <x:v>6.802475</x:v>
      </x:c>
      <x:c r="N907" s="41" t="n">
        <x:v>-56.473669</x:v>
      </x:c>
      <x:c r="O907" s="41" t="n">
        <x:v>506.057416</x:v>
      </x:c>
      <x:c r="P907" s="41" t="n">
        <x:f>IFERROR(M907/ABS(N907),"")</x:f>
        <x:v>0.12045392340278087</x:v>
      </x:c>
      <x:c r="Q907" s="41" t="str">
        <x:f>IF(L907&gt;=MAX(H907,P907),"Weekly",IF(H907&gt;=MAX(L907,P907),"No weekly","SPY"))</x:f>
        <x:v>Weekly</x:v>
      </x:c>
      <x:c r="R907" s="41" t="n">
        <x:f>IFERROR(L907-P907,"")</x:f>
        <x:v>0.29659711852489146</x:v>
      </x:c>
      <x:c r="S907" s="41" t="n">
        <x:f>IFERROR(H907-P907,"")</x:f>
        <x:v>0.25649636827027456</x:v>
      </x:c>
      <x:c r="T907" s="41" t="n">
        <x:f>IFERROR(I907-M907,"")</x:f>
        <x:v>5.322964999999999</x:v>
      </x:c>
      <x:c r="U907" s="41" t="n">
        <x:f>IFERROR(E907-M907,"")</x:f>
        <x:v>5.996021</x:v>
      </x:c>
      <x:c r="V907" s="41" t="str">
        <x:f>IF(AND(I907&gt;M907,J907&gt;N907),"Sí","No")</x:f>
        <x:v>Sí</x:v>
      </x:c>
      <x:c r="W907" s="41" t="str">
        <x:f>IF(AND(E907&gt;M907,F907&gt;N907),"Sí","No")</x:f>
        <x:v>Sí</x:v>
      </x:c>
      <x:c r="X907" s="41" t="str">
        <x:f>IF(L907&gt;=H907,"Weekly","No weekly")</x:f>
        <x:v>Weekly</x:v>
      </x:c>
      <x:c r="Y907" s="41" t="n">
        <x:f>IFERROR(I907-E907,"")</x:f>
        <x:v>-0.6730560000000008</x:v>
      </x:c>
      <x:c r="Z907" s="41" t="n">
        <x:f>IFERROR(J907-F907,"")</x:f>
        <x:v>4.878506999999999</x:v>
      </x:c>
      <x:c r="AA907" s="41" t="n">
        <x:v>12301</x:v>
      </x:c>
      <x:c r="AB907" s="41" t="n">
        <x:v>5781</x:v>
      </x:c>
    </x:row>
    <x:row r="908">
      <x:c r="A908" s="41" t="str">
        <x:v>HYP_REFINE_AUTO002_TOPN_6_V1_DDGRID_LONG_R12_C24_E75_CR40_REDD_RECOVERED_DD10_SL20</x:v>
      </x:c>
      <x:c r="B908" s="41" t="str">
        <x:v>dd_guard_grid</x:v>
      </x:c>
      <x:c r="C908" s="41" t="str">
        <x:v>1999-01-04</x:v>
      </x:c>
      <x:c r="D908" s="41" t="str">
        <x:v>2026-05-22</x:v>
      </x:c>
      <x:c r="E908" s="41" t="n">
        <x:v>12.796696</x:v>
      </x:c>
      <x:c r="F908" s="41" t="n">
        <x:v>-33.937267</x:v>
      </x:c>
      <x:c r="G908" s="41" t="n">
        <x:v>2602.693391</x:v>
      </x:c>
      <x:c r="H908" s="41" t="n">
        <x:f>IFERROR(E908/ABS(F908),"")</x:f>
        <x:v>0.37706913759437377</x:v>
      </x:c>
      <x:c r="I908" s="41" t="n">
        <x:v>12.874991</x:v>
      </x:c>
      <x:c r="J908" s="41" t="n">
        <x:v>-29.150912</x:v>
      </x:c>
      <x:c r="K908" s="41" t="n">
        <x:v>2654.528836</x:v>
      </x:c>
      <x:c r="L908" s="41" t="n">
        <x:f>IFERROR(I908/ABS(J908),"")</x:f>
        <x:v>0.44166683361398773</x:v>
      </x:c>
      <x:c r="M908" s="41" t="n">
        <x:v>6.802475</x:v>
      </x:c>
      <x:c r="N908" s="41" t="n">
        <x:v>-56.473669</x:v>
      </x:c>
      <x:c r="O908" s="41" t="n">
        <x:v>506.057416</x:v>
      </x:c>
      <x:c r="P908" s="41" t="n">
        <x:f>IFERROR(M908/ABS(N908),"")</x:f>
        <x:v>0.12045392340278087</x:v>
      </x:c>
      <x:c r="Q908" s="41" t="str">
        <x:f>IF(L908&gt;=MAX(H908,P908),"Weekly",IF(H908&gt;=MAX(L908,P908),"No weekly","SPY"))</x:f>
        <x:v>Weekly</x:v>
      </x:c>
      <x:c r="R908" s="41" t="n">
        <x:f>IFERROR(L908-P908,"")</x:f>
        <x:v>0.32121291021120685</x:v>
      </x:c>
      <x:c r="S908" s="41" t="n">
        <x:f>IFERROR(H908-P908,"")</x:f>
        <x:v>0.2566152141915929</x:v>
      </x:c>
      <x:c r="T908" s="41" t="n">
        <x:f>IFERROR(I908-M908,"")</x:f>
        <x:v>6.072515999999999</x:v>
      </x:c>
      <x:c r="U908" s="41" t="n">
        <x:f>IFERROR(E908-M908,"")</x:f>
        <x:v>5.9942210000000005</x:v>
      </x:c>
      <x:c r="V908" s="41" t="str">
        <x:f>IF(AND(I908&gt;M908,J908&gt;N908),"Sí","No")</x:f>
        <x:v>Sí</x:v>
      </x:c>
      <x:c r="W908" s="41" t="str">
        <x:f>IF(AND(E908&gt;M908,F908&gt;N908),"Sí","No")</x:f>
        <x:v>Sí</x:v>
      </x:c>
      <x:c r="X908" s="41" t="str">
        <x:f>IF(L908&gt;=H908,"Weekly","No weekly")</x:f>
        <x:v>Weekly</x:v>
      </x:c>
      <x:c r="Y908" s="41" t="n">
        <x:f>IFERROR(I908-E908,"")</x:f>
        <x:v>0.0782949999999989</x:v>
      </x:c>
      <x:c r="Z908" s="41" t="n">
        <x:f>IFERROR(J908-F908,"")</x:f>
        <x:v>4.786354999999997</x:v>
      </x:c>
      <x:c r="AA908" s="41" t="n">
        <x:v>11294</x:v>
      </x:c>
      <x:c r="AB908" s="41" t="n">
        <x:v>5044</x:v>
      </x:c>
    </x:row>
    <x:row r="909">
      <x:c r="A909" s="41" t="str">
        <x:v>HYP_REFINE_AUTO002_TOPN_6_V1_DDGRID_LONG_R12_C24_E75_CR40_REDD_RECOVERED_DD6_SL20</x:v>
      </x:c>
      <x:c r="B909" s="41" t="str">
        <x:v>dd_guard_grid</x:v>
      </x:c>
      <x:c r="C909" s="41" t="str">
        <x:v>1999-01-04</x:v>
      </x:c>
      <x:c r="D909" s="41" t="str">
        <x:v>2026-05-22</x:v>
      </x:c>
      <x:c r="E909" s="41" t="n">
        <x:v>13.112611</x:v>
      </x:c>
      <x:c r="F909" s="41" t="n">
        <x:v>-33.937267</x:v>
      </x:c>
      <x:c r="G909" s="41" t="n">
        <x:v>2817.776885</x:v>
      </x:c>
      <x:c r="H909" s="41" t="n">
        <x:f>IFERROR(E909/ABS(F909),"")</x:f>
        <x:v>0.38637793078623567</x:v>
      </x:c>
      <x:c r="I909" s="41" t="n">
        <x:v>12.418219</x:v>
      </x:c>
      <x:c r="J909" s="41" t="n">
        <x:v>-29.114991</x:v>
      </x:c>
      <x:c r="K909" s="41" t="n">
        <x:v>2365.091479</x:v>
      </x:c>
      <x:c r="L909" s="41" t="n">
        <x:f>IFERROR(I909/ABS(J909),"")</x:f>
        <x:v>0.42652319555929114</x:v>
      </x:c>
      <x:c r="M909" s="41" t="n">
        <x:v>6.802475</x:v>
      </x:c>
      <x:c r="N909" s="41" t="n">
        <x:v>-56.473669</x:v>
      </x:c>
      <x:c r="O909" s="41" t="n">
        <x:v>506.057416</x:v>
      </x:c>
      <x:c r="P909" s="41" t="n">
        <x:f>IFERROR(M909/ABS(N909),"")</x:f>
        <x:v>0.12045392340278087</x:v>
      </x:c>
      <x:c r="Q909" s="41" t="str">
        <x:f>IF(L909&gt;=MAX(H909,P909),"Weekly",IF(H909&gt;=MAX(L909,P909),"No weekly","SPY"))</x:f>
        <x:v>Weekly</x:v>
      </x:c>
      <x:c r="R909" s="41" t="n">
        <x:f>IFERROR(L909-P909,"")</x:f>
        <x:v>0.30606927215651025</x:v>
      </x:c>
      <x:c r="S909" s="41" t="n">
        <x:f>IFERROR(H909-P909,"")</x:f>
        <x:v>0.2659240073834548</x:v>
      </x:c>
      <x:c r="T909" s="41" t="n">
        <x:f>IFERROR(I909-M909,"")</x:f>
        <x:v>5.615744</x:v>
      </x:c>
      <x:c r="U909" s="41" t="n">
        <x:f>IFERROR(E909-M909,"")</x:f>
        <x:v>6.310135999999999</x:v>
      </x:c>
      <x:c r="V909" s="41" t="str">
        <x:f>IF(AND(I909&gt;M909,J909&gt;N909),"Sí","No")</x:f>
        <x:v>Sí</x:v>
      </x:c>
      <x:c r="W909" s="41" t="str">
        <x:f>IF(AND(E909&gt;M909,F909&gt;N909),"Sí","No")</x:f>
        <x:v>Sí</x:v>
      </x:c>
      <x:c r="X909" s="41" t="str">
        <x:f>IF(L909&gt;=H909,"Weekly","No weekly")</x:f>
        <x:v>Weekly</x:v>
      </x:c>
      <x:c r="Y909" s="41" t="n">
        <x:f>IFERROR(I909-E909,"")</x:f>
        <x:v>-0.6943919999999988</x:v>
      </x:c>
      <x:c r="Z909" s="41" t="n">
        <x:f>IFERROR(J909-F909,"")</x:f>
        <x:v>4.822275999999999</x:v>
      </x:c>
      <x:c r="AA909" s="41" t="n">
        <x:v>12047</x:v>
      </x:c>
      <x:c r="AB909" s="41" t="n">
        <x:v>5803</x:v>
      </x:c>
    </x:row>
    <x:row r="910">
      <x:c r="A910" s="41" t="str">
        <x:v>HYP_REFINE_AUTO002_TOPN_6_V1_DDGRID_LONG_R12_C24_E75_CR40_REDD_RECOVERED_DD7_SL18</x:v>
      </x:c>
      <x:c r="B910" s="41" t="str">
        <x:v>dd_guard_grid</x:v>
      </x:c>
      <x:c r="C910" s="41" t="str">
        <x:v>1999-01-04</x:v>
      </x:c>
      <x:c r="D910" s="41" t="str">
        <x:v>2026-05-22</x:v>
      </x:c>
      <x:c r="E910" s="41" t="n">
        <x:v>12.654518</x:v>
      </x:c>
      <x:c r="F910" s="41" t="n">
        <x:v>-33.186006</x:v>
      </x:c>
      <x:c r="G910" s="41" t="n">
        <x:v>2510.957909</x:v>
      </x:c>
      <x:c r="H910" s="41" t="n">
        <x:f>IFERROR(E910/ABS(F910),"")</x:f>
        <x:v>0.3813209097834792</x:v>
      </x:c>
      <x:c r="I910" s="41" t="n">
        <x:v>12.886912</x:v>
      </x:c>
      <x:c r="J910" s="41" t="n">
        <x:v>-29.509193</x:v>
      </x:c>
      <x:c r="K910" s="41" t="n">
        <x:v>2662.50482</x:v>
      </x:c>
      <x:c r="L910" s="41" t="n">
        <x:f>IFERROR(I910/ABS(J910),"")</x:f>
        <x:v>0.4367083844007527</x:v>
      </x:c>
      <x:c r="M910" s="41" t="n">
        <x:v>6.802475</x:v>
      </x:c>
      <x:c r="N910" s="41" t="n">
        <x:v>-56.473669</x:v>
      </x:c>
      <x:c r="O910" s="41" t="n">
        <x:v>506.057416</x:v>
      </x:c>
      <x:c r="P910" s="41" t="n">
        <x:f>IFERROR(M910/ABS(N910),"")</x:f>
        <x:v>0.12045392340278087</x:v>
      </x:c>
      <x:c r="Q910" s="41" t="str">
        <x:f>IF(L910&gt;=MAX(H910,P910),"Weekly",IF(H910&gt;=MAX(L910,P910),"No weekly","SPY"))</x:f>
        <x:v>Weekly</x:v>
      </x:c>
      <x:c r="R910" s="41" t="n">
        <x:f>IFERROR(L910-P910,"")</x:f>
        <x:v>0.31625446099797183</x:v>
      </x:c>
      <x:c r="S910" s="41" t="n">
        <x:f>IFERROR(H910-P910,"")</x:f>
        <x:v>0.26086698638069833</x:v>
      </x:c>
      <x:c r="T910" s="41" t="n">
        <x:f>IFERROR(I910-M910,"")</x:f>
        <x:v>6.084437</x:v>
      </x:c>
      <x:c r="U910" s="41" t="n">
        <x:f>IFERROR(E910-M910,"")</x:f>
        <x:v>5.852042999999999</x:v>
      </x:c>
      <x:c r="V910" s="41" t="str">
        <x:f>IF(AND(I910&gt;M910,J910&gt;N910),"Sí","No")</x:f>
        <x:v>Sí</x:v>
      </x:c>
      <x:c r="W910" s="41" t="str">
        <x:f>IF(AND(E910&gt;M910,F910&gt;N910),"Sí","No")</x:f>
        <x:v>Sí</x:v>
      </x:c>
      <x:c r="X910" s="41" t="str">
        <x:f>IF(L910&gt;=H910,"Weekly","No weekly")</x:f>
        <x:v>Weekly</x:v>
      </x:c>
      <x:c r="Y910" s="41" t="n">
        <x:f>IFERROR(I910-E910,"")</x:f>
        <x:v>0.2323940000000011</x:v>
      </x:c>
      <x:c r="Z910" s="41" t="n">
        <x:f>IFERROR(J910-F910,"")</x:f>
        <x:v>3.676812999999999</x:v>
      </x:c>
      <x:c r="AA910" s="41" t="n">
        <x:v>11659</x:v>
      </x:c>
      <x:c r="AB910" s="41" t="n">
        <x:v>5631</x:v>
      </x:c>
    </x:row>
    <x:row r="911">
      <x:c r="A911" s="41" t="str">
        <x:v>HYP_REFINE_AUTO002_TOPN_6_V1_DDGRID_LONG_R12_C24_E75_CR40_REDD_RECOVERED_DD7_SL20</x:v>
      </x:c>
      <x:c r="B911" s="41" t="str">
        <x:v>dd_guard_grid</x:v>
      </x:c>
      <x:c r="C911" s="41" t="str">
        <x:v>1999-01-04</x:v>
      </x:c>
      <x:c r="D911" s="41" t="str">
        <x:v>2026-05-22</x:v>
      </x:c>
      <x:c r="E911" s="41" t="n">
        <x:v>13.311284</x:v>
      </x:c>
      <x:c r="F911" s="41" t="n">
        <x:v>-33.937267</x:v>
      </x:c>
      <x:c r="G911" s="41" t="n">
        <x:v>2961.386809</x:v>
      </x:c>
      <x:c r="H911" s="41" t="n">
        <x:f>IFERROR(E911/ABS(F911),"")</x:f>
        <x:v>0.39223205569264025</x:v>
      </x:c>
      <x:c r="I911" s="41" t="n">
        <x:v>12.567362</x:v>
      </x:c>
      <x:c r="J911" s="41" t="n">
        <x:v>-29.150912</x:v>
      </x:c>
      <x:c r="K911" s="41" t="n">
        <x:v>2456.213964</x:v>
      </x:c>
      <x:c r="L911" s="41" t="n">
        <x:f>IFERROR(I911/ABS(J911),"")</x:f>
        <x:v>0.43111385331615004</x:v>
      </x:c>
      <x:c r="M911" s="41" t="n">
        <x:v>6.802475</x:v>
      </x:c>
      <x:c r="N911" s="41" t="n">
        <x:v>-56.473669</x:v>
      </x:c>
      <x:c r="O911" s="41" t="n">
        <x:v>506.057416</x:v>
      </x:c>
      <x:c r="P911" s="41" t="n">
        <x:f>IFERROR(M911/ABS(N911),"")</x:f>
        <x:v>0.12045392340278087</x:v>
      </x:c>
      <x:c r="Q911" s="41" t="str">
        <x:f>IF(L911&gt;=MAX(H911,P911),"Weekly",IF(H911&gt;=MAX(L911,P911),"No weekly","SPY"))</x:f>
        <x:v>Weekly</x:v>
      </x:c>
      <x:c r="R911" s="41" t="n">
        <x:f>IFERROR(L911-P911,"")</x:f>
        <x:v>0.31065992991336916</x:v>
      </x:c>
      <x:c r="S911" s="41" t="n">
        <x:f>IFERROR(H911-P911,"")</x:f>
        <x:v>0.27177813228985936</x:v>
      </x:c>
      <x:c r="T911" s="41" t="n">
        <x:f>IFERROR(I911-M911,"")</x:f>
        <x:v>5.764886999999999</x:v>
      </x:c>
      <x:c r="U911" s="41" t="n">
        <x:f>IFERROR(E911-M911,"")</x:f>
        <x:v>6.508809</x:v>
      </x:c>
      <x:c r="V911" s="41" t="str">
        <x:f>IF(AND(I911&gt;M911,J911&gt;N911),"Sí","No")</x:f>
        <x:v>Sí</x:v>
      </x:c>
      <x:c r="W911" s="41" t="str">
        <x:f>IF(AND(E911&gt;M911,F911&gt;N911),"Sí","No")</x:f>
        <x:v>Sí</x:v>
      </x:c>
      <x:c r="X911" s="41" t="str">
        <x:f>IF(L911&gt;=H911,"Weekly","No weekly")</x:f>
        <x:v>Weekly</x:v>
      </x:c>
      <x:c r="Y911" s="41" t="n">
        <x:f>IFERROR(I911-E911,"")</x:f>
        <x:v>-0.7439220000000013</x:v>
      </x:c>
      <x:c r="Z911" s="41" t="n">
        <x:f>IFERROR(J911-F911,"")</x:f>
        <x:v>4.786354999999997</x:v>
      </x:c>
      <x:c r="AA911" s="41" t="n">
        <x:v>11825</x:v>
      </x:c>
      <x:c r="AB911" s="41" t="n">
        <x:v>5492</x:v>
      </x:c>
    </x:row>
    <x:row r="912">
      <x:c r="A912" s="41" t="str">
        <x:v>HYP_REFINE_AUTO002_TOPN_6_V1_DDGRID_LONG_R12_C24_E75_CR40_REDD_RECOVERED_DD7_SL22</x:v>
      </x:c>
      <x:c r="B912" s="41" t="str">
        <x:v>dd_guard_grid</x:v>
      </x:c>
      <x:c r="C912" s="41" t="str">
        <x:v>1999-01-04</x:v>
      </x:c>
      <x:c r="D912" s="41" t="str">
        <x:v>2026-05-22</x:v>
      </x:c>
      <x:c r="E912" s="41" t="n">
        <x:v>12.703164</x:v>
      </x:c>
      <x:c r="F912" s="41" t="n">
        <x:v>-34.388897</x:v>
      </x:c>
      <x:c r="G912" s="41" t="n">
        <x:v>2542.001777</x:v>
      </x:c>
      <x:c r="H912" s="41" t="n">
        <x:f>IFERROR(E912/ABS(F912),"")</x:f>
        <x:v>0.3693972505137341</x:v>
      </x:c>
      <x:c r="I912" s="41" t="n">
        <x:v>12.580815</x:v>
      </x:c>
      <x:c r="J912" s="41" t="n">
        <x:v>-29.00038</x:v>
      </x:c>
      <x:c r="K912" s="41" t="n">
        <x:v>2464.591073</x:v>
      </x:c>
      <x:c r="L912" s="41" t="n">
        <x:f>IFERROR(I912/ABS(J912),"")</x:f>
        <x:v>0.43381552241729243</x:v>
      </x:c>
      <x:c r="M912" s="41" t="n">
        <x:v>6.802475</x:v>
      </x:c>
      <x:c r="N912" s="41" t="n">
        <x:v>-56.473669</x:v>
      </x:c>
      <x:c r="O912" s="41" t="n">
        <x:v>506.057416</x:v>
      </x:c>
      <x:c r="P912" s="41" t="n">
        <x:f>IFERROR(M912/ABS(N912),"")</x:f>
        <x:v>0.12045392340278087</x:v>
      </x:c>
      <x:c r="Q912" s="41" t="str">
        <x:f>IF(L912&gt;=MAX(H912,P912),"Weekly",IF(H912&gt;=MAX(L912,P912),"No weekly","SPY"))</x:f>
        <x:v>Weekly</x:v>
      </x:c>
      <x:c r="R912" s="41" t="n">
        <x:f>IFERROR(L912-P912,"")</x:f>
        <x:v>0.31336159901451155</x:v>
      </x:c>
      <x:c r="S912" s="41" t="n">
        <x:f>IFERROR(H912-P912,"")</x:f>
        <x:v>0.24894332711095324</x:v>
      </x:c>
      <x:c r="T912" s="41" t="n">
        <x:f>IFERROR(I912-M912,"")</x:f>
        <x:v>5.778339999999999</x:v>
      </x:c>
      <x:c r="U912" s="41" t="n">
        <x:f>IFERROR(E912-M912,"")</x:f>
        <x:v>5.900688999999999</x:v>
      </x:c>
      <x:c r="V912" s="41" t="str">
        <x:f>IF(AND(I912&gt;M912,J912&gt;N912),"Sí","No")</x:f>
        <x:v>Sí</x:v>
      </x:c>
      <x:c r="W912" s="41" t="str">
        <x:f>IF(AND(E912&gt;M912,F912&gt;N912),"Sí","No")</x:f>
        <x:v>Sí</x:v>
      </x:c>
      <x:c r="X912" s="41" t="str">
        <x:f>IF(L912&gt;=H912,"Weekly","No weekly")</x:f>
        <x:v>Weekly</x:v>
      </x:c>
      <x:c r="Y912" s="41" t="n">
        <x:f>IFERROR(I912-E912,"")</x:f>
        <x:v>-0.12234899999999982</x:v>
      </x:c>
      <x:c r="Z912" s="41" t="n">
        <x:f>IFERROR(J912-F912,"")</x:f>
        <x:v>5.388517</x:v>
      </x:c>
      <x:c r="AA912" s="41" t="n">
        <x:v>11787</x:v>
      </x:c>
      <x:c r="AB912" s="41" t="n">
        <x:v>5871</x:v>
      </x:c>
    </x:row>
    <x:row r="913">
      <x:c r="A913" s="41" t="str">
        <x:v>HYP_REFINE_AUTO002_TOPN_6_V1_DDGRID_LONG_R12_C24_E75_CR40_REDD_RECOVERED_DD7_SLNONE</x:v>
      </x:c>
      <x:c r="B913" s="41" t="str">
        <x:v>dd_guard_grid</x:v>
      </x:c>
      <x:c r="C913" s="41" t="str">
        <x:v>1999-01-04</x:v>
      </x:c>
      <x:c r="D913" s="41" t="str">
        <x:v>2026-05-22</x:v>
      </x:c>
      <x:c r="E913" s="41" t="n">
        <x:v>12.882183</x:v>
      </x:c>
      <x:c r="F913" s="41" t="n">
        <x:v>-35.185798</x:v>
      </x:c>
      <x:c r="G913" s="41" t="n">
        <x:v>2659.338195</x:v>
      </x:c>
      <x:c r="H913" s="41" t="n">
        <x:f>IFERROR(E913/ABS(F913),"")</x:f>
        <x:v>0.3661188244188749</x:v>
      </x:c>
      <x:c r="I913" s="41" t="n">
        <x:v>13.552576</x:v>
      </x:c>
      <x:c r="J913" s="41" t="n">
        <x:v>-29.625517</x:v>
      </x:c>
      <x:c r="K913" s="41" t="n">
        <x:v>3144.974105</x:v>
      </x:c>
      <x:c r="L913" s="41" t="n">
        <x:f>IFERROR(I913/ABS(J913),"")</x:f>
        <x:v>0.4574629364274048</x:v>
      </x:c>
      <x:c r="M913" s="41" t="n">
        <x:v>6.802475</x:v>
      </x:c>
      <x:c r="N913" s="41" t="n">
        <x:v>-56.473669</x:v>
      </x:c>
      <x:c r="O913" s="41" t="n">
        <x:v>506.057416</x:v>
      </x:c>
      <x:c r="P913" s="41" t="n">
        <x:f>IFERROR(M913/ABS(N913),"")</x:f>
        <x:v>0.12045392340278087</x:v>
      </x:c>
      <x:c r="Q913" s="41" t="str">
        <x:f>IF(L913&gt;=MAX(H913,P913),"Weekly",IF(H913&gt;=MAX(L913,P913),"No weekly","SPY"))</x:f>
        <x:v>Weekly</x:v>
      </x:c>
      <x:c r="R913" s="41" t="n">
        <x:f>IFERROR(L913-P913,"")</x:f>
        <x:v>0.33700901302462394</x:v>
      </x:c>
      <x:c r="S913" s="41" t="n">
        <x:f>IFERROR(H913-P913,"")</x:f>
        <x:v>0.245664901016094</x:v>
      </x:c>
      <x:c r="T913" s="41" t="n">
        <x:f>IFERROR(I913-M913,"")</x:f>
        <x:v>6.750101</x:v>
      </x:c>
      <x:c r="U913" s="41" t="n">
        <x:f>IFERROR(E913-M913,"")</x:f>
        <x:v>6.079707999999999</x:v>
      </x:c>
      <x:c r="V913" s="41" t="str">
        <x:f>IF(AND(I913&gt;M913,J913&gt;N913),"Sí","No")</x:f>
        <x:v>Sí</x:v>
      </x:c>
      <x:c r="W913" s="41" t="str">
        <x:f>IF(AND(E913&gt;M913,F913&gt;N913),"Sí","No")</x:f>
        <x:v>Sí</x:v>
      </x:c>
      <x:c r="X913" s="41" t="str">
        <x:f>IF(L913&gt;=H913,"Weekly","No weekly")</x:f>
        <x:v>Weekly</x:v>
      </x:c>
      <x:c r="Y913" s="41" t="n">
        <x:f>IFERROR(I913-E913,"")</x:f>
        <x:v>0.6703930000000007</x:v>
      </x:c>
      <x:c r="Z913" s="41" t="n">
        <x:f>IFERROR(J913-F913,"")</x:f>
        <x:v>5.560281</x:v>
      </x:c>
      <x:c r="AA913" s="41" t="n">
        <x:v>11874</x:v>
      </x:c>
      <x:c r="AB913" s="41" t="n">
        <x:v>6446</x:v>
      </x:c>
    </x:row>
    <x:row r="914">
      <x:c r="A914" s="41" t="str">
        <x:v>HYP_REFINE_AUTO002_TOPN_6_V1_DDGRID_LONG_R12_C24_E75_CR40_REDD_RECOVERED_DD8_SL18</x:v>
      </x:c>
      <x:c r="B914" s="41" t="str">
        <x:v>dd_guard_grid</x:v>
      </x:c>
      <x:c r="C914" s="41" t="str">
        <x:v>1999-01-04</x:v>
      </x:c>
      <x:c r="D914" s="41" t="str">
        <x:v>2026-05-22</x:v>
      </x:c>
      <x:c r="E914" s="41" t="n">
        <x:v>12.302733</x:v>
      </x:c>
      <x:c r="F914" s="41" t="n">
        <x:v>-33.186006</x:v>
      </x:c>
      <x:c r="G914" s="41" t="n">
        <x:v>2296.690022</x:v>
      </x:c>
      <x:c r="H914" s="41" t="n">
        <x:f>IFERROR(E914/ABS(F914),"")</x:f>
        <x:v>0.3707205079152942</x:v>
      </x:c>
      <x:c r="I914" s="41" t="n">
        <x:v>12.600932</x:v>
      </x:c>
      <x:c r="J914" s="41" t="n">
        <x:v>-29.509193</x:v>
      </x:c>
      <x:c r="K914" s="41" t="n">
        <x:v>2477.167511</x:v>
      </x:c>
      <x:c r="L914" s="41" t="n">
        <x:f>IFERROR(I914/ABS(J914),"")</x:f>
        <x:v>0.4270171671587224</x:v>
      </x:c>
      <x:c r="M914" s="41" t="n">
        <x:v>6.802475</x:v>
      </x:c>
      <x:c r="N914" s="41" t="n">
        <x:v>-56.473669</x:v>
      </x:c>
      <x:c r="O914" s="41" t="n">
        <x:v>506.057416</x:v>
      </x:c>
      <x:c r="P914" s="41" t="n">
        <x:f>IFERROR(M914/ABS(N914),"")</x:f>
        <x:v>0.12045392340278087</x:v>
      </x:c>
      <x:c r="Q914" s="41" t="str">
        <x:f>IF(L914&gt;=MAX(H914,P914),"Weekly",IF(H914&gt;=MAX(L914,P914),"No weekly","SPY"))</x:f>
        <x:v>Weekly</x:v>
      </x:c>
      <x:c r="R914" s="41" t="n">
        <x:f>IFERROR(L914-P914,"")</x:f>
        <x:v>0.3065632437559415</x:v>
      </x:c>
      <x:c r="S914" s="41" t="n">
        <x:f>IFERROR(H914-P914,"")</x:f>
        <x:v>0.2502665845125133</x:v>
      </x:c>
      <x:c r="T914" s="41" t="n">
        <x:f>IFERROR(I914-M914,"")</x:f>
        <x:v>5.798457</x:v>
      </x:c>
      <x:c r="U914" s="41" t="n">
        <x:f>IFERROR(E914-M914,"")</x:f>
        <x:v>5.500258</x:v>
      </x:c>
      <x:c r="V914" s="41" t="str">
        <x:f>IF(AND(I914&gt;M914,J914&gt;N914),"Sí","No")</x:f>
        <x:v>Sí</x:v>
      </x:c>
      <x:c r="W914" s="41" t="str">
        <x:f>IF(AND(E914&gt;M914,F914&gt;N914),"Sí","No")</x:f>
        <x:v>Sí</x:v>
      </x:c>
      <x:c r="X914" s="41" t="str">
        <x:f>IF(L914&gt;=H914,"Weekly","No weekly")</x:f>
        <x:v>Weekly</x:v>
      </x:c>
      <x:c r="Y914" s="41" t="n">
        <x:f>IFERROR(I914-E914,"")</x:f>
        <x:v>0.2981990000000003</x:v>
      </x:c>
      <x:c r="Z914" s="41" t="n">
        <x:f>IFERROR(J914-F914,"")</x:f>
        <x:v>3.676812999999999</x:v>
      </x:c>
      <x:c r="AA914" s="41" t="n">
        <x:v>11469</x:v>
      </x:c>
      <x:c r="AB914" s="41" t="n">
        <x:v>5443</x:v>
      </x:c>
    </x:row>
    <x:row r="915">
      <x:c r="A915" s="41" t="str">
        <x:v>HYP_REFINE_AUTO002_TOPN_6_V1_DDGRID_LONG_R12_C24_E75_CR40_REDD_RECOVERED_DD8_SL20</x:v>
      </x:c>
      <x:c r="B915" s="41" t="str">
        <x:v>dd_guard_grid</x:v>
      </x:c>
      <x:c r="C915" s="41" t="str">
        <x:v>1999-01-04</x:v>
      </x:c>
      <x:c r="D915" s="41" t="str">
        <x:v>2026-05-22</x:v>
      </x:c>
      <x:c r="E915" s="41" t="n">
        <x:v>13.209965</x:v>
      </x:c>
      <x:c r="F915" s="41" t="n">
        <x:v>-33.937267</x:v>
      </x:c>
      <x:c r="G915" s="41" t="n">
        <x:v>2887.317874</x:v>
      </x:c>
      <x:c r="H915" s="41" t="n">
        <x:f>IFERROR(E915/ABS(F915),"")</x:f>
        <x:v>0.38924657663211365</x:v>
      </x:c>
      <x:c r="I915" s="41" t="n">
        <x:v>12.808918</x:v>
      </x:c>
      <x:c r="J915" s="41" t="n">
        <x:v>-29.150912</x:v>
      </x:c>
      <x:c r="K915" s="41" t="n">
        <x:v>2610.722803</x:v>
      </x:c>
      <x:c r="L915" s="41" t="n">
        <x:f>IFERROR(I915/ABS(J915),"")</x:f>
        <x:v>0.43940024929580246</x:v>
      </x:c>
      <x:c r="M915" s="41" t="n">
        <x:v>6.802475</x:v>
      </x:c>
      <x:c r="N915" s="41" t="n">
        <x:v>-56.473669</x:v>
      </x:c>
      <x:c r="O915" s="41" t="n">
        <x:v>506.057416</x:v>
      </x:c>
      <x:c r="P915" s="41" t="n">
        <x:f>IFERROR(M915/ABS(N915),"")</x:f>
        <x:v>0.12045392340278087</x:v>
      </x:c>
      <x:c r="Q915" s="41" t="str">
        <x:f>IF(L915&gt;=MAX(H915,P915),"Weekly",IF(H915&gt;=MAX(L915,P915),"No weekly","SPY"))</x:f>
        <x:v>Weekly</x:v>
      </x:c>
      <x:c r="R915" s="41" t="n">
        <x:f>IFERROR(L915-P915,"")</x:f>
        <x:v>0.3189463258930216</x:v>
      </x:c>
      <x:c r="S915" s="41" t="n">
        <x:f>IFERROR(H915-P915,"")</x:f>
        <x:v>0.26879265322933277</x:v>
      </x:c>
      <x:c r="T915" s="41" t="n">
        <x:f>IFERROR(I915-M915,"")</x:f>
        <x:v>6.006443</x:v>
      </x:c>
      <x:c r="U915" s="41" t="n">
        <x:f>IFERROR(E915-M915,"")</x:f>
        <x:v>6.40749</x:v>
      </x:c>
      <x:c r="V915" s="41" t="str">
        <x:f>IF(AND(I915&gt;M915,J915&gt;N915),"Sí","No")</x:f>
        <x:v>Sí</x:v>
      </x:c>
      <x:c r="W915" s="41" t="str">
        <x:f>IF(AND(E915&gt;M915,F915&gt;N915),"Sí","No")</x:f>
        <x:v>Sí</x:v>
      </x:c>
      <x:c r="X915" s="41" t="str">
        <x:f>IF(L915&gt;=H915,"Weekly","No weekly")</x:f>
        <x:v>Weekly</x:v>
      </x:c>
      <x:c r="Y915" s="41" t="n">
        <x:f>IFERROR(I915-E915,"")</x:f>
        <x:v>-0.40104700000000015</x:v>
      </x:c>
      <x:c r="Z915" s="41" t="n">
        <x:f>IFERROR(J915-F915,"")</x:f>
        <x:v>4.786354999999997</x:v>
      </x:c>
      <x:c r="AA915" s="41" t="n">
        <x:v>11582</x:v>
      </x:c>
      <x:c r="AB915" s="41" t="n">
        <x:v>5373</x:v>
      </x:c>
    </x:row>
    <x:row r="916">
      <x:c r="A916" s="41" t="str">
        <x:v>HYP_REFINE_AUTO002_TOPN_6_V1_DDGRID_LONG_R12_C24_E75_CR40_REDD_RECOVERED_DD8_SL22</x:v>
      </x:c>
      <x:c r="B916" s="41" t="str">
        <x:v>dd_guard_grid</x:v>
      </x:c>
      <x:c r="C916" s="41" t="str">
        <x:v>1999-01-04</x:v>
      </x:c>
      <x:c r="D916" s="41" t="str">
        <x:v>2026-05-22</x:v>
      </x:c>
      <x:c r="E916" s="41" t="n">
        <x:v>12.858775</x:v>
      </x:c>
      <x:c r="F916" s="41" t="n">
        <x:v>-34.388897</x:v>
      </x:c>
      <x:c r="G916" s="41" t="n">
        <x:v>2643.715101</x:v>
      </x:c>
      <x:c r="H916" s="41" t="n">
        <x:f>IFERROR(E916/ABS(F916),"")</x:f>
        <x:v>0.373922286603144</x:v>
      </x:c>
      <x:c r="I916" s="41" t="n">
        <x:v>12.825955</x:v>
      </x:c>
      <x:c r="J916" s="41" t="n">
        <x:v>-29.00038</x:v>
      </x:c>
      <x:c r="K916" s="41" t="n">
        <x:v>2621.953314</x:v>
      </x:c>
      <x:c r="L916" s="41" t="n">
        <x:f>IFERROR(I916/ABS(J916),"")</x:f>
        <x:v>0.44226851510221593</x:v>
      </x:c>
      <x:c r="M916" s="41" t="n">
        <x:v>6.802475</x:v>
      </x:c>
      <x:c r="N916" s="41" t="n">
        <x:v>-56.473669</x:v>
      </x:c>
      <x:c r="O916" s="41" t="n">
        <x:v>506.057416</x:v>
      </x:c>
      <x:c r="P916" s="41" t="n">
        <x:f>IFERROR(M916/ABS(N916),"")</x:f>
        <x:v>0.12045392340278087</x:v>
      </x:c>
      <x:c r="Q916" s="41" t="str">
        <x:f>IF(L916&gt;=MAX(H916,P916),"Weekly",IF(H916&gt;=MAX(L916,P916),"No weekly","SPY"))</x:f>
        <x:v>Weekly</x:v>
      </x:c>
      <x:c r="R916" s="41" t="n">
        <x:f>IFERROR(L916-P916,"")</x:f>
        <x:v>0.32181459169943505</x:v>
      </x:c>
      <x:c r="S916" s="41" t="n">
        <x:f>IFERROR(H916-P916,"")</x:f>
        <x:v>0.25346836320036314</x:v>
      </x:c>
      <x:c r="T916" s="41" t="n">
        <x:f>IFERROR(I916-M916,"")</x:f>
        <x:v>6.02348</x:v>
      </x:c>
      <x:c r="U916" s="41" t="n">
        <x:f>IFERROR(E916-M916,"")</x:f>
        <x:v>6.056299999999999</x:v>
      </x:c>
      <x:c r="V916" s="41" t="str">
        <x:f>IF(AND(I916&gt;M916,J916&gt;N916),"Sí","No")</x:f>
        <x:v>Sí</x:v>
      </x:c>
      <x:c r="W916" s="41" t="str">
        <x:f>IF(AND(E916&gt;M916,F916&gt;N916),"Sí","No")</x:f>
        <x:v>Sí</x:v>
      </x:c>
      <x:c r="X916" s="41" t="str">
        <x:f>IF(L916&gt;=H916,"Weekly","No weekly")</x:f>
        <x:v>Weekly</x:v>
      </x:c>
      <x:c r="Y916" s="41" t="n">
        <x:f>IFERROR(I916-E916,"")</x:f>
        <x:v>-0.03281999999999918</x:v>
      </x:c>
      <x:c r="Z916" s="41" t="n">
        <x:f>IFERROR(J916-F916,"")</x:f>
        <x:v>5.388517</x:v>
      </x:c>
      <x:c r="AA916" s="41" t="n">
        <x:v>11585</x:v>
      </x:c>
      <x:c r="AB916" s="41" t="n">
        <x:v>5576</x:v>
      </x:c>
    </x:row>
    <x:row r="917">
      <x:c r="A917" s="41" t="str">
        <x:v>HYP_REFINE_AUTO002_TOPN_6_V1_DDGRID_LONG_R12_C24_E75_CR40_REDD_RECOVERED_DD8_SL24</x:v>
      </x:c>
      <x:c r="B917" s="41" t="str">
        <x:v>dd_guard_grid</x:v>
      </x:c>
      <x:c r="C917" s="41" t="str">
        <x:v>1999-01-04</x:v>
      </x:c>
      <x:c r="D917" s="41" t="str">
        <x:v>2026-05-22</x:v>
      </x:c>
      <x:c r="E917" s="41" t="n">
        <x:v>12.026293</x:v>
      </x:c>
      <x:c r="F917" s="41" t="n">
        <x:v>-35.225465</x:v>
      </x:c>
      <x:c r="G917" s="41" t="n">
        <x:v>2140.304677</x:v>
      </x:c>
      <x:c r="H917" s="41" t="n">
        <x:f>IFERROR(E917/ABS(F917),"")</x:f>
        <x:v>0.34140906301733703</x:v>
      </x:c>
      <x:c r="I917" s="41" t="n">
        <x:v>13.683573</x:v>
      </x:c>
      <x:c r="J917" s="41" t="n">
        <x:v>-29.137293</x:v>
      </x:c>
      <x:c r="K917" s="41" t="n">
        <x:v>3249.039666</x:v>
      </x:c>
      <x:c r="L917" s="41" t="n">
        <x:f>IFERROR(I917/ABS(J917),"")</x:f>
        <x:v>0.4696240313058595</x:v>
      </x:c>
      <x:c r="M917" s="41" t="n">
        <x:v>6.802475</x:v>
      </x:c>
      <x:c r="N917" s="41" t="n">
        <x:v>-56.473669</x:v>
      </x:c>
      <x:c r="O917" s="41" t="n">
        <x:v>506.057416</x:v>
      </x:c>
      <x:c r="P917" s="41" t="n">
        <x:f>IFERROR(M917/ABS(N917),"")</x:f>
        <x:v>0.12045392340278087</x:v>
      </x:c>
      <x:c r="Q917" s="41" t="str">
        <x:f>IF(L917&gt;=MAX(H917,P917),"Weekly",IF(H917&gt;=MAX(L917,P917),"No weekly","SPY"))</x:f>
        <x:v>Weekly</x:v>
      </x:c>
      <x:c r="R917" s="41" t="n">
        <x:f>IFERROR(L917-P917,"")</x:f>
        <x:v>0.3491701079030786</x:v>
      </x:c>
      <x:c r="S917" s="41" t="n">
        <x:f>IFERROR(H917-P917,"")</x:f>
        <x:v>0.22095513961455615</x:v>
      </x:c>
      <x:c r="T917" s="41" t="n">
        <x:f>IFERROR(I917-M917,"")</x:f>
        <x:v>6.881098000000001</x:v>
      </x:c>
      <x:c r="U917" s="41" t="n">
        <x:f>IFERROR(E917-M917,"")</x:f>
        <x:v>5.2238180000000005</x:v>
      </x:c>
      <x:c r="V917" s="41" t="str">
        <x:f>IF(AND(I917&gt;M917,J917&gt;N917),"Sí","No")</x:f>
        <x:v>Sí</x:v>
      </x:c>
      <x:c r="W917" s="41" t="str">
        <x:f>IF(AND(E917&gt;M917,F917&gt;N917),"Sí","No")</x:f>
        <x:v>Sí</x:v>
      </x:c>
      <x:c r="X917" s="41" t="str">
        <x:f>IF(L917&gt;=H917,"Weekly","No weekly")</x:f>
        <x:v>Weekly</x:v>
      </x:c>
      <x:c r="Y917" s="41" t="n">
        <x:f>IFERROR(I917-E917,"")</x:f>
        <x:v>1.65728</x:v>
      </x:c>
      <x:c r="Z917" s="41" t="n">
        <x:f>IFERROR(J917-F917,"")</x:f>
        <x:v>6.088172</x:v>
      </x:c>
      <x:c r="AA917" s="41" t="n">
        <x:v>11630</x:v>
      </x:c>
      <x:c r="AB917" s="41" t="n">
        <x:v>5751</x:v>
      </x:c>
    </x:row>
    <x:row r="918">
      <x:c r="A918" s="41" t="str">
        <x:v>HYP_REFINE_AUTO002_TOPN_6_V1_DDGRID_LONG_R12_C24_E75_CR40_REDD_RECOVERED_DD8_SLNONE</x:v>
      </x:c>
      <x:c r="B918" s="41" t="str">
        <x:v>dd_guard_grid</x:v>
      </x:c>
      <x:c r="C918" s="41" t="str">
        <x:v>1999-01-04</x:v>
      </x:c>
      <x:c r="D918" s="41" t="str">
        <x:v>2026-05-22</x:v>
      </x:c>
      <x:c r="E918" s="41" t="n">
        <x:v>12.588887</x:v>
      </x:c>
      <x:c r="F918" s="41" t="n">
        <x:v>-35.185798</x:v>
      </x:c>
      <x:c r="G918" s="41" t="n">
        <x:v>2469.6302</x:v>
      </x:c>
      <x:c r="H918" s="41" t="n">
        <x:f>IFERROR(E918/ABS(F918),"")</x:f>
        <x:v>0.35778318854669716</x:v>
      </x:c>
      <x:c r="I918" s="41" t="n">
        <x:v>13.862742</x:v>
      </x:c>
      <x:c r="J918" s="41" t="n">
        <x:v>-29.625517</x:v>
      </x:c>
      <x:c r="K918" s="41" t="n">
        <x:v>3396.593081</x:v>
      </x:c>
      <x:c r="L918" s="41" t="n">
        <x:f>IFERROR(I918/ABS(J918),"")</x:f>
        <x:v>0.4679324921148212</x:v>
      </x:c>
      <x:c r="M918" s="41" t="n">
        <x:v>6.802475</x:v>
      </x:c>
      <x:c r="N918" s="41" t="n">
        <x:v>-56.473669</x:v>
      </x:c>
      <x:c r="O918" s="41" t="n">
        <x:v>506.057416</x:v>
      </x:c>
      <x:c r="P918" s="41" t="n">
        <x:f>IFERROR(M918/ABS(N918),"")</x:f>
        <x:v>0.12045392340278087</x:v>
      </x:c>
      <x:c r="Q918" s="41" t="str">
        <x:f>IF(L918&gt;=MAX(H918,P918),"Weekly",IF(H918&gt;=MAX(L918,P918),"No weekly","SPY"))</x:f>
        <x:v>Weekly</x:v>
      </x:c>
      <x:c r="R918" s="41" t="n">
        <x:f>IFERROR(L918-P918,"")</x:f>
        <x:v>0.3474785687120403</x:v>
      </x:c>
      <x:c r="S918" s="41" t="n">
        <x:f>IFERROR(H918-P918,"")</x:f>
        <x:v>0.23732926514391628</x:v>
      </x:c>
      <x:c r="T918" s="41" t="n">
        <x:f>IFERROR(I918-M918,"")</x:f>
        <x:v>7.0602670000000005</x:v>
      </x:c>
      <x:c r="U918" s="41" t="n">
        <x:f>IFERROR(E918-M918,"")</x:f>
        <x:v>5.7864119999999994</x:v>
      </x:c>
      <x:c r="V918" s="41" t="str">
        <x:f>IF(AND(I918&gt;M918,J918&gt;N918),"Sí","No")</x:f>
        <x:v>Sí</x:v>
      </x:c>
      <x:c r="W918" s="41" t="str">
        <x:f>IF(AND(E918&gt;M918,F918&gt;N918),"Sí","No")</x:f>
        <x:v>Sí</x:v>
      </x:c>
      <x:c r="X918" s="41" t="str">
        <x:f>IF(L918&gt;=H918,"Weekly","No weekly")</x:f>
        <x:v>Weekly</x:v>
      </x:c>
      <x:c r="Y918" s="41" t="n">
        <x:f>IFERROR(I918-E918,"")</x:f>
        <x:v>1.273855000000001</x:v>
      </x:c>
      <x:c r="Z918" s="41" t="n">
        <x:f>IFERROR(J918-F918,"")</x:f>
        <x:v>5.560281</x:v>
      </x:c>
      <x:c r="AA918" s="41" t="n">
        <x:v>11707</x:v>
      </x:c>
      <x:c r="AB918" s="41" t="n">
        <x:v>6144</x:v>
      </x:c>
    </x:row>
    <x:row r="919">
      <x:c r="A919" s="41" t="str">
        <x:v>HYP_REFINE_AUTO002_TOPN_6_V1_DDGRID_LONG_R12_C24_E75_CR40_REDD_RECOVERED_DD9_SL18</x:v>
      </x:c>
      <x:c r="B919" s="41" t="str">
        <x:v>dd_guard_grid</x:v>
      </x:c>
      <x:c r="C919" s="41" t="str">
        <x:v>1999-01-04</x:v>
      </x:c>
      <x:c r="D919" s="41" t="str">
        <x:v>2026-05-22</x:v>
      </x:c>
      <x:c r="E919" s="41" t="n">
        <x:v>12.063534</x:v>
      </x:c>
      <x:c r="F919" s="41" t="n">
        <x:v>-33.186006</x:v>
      </x:c>
      <x:c r="G919" s="41" t="n">
        <x:v>2160.783948</x:v>
      </x:c>
      <x:c r="H919" s="41" t="n">
        <x:f>IFERROR(E919/ABS(F919),"")</x:f>
        <x:v>0.3635126806160404</x:v>
      </x:c>
      <x:c r="I919" s="41" t="n">
        <x:v>12.281804</x:v>
      </x:c>
      <x:c r="J919" s="41" t="n">
        <x:v>-29.509193</x:v>
      </x:c>
      <x:c r="K919" s="41" t="n">
        <x:v>2284.49183</x:v>
      </x:c>
      <x:c r="L919" s="41" t="n">
        <x:f>IFERROR(I919/ABS(J919),"")</x:f>
        <x:v>0.4162026389539016</x:v>
      </x:c>
      <x:c r="M919" s="41" t="n">
        <x:v>6.802475</x:v>
      </x:c>
      <x:c r="N919" s="41" t="n">
        <x:v>-56.473669</x:v>
      </x:c>
      <x:c r="O919" s="41" t="n">
        <x:v>506.057416</x:v>
      </x:c>
      <x:c r="P919" s="41" t="n">
        <x:f>IFERROR(M919/ABS(N919),"")</x:f>
        <x:v>0.12045392340278087</x:v>
      </x:c>
      <x:c r="Q919" s="41" t="str">
        <x:f>IF(L919&gt;=MAX(H919,P919),"Weekly",IF(H919&gt;=MAX(L919,P919),"No weekly","SPY"))</x:f>
        <x:v>Weekly</x:v>
      </x:c>
      <x:c r="R919" s="41" t="n">
        <x:f>IFERROR(L919-P919,"")</x:f>
        <x:v>0.2957487155511207</x:v>
      </x:c>
      <x:c r="S919" s="41" t="n">
        <x:f>IFERROR(H919-P919,"")</x:f>
        <x:v>0.24305875721325954</x:v>
      </x:c>
      <x:c r="T919" s="41" t="n">
        <x:f>IFERROR(I919-M919,"")</x:f>
        <x:v>5.479328999999999</x:v>
      </x:c>
      <x:c r="U919" s="41" t="n">
        <x:f>IFERROR(E919-M919,"")</x:f>
        <x:v>5.261059</x:v>
      </x:c>
      <x:c r="V919" s="41" t="str">
        <x:f>IF(AND(I919&gt;M919,J919&gt;N919),"Sí","No")</x:f>
        <x:v>Sí</x:v>
      </x:c>
      <x:c r="W919" s="41" t="str">
        <x:f>IF(AND(E919&gt;M919,F919&gt;N919),"Sí","No")</x:f>
        <x:v>Sí</x:v>
      </x:c>
      <x:c r="X919" s="41" t="str">
        <x:f>IF(L919&gt;=H919,"Weekly","No weekly")</x:f>
        <x:v>Weekly</x:v>
      </x:c>
      <x:c r="Y919" s="41" t="n">
        <x:f>IFERROR(I919-E919,"")</x:f>
        <x:v>0.21826999999999863</x:v>
      </x:c>
      <x:c r="Z919" s="41" t="n">
        <x:f>IFERROR(J919-F919,"")</x:f>
        <x:v>3.676812999999999</x:v>
      </x:c>
      <x:c r="AA919" s="41" t="n">
        <x:v>11468</x:v>
      </x:c>
      <x:c r="AB919" s="41" t="n">
        <x:v>5343</x:v>
      </x:c>
    </x:row>
    <x:row r="920">
      <x:c r="A920" s="41" t="str">
        <x:v>HYP_REFINE_AUTO002_TOPN_6_V1_DDGRID_LONG_R12_C24_E75_CR40_REDD_RECOVERED_DD9_SL20</x:v>
      </x:c>
      <x:c r="B920" s="41" t="str">
        <x:v>dd_guard_grid</x:v>
      </x:c>
      <x:c r="C920" s="41" t="str">
        <x:v>1999-01-04</x:v>
      </x:c>
      <x:c r="D920" s="41" t="str">
        <x:v>2026-05-22</x:v>
      </x:c>
      <x:c r="E920" s="41" t="n">
        <x:v>12.862359</x:v>
      </x:c>
      <x:c r="F920" s="41" t="n">
        <x:v>-33.937267</x:v>
      </x:c>
      <x:c r="G920" s="41" t="n">
        <x:v>2646.10121</x:v>
      </x:c>
      <x:c r="H920" s="41" t="n">
        <x:f>IFERROR(E920/ABS(F920),"")</x:f>
        <x:v>0.37900397224089966</x:v>
      </x:c>
      <x:c r="I920" s="41" t="n">
        <x:v>12.915507</x:v>
      </x:c>
      <x:c r="J920" s="41" t="n">
        <x:v>-29.150912</x:v>
      </x:c>
      <x:c r="K920" s="41" t="n">
        <x:v>2681.727264</x:v>
      </x:c>
      <x:c r="L920" s="41" t="n">
        <x:f>IFERROR(I920/ABS(J920),"")</x:f>
        <x:v>0.44305670436657346</x:v>
      </x:c>
      <x:c r="M920" s="41" t="n">
        <x:v>6.802475</x:v>
      </x:c>
      <x:c r="N920" s="41" t="n">
        <x:v>-56.473669</x:v>
      </x:c>
      <x:c r="O920" s="41" t="n">
        <x:v>506.057416</x:v>
      </x:c>
      <x:c r="P920" s="41" t="n">
        <x:f>IFERROR(M920/ABS(N920),"")</x:f>
        <x:v>0.12045392340278087</x:v>
      </x:c>
      <x:c r="Q920" s="41" t="str">
        <x:f>IF(L920&gt;=MAX(H920,P920),"Weekly",IF(H920&gt;=MAX(L920,P920),"No weekly","SPY"))</x:f>
        <x:v>Weekly</x:v>
      </x:c>
      <x:c r="R920" s="41" t="n">
        <x:f>IFERROR(L920-P920,"")</x:f>
        <x:v>0.3226027809637926</x:v>
      </x:c>
      <x:c r="S920" s="41" t="n">
        <x:f>IFERROR(H920-P920,"")</x:f>
        <x:v>0.2585500488381188</x:v>
      </x:c>
      <x:c r="T920" s="41" t="n">
        <x:f>IFERROR(I920-M920,"")</x:f>
        <x:v>6.113032</x:v>
      </x:c>
      <x:c r="U920" s="41" t="n">
        <x:f>IFERROR(E920-M920,"")</x:f>
        <x:v>6.059883999999999</x:v>
      </x:c>
      <x:c r="V920" s="41" t="str">
        <x:f>IF(AND(I920&gt;M920,J920&gt;N920),"Sí","No")</x:f>
        <x:v>Sí</x:v>
      </x:c>
      <x:c r="W920" s="41" t="str">
        <x:f>IF(AND(E920&gt;M920,F920&gt;N920),"Sí","No")</x:f>
        <x:v>Sí</x:v>
      </x:c>
      <x:c r="X920" s="41" t="str">
        <x:f>IF(L920&gt;=H920,"Weekly","No weekly")</x:f>
        <x:v>Weekly</x:v>
      </x:c>
      <x:c r="Y920" s="41" t="n">
        <x:f>IFERROR(I920-E920,"")</x:f>
        <x:v>0.053148000000000195</x:v>
      </x:c>
      <x:c r="Z920" s="41" t="n">
        <x:f>IFERROR(J920-F920,"")</x:f>
        <x:v>4.786354999999997</x:v>
      </x:c>
      <x:c r="AA920" s="41" t="n">
        <x:v>11530</x:v>
      </x:c>
      <x:c r="AB920" s="41" t="n">
        <x:v>5253</x:v>
      </x:c>
    </x:row>
    <x:row r="921">
      <x:c r="A921" s="41" t="str">
        <x:v>HYP_REFINE_AUTO002_TOPN_6_V1_DDGRID_LONG_R12_C24_E75_CR40_REDD_RECOVERED_DD9_SL22</x:v>
      </x:c>
      <x:c r="B921" s="41" t="str">
        <x:v>dd_guard_grid</x:v>
      </x:c>
      <x:c r="C921" s="41" t="str">
        <x:v>1999-01-04</x:v>
      </x:c>
      <x:c r="D921" s="41" t="str">
        <x:v>2026-05-22</x:v>
      </x:c>
      <x:c r="E921" s="41" t="n">
        <x:v>12.649303</x:v>
      </x:c>
      <x:c r="F921" s="41" t="n">
        <x:v>-34.388897</x:v>
      </x:c>
      <x:c r="G921" s="41" t="n">
        <x:v>2507.650501</x:v>
      </x:c>
      <x:c r="H921" s="41" t="n">
        <x:f>IFERROR(E921/ABS(F921),"")</x:f>
        <x:v>0.3678310182498729</x:v>
      </x:c>
      <x:c r="I921" s="41" t="n">
        <x:v>12.80057</x:v>
      </x:c>
      <x:c r="J921" s="41" t="n">
        <x:v>-29.00038</x:v>
      </x:c>
      <x:c r="K921" s="41" t="n">
        <x:v>2605.236007</x:v>
      </x:c>
      <x:c r="L921" s="41" t="n">
        <x:f>IFERROR(I921/ABS(J921),"")</x:f>
        <x:v>0.4413931817445151</x:v>
      </x:c>
      <x:c r="M921" s="41" t="n">
        <x:v>6.802475</x:v>
      </x:c>
      <x:c r="N921" s="41" t="n">
        <x:v>-56.473669</x:v>
      </x:c>
      <x:c r="O921" s="41" t="n">
        <x:v>506.057416</x:v>
      </x:c>
      <x:c r="P921" s="41" t="n">
        <x:f>IFERROR(M921/ABS(N921),"")</x:f>
        <x:v>0.12045392340278087</x:v>
      </x:c>
      <x:c r="Q921" s="41" t="str">
        <x:f>IF(L921&gt;=MAX(H921,P921),"Weekly",IF(H921&gt;=MAX(L921,P921),"No weekly","SPY"))</x:f>
        <x:v>Weekly</x:v>
      </x:c>
      <x:c r="R921" s="41" t="n">
        <x:f>IFERROR(L921-P921,"")</x:f>
        <x:v>0.3209392583417342</x:v>
      </x:c>
      <x:c r="S921" s="41" t="n">
        <x:f>IFERROR(H921-P921,"")</x:f>
        <x:v>0.24737709484709203</x:v>
      </x:c>
      <x:c r="T921" s="41" t="n">
        <x:f>IFERROR(I921-M921,"")</x:f>
        <x:v>5.998095</x:v>
      </x:c>
      <x:c r="U921" s="41" t="n">
        <x:f>IFERROR(E921-M921,"")</x:f>
        <x:v>5.8468279999999995</x:v>
      </x:c>
      <x:c r="V921" s="41" t="str">
        <x:f>IF(AND(I921&gt;M921,J921&gt;N921),"Sí","No")</x:f>
        <x:v>Sí</x:v>
      </x:c>
      <x:c r="W921" s="41" t="str">
        <x:f>IF(AND(E921&gt;M921,F921&gt;N921),"Sí","No")</x:f>
        <x:v>Sí</x:v>
      </x:c>
      <x:c r="X921" s="41" t="str">
        <x:f>IF(L921&gt;=H921,"Weekly","No weekly")</x:f>
        <x:v>Weekly</x:v>
      </x:c>
      <x:c r="Y921" s="41" t="n">
        <x:f>IFERROR(I921-E921,"")</x:f>
        <x:v>0.1512670000000007</x:v>
      </x:c>
      <x:c r="Z921" s="41" t="n">
        <x:f>IFERROR(J921-F921,"")</x:f>
        <x:v>5.388517</x:v>
      </x:c>
      <x:c r="AA921" s="41" t="n">
        <x:v>11582</x:v>
      </x:c>
      <x:c r="AB921" s="41" t="n">
        <x:v>5471</x:v>
      </x:c>
    </x:row>
    <x:row r="922">
      <x:c r="A922" s="41" t="str">
        <x:v>HYP_REFINE_AUTO002_TOPN_6_V1_DDGRID_LONG_R12_C24_E75_CR42_REDD_RECOVERED_DD7_SL18</x:v>
      </x:c>
      <x:c r="B922" s="41" t="str">
        <x:v>dd_guard_grid</x:v>
      </x:c>
      <x:c r="C922" s="41" t="str">
        <x:v>1999-01-04</x:v>
      </x:c>
      <x:c r="D922" s="41" t="str">
        <x:v>2026-05-22</x:v>
      </x:c>
      <x:c r="E922" s="41" t="n">
        <x:v>13.121471</x:v>
      </x:c>
      <x:c r="F922" s="41" t="n">
        <x:v>-34.182813</x:v>
      </x:c>
      <x:c r="G922" s="41" t="n">
        <x:v>2824.040761</x:v>
      </x:c>
      <x:c r="H922" s="41" t="n">
        <x:f>IFERROR(E922/ABS(F922),"")</x:f>
        <x:v>0.3838616500052233</x:v>
      </x:c>
      <x:c r="I922" s="41" t="n">
        <x:v>13.906659</x:v>
      </x:c>
      <x:c r="J922" s="41" t="n">
        <x:v>-29.71137</x:v>
      </x:c>
      <x:c r="K922" s="41" t="n">
        <x:v>3433.705255</x:v>
      </x:c>
      <x:c r="L922" s="41" t="n">
        <x:f>IFERROR(I922/ABS(J922),"")</x:f>
        <x:v>0.4680584907394038</x:v>
      </x:c>
      <x:c r="M922" s="41" t="n">
        <x:v>6.802475</x:v>
      </x:c>
      <x:c r="N922" s="41" t="n">
        <x:v>-56.473669</x:v>
      </x:c>
      <x:c r="O922" s="41" t="n">
        <x:v>506.057416</x:v>
      </x:c>
      <x:c r="P922" s="41" t="n">
        <x:f>IFERROR(M922/ABS(N922),"")</x:f>
        <x:v>0.12045392340278087</x:v>
      </x:c>
      <x:c r="Q922" s="41" t="str">
        <x:f>IF(L922&gt;=MAX(H922,P922),"Weekly",IF(H922&gt;=MAX(L922,P922),"No weekly","SPY"))</x:f>
        <x:v>Weekly</x:v>
      </x:c>
      <x:c r="R922" s="41" t="n">
        <x:f>IFERROR(L922-P922,"")</x:f>
        <x:v>0.3476045673366229</x:v>
      </x:c>
      <x:c r="S922" s="41" t="n">
        <x:f>IFERROR(H922-P922,"")</x:f>
        <x:v>0.26340772660244244</x:v>
      </x:c>
      <x:c r="T922" s="41" t="n">
        <x:f>IFERROR(I922-M922,"")</x:f>
        <x:v>7.104183999999999</x:v>
      </x:c>
      <x:c r="U922" s="41" t="n">
        <x:f>IFERROR(E922-M922,"")</x:f>
        <x:v>6.318995999999999</x:v>
      </x:c>
      <x:c r="V922" s="41" t="str">
        <x:f>IF(AND(I922&gt;M922,J922&gt;N922),"Sí","No")</x:f>
        <x:v>Sí</x:v>
      </x:c>
      <x:c r="W922" s="41" t="str">
        <x:f>IF(AND(E922&gt;M922,F922&gt;N922),"Sí","No")</x:f>
        <x:v>Sí</x:v>
      </x:c>
      <x:c r="X922" s="41" t="str">
        <x:f>IF(L922&gt;=H922,"Weekly","No weekly")</x:f>
        <x:v>Weekly</x:v>
      </x:c>
      <x:c r="Y922" s="41" t="n">
        <x:f>IFERROR(I922-E922,"")</x:f>
        <x:v>0.7851879999999998</x:v>
      </x:c>
      <x:c r="Z922" s="41" t="n">
        <x:f>IFERROR(J922-F922,"")</x:f>
        <x:v>4.471443000000004</x:v>
      </x:c>
      <x:c r="AA922" s="41" t="n">
        <x:v>11152</x:v>
      </x:c>
      <x:c r="AB922" s="41" t="n">
        <x:v>5264</x:v>
      </x:c>
    </x:row>
    <x:row r="923">
      <x:c r="A923" s="41" t="str">
        <x:v>HYP_REFINE_AUTO002_TOPN_6_V1_DDGRID_LONG_R12_C24_E75_CR42_REDD_RECOVERED_DD8_SL20</x:v>
      </x:c>
      <x:c r="B923" s="41" t="str">
        <x:v>dd_guard_grid</x:v>
      </x:c>
      <x:c r="C923" s="41" t="str">
        <x:v>1999-01-04</x:v>
      </x:c>
      <x:c r="D923" s="41" t="str">
        <x:v>2026-05-22</x:v>
      </x:c>
      <x:c r="E923" s="41" t="n">
        <x:v>13.117987</x:v>
      </x:c>
      <x:c r="F923" s="41" t="n">
        <x:v>-34.703484</x:v>
      </x:c>
      <x:c r="G923" s="41" t="n">
        <x:v>2821.576183</x:v>
      </x:c>
      <x:c r="H923" s="41" t="n">
        <x:f>IFERROR(E923/ABS(F923),"")</x:f>
        <x:v>0.37800201847169</x:v>
      </x:c>
      <x:c r="I923" s="41" t="n">
        <x:v>13.384685</x:v>
      </x:c>
      <x:c r="J923" s="41" t="n">
        <x:v>-29.299461</x:v>
      </x:c>
      <x:c r="K923" s="41" t="n">
        <x:v>3016.147471</x:v>
      </x:c>
      <x:c r="L923" s="41" t="n">
        <x:f>IFERROR(I923/ABS(J923),"")</x:f>
        <x:v>0.45682359139644235</x:v>
      </x:c>
      <x:c r="M923" s="41" t="n">
        <x:v>6.802475</x:v>
      </x:c>
      <x:c r="N923" s="41" t="n">
        <x:v>-56.473669</x:v>
      </x:c>
      <x:c r="O923" s="41" t="n">
        <x:v>506.057416</x:v>
      </x:c>
      <x:c r="P923" s="41" t="n">
        <x:f>IFERROR(M923/ABS(N923),"")</x:f>
        <x:v>0.12045392340278087</x:v>
      </x:c>
      <x:c r="Q923" s="41" t="str">
        <x:f>IF(L923&gt;=MAX(H923,P923),"Weekly",IF(H923&gt;=MAX(L923,P923),"No weekly","SPY"))</x:f>
        <x:v>Weekly</x:v>
      </x:c>
      <x:c r="R923" s="41" t="n">
        <x:f>IFERROR(L923-P923,"")</x:f>
        <x:v>0.33636966799366147</x:v>
      </x:c>
      <x:c r="S923" s="41" t="n">
        <x:f>IFERROR(H923-P923,"")</x:f>
        <x:v>0.25754809506890913</x:v>
      </x:c>
      <x:c r="T923" s="41" t="n">
        <x:f>IFERROR(I923-M923,"")</x:f>
        <x:v>6.582209999999999</x:v>
      </x:c>
      <x:c r="U923" s="41" t="n">
        <x:f>IFERROR(E923-M923,"")</x:f>
        <x:v>6.315511999999999</x:v>
      </x:c>
      <x:c r="V923" s="41" t="str">
        <x:f>IF(AND(I923&gt;M923,J923&gt;N923),"Sí","No")</x:f>
        <x:v>Sí</x:v>
      </x:c>
      <x:c r="W923" s="41" t="str">
        <x:f>IF(AND(E923&gt;M923,F923&gt;N923),"Sí","No")</x:f>
        <x:v>Sí</x:v>
      </x:c>
      <x:c r="X923" s="41" t="str">
        <x:f>IF(L923&gt;=H923,"Weekly","No weekly")</x:f>
        <x:v>Weekly</x:v>
      </x:c>
      <x:c r="Y923" s="41" t="n">
        <x:f>IFERROR(I923-E923,"")</x:f>
        <x:v>0.2666979999999999</x:v>
      </x:c>
      <x:c r="Z923" s="41" t="n">
        <x:f>IFERROR(J923-F923,"")</x:f>
        <x:v>5.404023000000002</x:v>
      </x:c>
      <x:c r="AA923" s="41" t="n">
        <x:v>11443</x:v>
      </x:c>
      <x:c r="AB923" s="41" t="n">
        <x:v>5387</x:v>
      </x:c>
    </x:row>
    <x:row r="924">
      <x:c r="A924" s="41" t="str">
        <x:v>HYP_REFINE_AUTO002_TOPN_6_V1_DDGRID_LONG_R12_C24_E75_CR42_REDD_RECOVERED_DD8_SL22</x:v>
      </x:c>
      <x:c r="B924" s="41" t="str">
        <x:v>dd_guard_grid</x:v>
      </x:c>
      <x:c r="C924" s="41" t="str">
        <x:v>1999-01-04</x:v>
      </x:c>
      <x:c r="D924" s="41" t="str">
        <x:v>2026-05-22</x:v>
      </x:c>
      <x:c r="E924" s="41" t="n">
        <x:v>14.347984</x:v>
      </x:c>
      <x:c r="F924" s="41" t="n">
        <x:v>-34.751577</x:v>
      </x:c>
      <x:c r="G924" s="41" t="n">
        <x:v>3828.346882</x:v>
      </x:c>
      <x:c r="H924" s="41" t="n">
        <x:f>IFERROR(E924/ABS(F924),"")</x:f>
        <x:v>0.4128728891929135</x:v>
      </x:c>
      <x:c r="I924" s="41" t="n">
        <x:v>12.587542</x:v>
      </x:c>
      <x:c r="J924" s="41" t="n">
        <x:v>-30.532388</x:v>
      </x:c>
      <x:c r="K924" s="41" t="n">
        <x:v>2468.790022</x:v>
      </x:c>
      <x:c r="L924" s="41" t="n">
        <x:f>IFERROR(I924/ABS(J924),"")</x:f>
        <x:v>0.412268506479087</x:v>
      </x:c>
      <x:c r="M924" s="41" t="n">
        <x:v>6.802475</x:v>
      </x:c>
      <x:c r="N924" s="41" t="n">
        <x:v>-56.473669</x:v>
      </x:c>
      <x:c r="O924" s="41" t="n">
        <x:v>506.057416</x:v>
      </x:c>
      <x:c r="P924" s="41" t="n">
        <x:f>IFERROR(M924/ABS(N924),"")</x:f>
        <x:v>0.12045392340278087</x:v>
      </x:c>
      <x:c r="Q924" s="41" t="str">
        <x:f>IF(L924&gt;=MAX(H924,P924),"Weekly",IF(H924&gt;=MAX(L924,P924),"No weekly","SPY"))</x:f>
        <x:v>No weekly</x:v>
      </x:c>
      <x:c r="R924" s="41" t="n">
        <x:f>IFERROR(L924-P924,"")</x:f>
        <x:v>0.29181458307630614</x:v>
      </x:c>
      <x:c r="S924" s="41" t="n">
        <x:f>IFERROR(H924-P924,"")</x:f>
        <x:v>0.2924189657901326</x:v>
      </x:c>
      <x:c r="T924" s="41" t="n">
        <x:f>IFERROR(I924-M924,"")</x:f>
        <x:v>5.785066999999999</x:v>
      </x:c>
      <x:c r="U924" s="41" t="n">
        <x:f>IFERROR(E924-M924,"")</x:f>
        <x:v>7.545509</x:v>
      </x:c>
      <x:c r="V924" s="41" t="str">
        <x:f>IF(AND(I924&gt;M924,J924&gt;N924),"Sí","No")</x:f>
        <x:v>Sí</x:v>
      </x:c>
      <x:c r="W924" s="41" t="str">
        <x:f>IF(AND(E924&gt;M924,F924&gt;N924),"Sí","No")</x:f>
        <x:v>Sí</x:v>
      </x:c>
      <x:c r="X924" s="41" t="str">
        <x:f>IF(L924&gt;=H924,"Weekly","No weekly")</x:f>
        <x:v>No weekly</x:v>
      </x:c>
      <x:c r="Y924" s="41" t="n">
        <x:f>IFERROR(I924-E924,"")</x:f>
        <x:v>-1.7604420000000012</x:v>
      </x:c>
      <x:c r="Z924" s="41" t="n">
        <x:f>IFERROR(J924-F924,"")</x:f>
        <x:v>4.2191889999999965</x:v>
      </x:c>
      <x:c r="AA924" s="41" t="n">
        <x:v>11858</x:v>
      </x:c>
      <x:c r="AB924" s="41" t="n">
        <x:v>5186</x:v>
      </x:c>
    </x:row>
    <x:row r="925">
      <x:c r="A925" s="41" t="str">
        <x:v>HYP_REFINE_AUTO002_TOPN_6_V1_DDGRID_LONG_R12_C24_E75_CR45_REDD_RECOVERED_DD8_SL20</x:v>
      </x:c>
      <x:c r="B925" s="41" t="str">
        <x:v>dd_guard_grid</x:v>
      </x:c>
      <x:c r="C925" s="41" t="str">
        <x:v>1999-01-04</x:v>
      </x:c>
      <x:c r="D925" s="41" t="str">
        <x:v>2026-05-22</x:v>
      </x:c>
      <x:c r="E925" s="41" t="n">
        <x:v>14.582955</x:v>
      </x:c>
      <x:c r="F925" s="41" t="n">
        <x:v>-34.958968</x:v>
      </x:c>
      <x:c r="G925" s="41" t="n">
        <x:v>4055.448389</x:v>
      </x:c>
      <x:c r="H925" s="41" t="n">
        <x:f>IFERROR(E925/ABS(F925),"")</x:f>
        <x:v>0.4171448939797079</x:v>
      </x:c>
      <x:c r="I925" s="41" t="n">
        <x:v>13.451483</x:v>
      </x:c>
      <x:c r="J925" s="41" t="n">
        <x:v>-31.012207</x:v>
      </x:c>
      <x:c r="K925" s="41" t="n">
        <x:v>3066.802026</x:v>
      </x:c>
      <x:c r="L925" s="41" t="n">
        <x:f>IFERROR(I925/ABS(J925),"")</x:f>
        <x:v>0.4337480076796856</x:v>
      </x:c>
      <x:c r="M925" s="41" t="n">
        <x:v>6.802475</x:v>
      </x:c>
      <x:c r="N925" s="41" t="n">
        <x:v>-56.473669</x:v>
      </x:c>
      <x:c r="O925" s="41" t="n">
        <x:v>506.057416</x:v>
      </x:c>
      <x:c r="P925" s="41" t="n">
        <x:f>IFERROR(M925/ABS(N925),"")</x:f>
        <x:v>0.12045392340278087</x:v>
      </x:c>
      <x:c r="Q925" s="41" t="str">
        <x:f>IF(L925&gt;=MAX(H925,P925),"Weekly",IF(H925&gt;=MAX(L925,P925),"No weekly","SPY"))</x:f>
        <x:v>Weekly</x:v>
      </x:c>
      <x:c r="R925" s="41" t="n">
        <x:f>IFERROR(L925-P925,"")</x:f>
        <x:v>0.3132940842769047</x:v>
      </x:c>
      <x:c r="S925" s="41" t="n">
        <x:f>IFERROR(H925-P925,"")</x:f>
        <x:v>0.296690970576927</x:v>
      </x:c>
      <x:c r="T925" s="41" t="n">
        <x:f>IFERROR(I925-M925,"")</x:f>
        <x:v>6.649007999999999</x:v>
      </x:c>
      <x:c r="U925" s="41" t="n">
        <x:f>IFERROR(E925-M925,"")</x:f>
        <x:v>7.78048</x:v>
      </x:c>
      <x:c r="V925" s="41" t="str">
        <x:f>IF(AND(I925&gt;M925,J925&gt;N925),"Sí","No")</x:f>
        <x:v>Sí</x:v>
      </x:c>
      <x:c r="W925" s="41" t="str">
        <x:f>IF(AND(E925&gt;M925,F925&gt;N925),"Sí","No")</x:f>
        <x:v>Sí</x:v>
      </x:c>
      <x:c r="X925" s="41" t="str">
        <x:f>IF(L925&gt;=H925,"Weekly","No weekly")</x:f>
        <x:v>Weekly</x:v>
      </x:c>
      <x:c r="Y925" s="41" t="n">
        <x:f>IFERROR(I925-E925,"")</x:f>
        <x:v>-1.1314720000000005</x:v>
      </x:c>
      <x:c r="Z925" s="41" t="n">
        <x:f>IFERROR(J925-F925,"")</x:f>
        <x:v>3.9467609999999986</x:v>
      </x:c>
      <x:c r="AA925" s="41" t="n">
        <x:v>11814</x:v>
      </x:c>
      <x:c r="AB925" s="41" t="n">
        <x:v>5140</x:v>
      </x:c>
    </x:row>
    <x:row r="926">
      <x:c r="A926" s="41" t="str">
        <x:v>HYP_REFINE_AUTO002_TOPN_6_V1_DDGRID_LONG_R12_C24_E78_CR40_REDD_RECOVERED_DD8_SL20</x:v>
      </x:c>
      <x:c r="B926" s="41" t="str">
        <x:v>dd_guard_grid</x:v>
      </x:c>
      <x:c r="C926" s="41" t="str">
        <x:v>1999-01-04</x:v>
      </x:c>
      <x:c r="D926" s="41" t="str">
        <x:v>2026-05-22</x:v>
      </x:c>
      <x:c r="E926" s="41" t="n">
        <x:v>12.911186</x:v>
      </x:c>
      <x:c r="F926" s="41" t="n">
        <x:v>-34.35116</x:v>
      </x:c>
      <x:c r="G926" s="41" t="n">
        <x:v>2678.814375</x:v>
      </x:c>
      <x:c r="H926" s="41" t="n">
        <x:f>IFERROR(E926/ABS(F926),"")</x:f>
        <x:v>0.37585880651483095</x:v>
      </x:c>
      <x:c r="I926" s="41" t="n">
        <x:v>12.993939</x:v>
      </x:c>
      <x:c r="J926" s="41" t="n">
        <x:v>-29.547791</x:v>
      </x:c>
      <x:c r="K926" s="41" t="n">
        <x:v>2735.116034</x:v>
      </x:c>
      <x:c r="L926" s="41" t="n">
        <x:f>IFERROR(I926/ABS(J926),"")</x:f>
        <x:v>0.43976008223423535</x:v>
      </x:c>
      <x:c r="M926" s="41" t="n">
        <x:v>6.802475</x:v>
      </x:c>
      <x:c r="N926" s="41" t="n">
        <x:v>-56.473669</x:v>
      </x:c>
      <x:c r="O926" s="41" t="n">
        <x:v>506.057416</x:v>
      </x:c>
      <x:c r="P926" s="41" t="n">
        <x:f>IFERROR(M926/ABS(N926),"")</x:f>
        <x:v>0.12045392340278087</x:v>
      </x:c>
      <x:c r="Q926" s="41" t="str">
        <x:f>IF(L926&gt;=MAX(H926,P926),"Weekly",IF(H926&gt;=MAX(L926,P926),"No weekly","SPY"))</x:f>
        <x:v>Weekly</x:v>
      </x:c>
      <x:c r="R926" s="41" t="n">
        <x:f>IFERROR(L926-P926,"")</x:f>
        <x:v>0.31930615883145447</x:v>
      </x:c>
      <x:c r="S926" s="41" t="n">
        <x:f>IFERROR(H926-P926,"")</x:f>
        <x:v>0.25540488311205006</x:v>
      </x:c>
      <x:c r="T926" s="41" t="n">
        <x:f>IFERROR(I926-M926,"")</x:f>
        <x:v>6.191463999999999</x:v>
      </x:c>
      <x:c r="U926" s="41" t="n">
        <x:f>IFERROR(E926-M926,"")</x:f>
        <x:v>6.1087110000000004</x:v>
      </x:c>
      <x:c r="V926" s="41" t="str">
        <x:f>IF(AND(I926&gt;M926,J926&gt;N926),"Sí","No")</x:f>
        <x:v>Sí</x:v>
      </x:c>
      <x:c r="W926" s="41" t="str">
        <x:f>IF(AND(E926&gt;M926,F926&gt;N926),"Sí","No")</x:f>
        <x:v>Sí</x:v>
      </x:c>
      <x:c r="X926" s="41" t="str">
        <x:f>IF(L926&gt;=H926,"Weekly","No weekly")</x:f>
        <x:v>Weekly</x:v>
      </x:c>
      <x:c r="Y926" s="41" t="n">
        <x:f>IFERROR(I926-E926,"")</x:f>
        <x:v>0.08275299999999852</x:v>
      </x:c>
      <x:c r="Z926" s="41" t="n">
        <x:f>IFERROR(J926-F926,"")</x:f>
        <x:v>4.803369</x:v>
      </x:c>
      <x:c r="AA926" s="41" t="n">
        <x:v>11629</x:v>
      </x:c>
      <x:c r="AB926" s="41" t="n">
        <x:v>5712</x:v>
      </x:c>
    </x:row>
    <x:row r="927">
      <x:c r="A927" s="41" t="str">
        <x:v>HYP_REFINE_AUTO002_TOPN_6_V1_DDGRID_LONG_R12_C24_E78_CR40_REDD_RECOVERED_DD8_SL22</x:v>
      </x:c>
      <x:c r="B927" s="41" t="str">
        <x:v>dd_guard_grid</x:v>
      </x:c>
      <x:c r="C927" s="41" t="str">
        <x:v>1999-01-04</x:v>
      </x:c>
      <x:c r="D927" s="41" t="str">
        <x:v>2026-05-22</x:v>
      </x:c>
      <x:c r="E927" s="41" t="n">
        <x:v>13.072139</x:v>
      </x:c>
      <x:c r="F927" s="41" t="n">
        <x:v>-34.947401</x:v>
      </x:c>
      <x:c r="G927" s="41" t="n">
        <x:v>2789.328748</x:v>
      </x:c>
      <x:c r="H927" s="41" t="n">
        <x:f>IFERROR(E927/ABS(F927),"")</x:f>
        <x:v>0.37405182147879895</x:v>
      </x:c>
      <x:c r="I927" s="41" t="n">
        <x:v>12.937387</x:v>
      </x:c>
      <x:c r="J927" s="41" t="n">
        <x:v>-29.433879</x:v>
      </x:c>
      <x:c r="K927" s="41" t="n">
        <x:v>2696.522472</x:v>
      </x:c>
      <x:c r="L927" s="41" t="n">
        <x:f>IFERROR(I927/ABS(J927),"")</x:f>
        <x:v>0.43954067352114884</x:v>
      </x:c>
      <x:c r="M927" s="41" t="n">
        <x:v>6.802475</x:v>
      </x:c>
      <x:c r="N927" s="41" t="n">
        <x:v>-56.473669</x:v>
      </x:c>
      <x:c r="O927" s="41" t="n">
        <x:v>506.057416</x:v>
      </x:c>
      <x:c r="P927" s="41" t="n">
        <x:f>IFERROR(M927/ABS(N927),"")</x:f>
        <x:v>0.12045392340278087</x:v>
      </x:c>
      <x:c r="Q927" s="41" t="str">
        <x:f>IF(L927&gt;=MAX(H927,P927),"Weekly",IF(H927&gt;=MAX(L927,P927),"No weekly","SPY"))</x:f>
        <x:v>Weekly</x:v>
      </x:c>
      <x:c r="R927" s="41" t="n">
        <x:f>IFERROR(L927-P927,"")</x:f>
        <x:v>0.31908675011836796</x:v>
      </x:c>
      <x:c r="S927" s="41" t="n">
        <x:f>IFERROR(H927-P927,"")</x:f>
        <x:v>0.25359789807601807</x:v>
      </x:c>
      <x:c r="T927" s="41" t="n">
        <x:f>IFERROR(I927-M927,"")</x:f>
        <x:v>6.134911999999999</x:v>
      </x:c>
      <x:c r="U927" s="41" t="n">
        <x:f>IFERROR(E927-M927,"")</x:f>
        <x:v>6.269664</x:v>
      </x:c>
      <x:c r="V927" s="41" t="str">
        <x:f>IF(AND(I927&gt;M927,J927&gt;N927),"Sí","No")</x:f>
        <x:v>Sí</x:v>
      </x:c>
      <x:c r="W927" s="41" t="str">
        <x:f>IF(AND(E927&gt;M927,F927&gt;N927),"Sí","No")</x:f>
        <x:v>Sí</x:v>
      </x:c>
      <x:c r="X927" s="41" t="str">
        <x:f>IF(L927&gt;=H927,"Weekly","No weekly")</x:f>
        <x:v>Weekly</x:v>
      </x:c>
      <x:c r="Y927" s="41" t="n">
        <x:f>IFERROR(I927-E927,"")</x:f>
        <x:v>-0.13475200000000065</x:v>
      </x:c>
      <x:c r="Z927" s="41" t="n">
        <x:f>IFERROR(J927-F927,"")</x:f>
        <x:v>5.513521999999998</x:v>
      </x:c>
      <x:c r="AA927" s="41" t="n">
        <x:v>11618</x:v>
      </x:c>
      <x:c r="AB927" s="41" t="n">
        <x:v>5547</x:v>
      </x:c>
    </x:row>
    <x:row r="928">
      <x:c r="A928" s="41" t="str">
        <x:v>HYP_REFINE_AUTO002_TOPN_6_V1_DDGRID_LONG_R12_C24_E80_CR40_REDD_RECOVERED_DD8_SL20</x:v>
      </x:c>
      <x:c r="B928" s="41" t="str">
        <x:v>dd_guard_grid</x:v>
      </x:c>
      <x:c r="C928" s="41" t="str">
        <x:v>1999-01-04</x:v>
      </x:c>
      <x:c r="D928" s="41" t="str">
        <x:v>2026-05-22</x:v>
      </x:c>
      <x:c r="E928" s="41" t="n">
        <x:v>13.170746</x:v>
      </x:c>
      <x:c r="F928" s="41" t="n">
        <x:v>-34.692312</x:v>
      </x:c>
      <x:c r="G928" s="41" t="n">
        <x:v>2859.11359</x:v>
      </x:c>
      <x:c r="H928" s="41" t="n">
        <x:f>IFERROR(E928/ABS(F928),"")</x:f>
        <x:v>0.3796445160530091</x:v>
      </x:c>
      <x:c r="I928" s="41" t="n">
        <x:v>12.28883</x:v>
      </x:c>
      <x:c r="J928" s="41" t="n">
        <x:v>-31.566444</x:v>
      </x:c>
      <x:c r="K928" s="41" t="n">
        <x:v>2288.579971</x:v>
      </x:c>
      <x:c r="L928" s="41" t="n">
        <x:f>IFERROR(I928/ABS(J928),"")</x:f>
        <x:v>0.3893004229427933</x:v>
      </x:c>
      <x:c r="M928" s="41" t="n">
        <x:v>6.802475</x:v>
      </x:c>
      <x:c r="N928" s="41" t="n">
        <x:v>-56.473669</x:v>
      </x:c>
      <x:c r="O928" s="41" t="n">
        <x:v>506.057416</x:v>
      </x:c>
      <x:c r="P928" s="41" t="n">
        <x:f>IFERROR(M928/ABS(N928),"")</x:f>
        <x:v>0.12045392340278087</x:v>
      </x:c>
      <x:c r="Q928" s="41" t="str">
        <x:f>IF(L928&gt;=MAX(H928,P928),"Weekly",IF(H928&gt;=MAX(L928,P928),"No weekly","SPY"))</x:f>
        <x:v>Weekly</x:v>
      </x:c>
      <x:c r="R928" s="41" t="n">
        <x:f>IFERROR(L928-P928,"")</x:f>
        <x:v>0.26884649954001244</x:v>
      </x:c>
      <x:c r="S928" s="41" t="n">
        <x:f>IFERROR(H928-P928,"")</x:f>
        <x:v>0.2591905926502282</x:v>
      </x:c>
      <x:c r="T928" s="41" t="n">
        <x:f>IFERROR(I928-M928,"")</x:f>
        <x:v>5.4863550000000005</x:v>
      </x:c>
      <x:c r="U928" s="41" t="n">
        <x:f>IFERROR(E928-M928,"")</x:f>
        <x:v>6.368270999999999</x:v>
      </x:c>
      <x:c r="V928" s="41" t="str">
        <x:f>IF(AND(I928&gt;M928,J928&gt;N928),"Sí","No")</x:f>
        <x:v>Sí</x:v>
      </x:c>
      <x:c r="W928" s="41" t="str">
        <x:f>IF(AND(E928&gt;M928,F928&gt;N928),"Sí","No")</x:f>
        <x:v>Sí</x:v>
      </x:c>
      <x:c r="X928" s="41" t="str">
        <x:f>IF(L928&gt;=H928,"Weekly","No weekly")</x:f>
        <x:v>Weekly</x:v>
      </x:c>
      <x:c r="Y928" s="41" t="n">
        <x:f>IFERROR(I928-E928,"")</x:f>
        <x:v>-0.8819159999999986</x:v>
      </x:c>
      <x:c r="Z928" s="41" t="n">
        <x:f>IFERROR(J928-F928,"")</x:f>
        <x:v>3.1258680000000005</x:v>
      </x:c>
      <x:c r="AA928" s="41" t="n">
        <x:v>12329</x:v>
      </x:c>
      <x:c r="AB928" s="41" t="n">
        <x:v>5715</x:v>
      </x:c>
    </x:row>
    <x:row r="929">
      <x:c r="A929" s="41" t="str">
        <x:v>HYP_REFINE_AUTO002_TOPN_6_V1_DDGRID_LONG_R12_C25_E72_CR40_REDD_RECOVERED_DD8_SL20</x:v>
      </x:c>
      <x:c r="B929" s="41" t="str">
        <x:v>dd_guard_grid</x:v>
      </x:c>
      <x:c r="C929" s="41" t="str">
        <x:v>1999-01-04</x:v>
      </x:c>
      <x:c r="D929" s="41" t="str">
        <x:v>2026-05-22</x:v>
      </x:c>
      <x:c r="E929" s="41" t="n">
        <x:v>14.228274</x:v>
      </x:c>
      <x:c r="F929" s="41" t="n">
        <x:v>-34.781673</x:v>
      </x:c>
      <x:c r="G929" s="41" t="n">
        <x:v>3717.291752</x:v>
      </x:c>
      <x:c r="H929" s="41" t="n">
        <x:f>IFERROR(E929/ABS(F929),"")</x:f>
        <x:v>0.4090738820987709</x:v>
      </x:c>
      <x:c r="I929" s="41" t="n">
        <x:v>15.078902</x:v>
      </x:c>
      <x:c r="J929" s="41" t="n">
        <x:v>-30.090673</x:v>
      </x:c>
      <x:c r="K929" s="41" t="n">
        <x:v>4577.044824</x:v>
      </x:c>
      <x:c r="L929" s="41" t="n">
        <x:f>IFERROR(I929/ABS(J929),"")</x:f>
        <x:v>0.5011154785404767</x:v>
      </x:c>
      <x:c r="M929" s="41" t="n">
        <x:v>6.802475</x:v>
      </x:c>
      <x:c r="N929" s="41" t="n">
        <x:v>-56.473669</x:v>
      </x:c>
      <x:c r="O929" s="41" t="n">
        <x:v>506.057416</x:v>
      </x:c>
      <x:c r="P929" s="41" t="n">
        <x:f>IFERROR(M929/ABS(N929),"")</x:f>
        <x:v>0.12045392340278087</x:v>
      </x:c>
      <x:c r="Q929" s="41" t="str">
        <x:f>IF(L929&gt;=MAX(H929,P929),"Weekly",IF(H929&gt;=MAX(L929,P929),"No weekly","SPY"))</x:f>
        <x:v>Weekly</x:v>
      </x:c>
      <x:c r="R929" s="41" t="n">
        <x:f>IFERROR(L929-P929,"")</x:f>
        <x:v>0.3806615551376958</x:v>
      </x:c>
      <x:c r="S929" s="41" t="n">
        <x:f>IFERROR(H929-P929,"")</x:f>
        <x:v>0.28861995869599</x:v>
      </x:c>
      <x:c r="T929" s="41" t="n">
        <x:f>IFERROR(I929-M929,"")</x:f>
        <x:v>8.276426999999998</x:v>
      </x:c>
      <x:c r="U929" s="41" t="n">
        <x:f>IFERROR(E929-M929,"")</x:f>
        <x:v>7.4257990000000005</x:v>
      </x:c>
      <x:c r="V929" s="41" t="str">
        <x:f>IF(AND(I929&gt;M929,J929&gt;N929),"Sí","No")</x:f>
        <x:v>Sí</x:v>
      </x:c>
      <x:c r="W929" s="41" t="str">
        <x:f>IF(AND(E929&gt;M929,F929&gt;N929),"Sí","No")</x:f>
        <x:v>Sí</x:v>
      </x:c>
      <x:c r="X929" s="41" t="str">
        <x:f>IF(L929&gt;=H929,"Weekly","No weekly")</x:f>
        <x:v>Weekly</x:v>
      </x:c>
      <x:c r="Y929" s="41" t="n">
        <x:f>IFERROR(I929-E929,"")</x:f>
        <x:v>0.8506279999999986</x:v>
      </x:c>
      <x:c r="Z929" s="41" t="n">
        <x:f>IFERROR(J929-F929,"")</x:f>
        <x:v>4.690999999999999</x:v>
      </x:c>
      <x:c r="AA929" s="41" t="n">
        <x:v>11279</x:v>
      </x:c>
      <x:c r="AB929" s="41" t="n">
        <x:v>5185</x:v>
      </x:c>
    </x:row>
    <x:row r="930">
      <x:c r="A930" s="41" t="str">
        <x:v>HYP_REFINE_AUTO002_TOPN_6_V1_DDGRID_LONG_R12_C25_E75_CR36_REDD_RECOVERED_DD8_SL20</x:v>
      </x:c>
      <x:c r="B930" s="41" t="str">
        <x:v>dd_guard_grid</x:v>
      </x:c>
      <x:c r="C930" s="41" t="str">
        <x:v>1999-01-04</x:v>
      </x:c>
      <x:c r="D930" s="41" t="str">
        <x:v>2026-05-22</x:v>
      </x:c>
      <x:c r="E930" s="41" t="n">
        <x:v>12.898967</x:v>
      </x:c>
      <x:c r="F930" s="41" t="n">
        <x:v>-34.175293</x:v>
      </x:c>
      <x:c r="G930" s="41" t="n">
        <x:v>2670.592978</x:v>
      </x:c>
      <x:c r="H930" s="41" t="n">
        <x:f>IFERROR(E930/ABS(F930),"")</x:f>
        <x:v>0.3774354472981402</x:v>
      </x:c>
      <x:c r="I930" s="41" t="n">
        <x:v>13.610546</x:v>
      </x:c>
      <x:c r="J930" s="41" t="n">
        <x:v>-30.131683</x:v>
      </x:c>
      <x:c r="K930" s="41" t="n">
        <x:v>3190.636373</x:v>
      </x:c>
      <x:c r="L930" s="41" t="n">
        <x:f>IFERROR(I930/ABS(J930),"")</x:f>
        <x:v>0.4517021501918761</x:v>
      </x:c>
      <x:c r="M930" s="41" t="n">
        <x:v>6.802475</x:v>
      </x:c>
      <x:c r="N930" s="41" t="n">
        <x:v>-56.473669</x:v>
      </x:c>
      <x:c r="O930" s="41" t="n">
        <x:v>506.057416</x:v>
      </x:c>
      <x:c r="P930" s="41" t="n">
        <x:f>IFERROR(M930/ABS(N930),"")</x:f>
        <x:v>0.12045392340278087</x:v>
      </x:c>
      <x:c r="Q930" s="41" t="str">
        <x:f>IF(L930&gt;=MAX(H930,P930),"Weekly",IF(H930&gt;=MAX(L930,P930),"No weekly","SPY"))</x:f>
        <x:v>Weekly</x:v>
      </x:c>
      <x:c r="R930" s="41" t="n">
        <x:f>IFERROR(L930-P930,"")</x:f>
        <x:v>0.3312482267890952</x:v>
      </x:c>
      <x:c r="S930" s="41" t="n">
        <x:f>IFERROR(H930-P930,"")</x:f>
        <x:v>0.25698152389535933</x:v>
      </x:c>
      <x:c r="T930" s="41" t="n">
        <x:f>IFERROR(I930-M930,"")</x:f>
        <x:v>6.808070999999999</x:v>
      </x:c>
      <x:c r="U930" s="41" t="n">
        <x:f>IFERROR(E930-M930,"")</x:f>
        <x:v>6.0964920000000005</x:v>
      </x:c>
      <x:c r="V930" s="41" t="str">
        <x:f>IF(AND(I930&gt;M930,J930&gt;N930),"Sí","No")</x:f>
        <x:v>Sí</x:v>
      </x:c>
      <x:c r="W930" s="41" t="str">
        <x:f>IF(AND(E930&gt;M930,F930&gt;N930),"Sí","No")</x:f>
        <x:v>Sí</x:v>
      </x:c>
      <x:c r="X930" s="41" t="str">
        <x:f>IF(L930&gt;=H930,"Weekly","No weekly")</x:f>
        <x:v>Weekly</x:v>
      </x:c>
      <x:c r="Y930" s="41" t="n">
        <x:f>IFERROR(I930-E930,"")</x:f>
        <x:v>0.7115789999999986</x:v>
      </x:c>
      <x:c r="Z930" s="41" t="n">
        <x:f>IFERROR(J930-F930,"")</x:f>
        <x:v>4.043610000000005</x:v>
      </x:c>
      <x:c r="AA930" s="41" t="n">
        <x:v>12034</x:v>
      </x:c>
      <x:c r="AB930" s="41" t="n">
        <x:v>5647</x:v>
      </x:c>
    </x:row>
    <x:row r="931">
      <x:c r="A931" s="41" t="str">
        <x:v>HYP_REFINE_AUTO002_TOPN_6_V1_DDGRID_LONG_R12_C25_E75_CR40_REDD_RECOVERED_DD7_SL18</x:v>
      </x:c>
      <x:c r="B931" s="41" t="str">
        <x:v>dd_guard_grid</x:v>
      </x:c>
      <x:c r="C931" s="41" t="str">
        <x:v>1999-01-04</x:v>
      </x:c>
      <x:c r="D931" s="41" t="str">
        <x:v>2026-05-22</x:v>
      </x:c>
      <x:c r="E931" s="41" t="n">
        <x:v>13.597027</x:v>
      </x:c>
      <x:c r="F931" s="41" t="n">
        <x:v>-34.692427</x:v>
      </x:c>
      <x:c r="G931" s="41" t="n">
        <x:v>3179.932817</x:v>
      </x:c>
      <x:c r="H931" s="41" t="n">
        <x:f>IFERROR(E931/ABS(F931),"")</x:f>
        <x:v>0.3919306942693862</x:v>
      </x:c>
      <x:c r="I931" s="41" t="n">
        <x:v>13.469297</x:v>
      </x:c>
      <x:c r="J931" s="41" t="n">
        <x:v>-30.288843</x:v>
      </x:c>
      <x:c r="K931" s="41" t="n">
        <x:v>3080.443699</x:v>
      </x:c>
      <x:c r="L931" s="41" t="n">
        <x:f>IFERROR(I931/ABS(J931),"")</x:f>
        <x:v>0.44469499874920937</x:v>
      </x:c>
      <x:c r="M931" s="41" t="n">
        <x:v>6.802475</x:v>
      </x:c>
      <x:c r="N931" s="41" t="n">
        <x:v>-56.473669</x:v>
      </x:c>
      <x:c r="O931" s="41" t="n">
        <x:v>506.057416</x:v>
      </x:c>
      <x:c r="P931" s="41" t="n">
        <x:f>IFERROR(M931/ABS(N931),"")</x:f>
        <x:v>0.12045392340278087</x:v>
      </x:c>
      <x:c r="Q931" s="41" t="str">
        <x:f>IF(L931&gt;=MAX(H931,P931),"Weekly",IF(H931&gt;=MAX(L931,P931),"No weekly","SPY"))</x:f>
        <x:v>Weekly</x:v>
      </x:c>
      <x:c r="R931" s="41" t="n">
        <x:f>IFERROR(L931-P931,"")</x:f>
        <x:v>0.3242410753464285</x:v>
      </x:c>
      <x:c r="S931" s="41" t="n">
        <x:f>IFERROR(H931-P931,"")</x:f>
        <x:v>0.2714767708666053</x:v>
      </x:c>
      <x:c r="T931" s="41" t="n">
        <x:f>IFERROR(I931-M931,"")</x:f>
        <x:v>6.666821999999999</x:v>
      </x:c>
      <x:c r="U931" s="41" t="n">
        <x:f>IFERROR(E931-M931,"")</x:f>
        <x:v>6.794552</x:v>
      </x:c>
      <x:c r="V931" s="41" t="str">
        <x:f>IF(AND(I931&gt;M931,J931&gt;N931),"Sí","No")</x:f>
        <x:v>Sí</x:v>
      </x:c>
      <x:c r="W931" s="41" t="str">
        <x:f>IF(AND(E931&gt;M931,F931&gt;N931),"Sí","No")</x:f>
        <x:v>Sí</x:v>
      </x:c>
      <x:c r="X931" s="41" t="str">
        <x:f>IF(L931&gt;=H931,"Weekly","No weekly")</x:f>
        <x:v>Weekly</x:v>
      </x:c>
      <x:c r="Y931" s="41" t="n">
        <x:f>IFERROR(I931-E931,"")</x:f>
        <x:v>-0.12773000000000145</x:v>
      </x:c>
      <x:c r="Z931" s="41" t="n">
        <x:f>IFERROR(J931-F931,"")</x:f>
        <x:v>4.403584000000002</x:v>
      </x:c>
      <x:c r="AA931" s="41" t="n">
        <x:v>11599</x:v>
      </x:c>
      <x:c r="AB931" s="41" t="n">
        <x:v>5100</x:v>
      </x:c>
    </x:row>
    <x:row r="932">
      <x:c r="A932" s="41" t="str">
        <x:v>HYP_REFINE_AUTO002_TOPN_6_V1_DDGRID_LONG_R12_C25_E75_CR40_REDD_RECOVERED_DD7_SL20</x:v>
      </x:c>
      <x:c r="B932" s="41" t="str">
        <x:v>dd_guard_grid</x:v>
      </x:c>
      <x:c r="C932" s="41" t="str">
        <x:v>1999-01-04</x:v>
      </x:c>
      <x:c r="D932" s="41" t="str">
        <x:v>2026-05-22</x:v>
      </x:c>
      <x:c r="E932" s="41" t="n">
        <x:v>13.471913</x:v>
      </x:c>
      <x:c r="F932" s="41" t="n">
        <x:v>-34.568769</x:v>
      </x:c>
      <x:c r="G932" s="41" t="n">
        <x:v>3082.451914</x:v>
      </x:c>
      <x:c r="H932" s="41" t="n">
        <x:f>IFERROR(E932/ABS(F932),"")</x:f>
        <x:v>0.3897134144406473</x:v>
      </x:c>
      <x:c r="I932" s="41" t="n">
        <x:v>13.445765</x:v>
      </x:c>
      <x:c r="J932" s="41" t="n">
        <x:v>-32.201421</x:v>
      </x:c>
      <x:c r="K932" s="41" t="n">
        <x:v>3062.435136</x:v>
      </x:c>
      <x:c r="L932" s="41" t="n">
        <x:f>IFERROR(I932/ABS(J932),"")</x:f>
        <x:v>0.4175519148673594</x:v>
      </x:c>
      <x:c r="M932" s="41" t="n">
        <x:v>6.802475</x:v>
      </x:c>
      <x:c r="N932" s="41" t="n">
        <x:v>-56.473669</x:v>
      </x:c>
      <x:c r="O932" s="41" t="n">
        <x:v>506.057416</x:v>
      </x:c>
      <x:c r="P932" s="41" t="n">
        <x:f>IFERROR(M932/ABS(N932),"")</x:f>
        <x:v>0.12045392340278087</x:v>
      </x:c>
      <x:c r="Q932" s="41" t="str">
        <x:f>IF(L932&gt;=MAX(H932,P932),"Weekly",IF(H932&gt;=MAX(L932,P932),"No weekly","SPY"))</x:f>
        <x:v>Weekly</x:v>
      </x:c>
      <x:c r="R932" s="41" t="n">
        <x:f>IFERROR(L932-P932,"")</x:f>
        <x:v>0.2970979914645785</x:v>
      </x:c>
      <x:c r="S932" s="41" t="n">
        <x:f>IFERROR(H932-P932,"")</x:f>
        <x:v>0.2692594910378664</x:v>
      </x:c>
      <x:c r="T932" s="41" t="n">
        <x:f>IFERROR(I932-M932,"")</x:f>
        <x:v>6.6432899999999995</x:v>
      </x:c>
      <x:c r="U932" s="41" t="n">
        <x:f>IFERROR(E932-M932,"")</x:f>
        <x:v>6.669438</x:v>
      </x:c>
      <x:c r="V932" s="41" t="str">
        <x:f>IF(AND(I932&gt;M932,J932&gt;N932),"Sí","No")</x:f>
        <x:v>Sí</x:v>
      </x:c>
      <x:c r="W932" s="41" t="str">
        <x:f>IF(AND(E932&gt;M932,F932&gt;N932),"Sí","No")</x:f>
        <x:v>Sí</x:v>
      </x:c>
      <x:c r="X932" s="41" t="str">
        <x:f>IF(L932&gt;=H932,"Weekly","No weekly")</x:f>
        <x:v>Weekly</x:v>
      </x:c>
      <x:c r="Y932" s="41" t="n">
        <x:f>IFERROR(I932-E932,"")</x:f>
        <x:v>-0.026148000000000948</x:v>
      </x:c>
      <x:c r="Z932" s="41" t="n">
        <x:f>IFERROR(J932-F932,"")</x:f>
        <x:v>2.367348</x:v>
      </x:c>
      <x:c r="AA932" s="41" t="n">
        <x:v>12149</x:v>
      </x:c>
      <x:c r="AB932" s="41" t="n">
        <x:v>5507</x:v>
      </x:c>
    </x:row>
    <x:row r="933">
      <x:c r="A933" s="41" t="str">
        <x:v>HYP_REFINE_AUTO002_TOPN_6_V1_DDGRID_LONG_R12_C25_E75_CR40_REDD_RECOVERED_DD7_SL22</x:v>
      </x:c>
      <x:c r="B933" s="41" t="str">
        <x:v>dd_guard_grid</x:v>
      </x:c>
      <x:c r="C933" s="41" t="str">
        <x:v>1999-01-04</x:v>
      </x:c>
      <x:c r="D933" s="41" t="str">
        <x:v>2026-05-22</x:v>
      </x:c>
      <x:c r="E933" s="41" t="n">
        <x:v>12.769863</x:v>
      </x:c>
      <x:c r="F933" s="41" t="n">
        <x:v>-35.145331</x:v>
      </x:c>
      <x:c r="G933" s="41" t="n">
        <x:v>2585.145938</x:v>
      </x:c>
      <x:c r="H933" s="41" t="n">
        <x:f>IFERROR(E933/ABS(F933),"")</x:f>
        <x:v>0.36334450798030615</x:v>
      </x:c>
      <x:c r="I933" s="41" t="n">
        <x:v>12.455123</x:v>
      </x:c>
      <x:c r="J933" s="41" t="n">
        <x:v>-30.285954</x:v>
      </x:c>
      <x:c r="K933" s="41" t="n">
        <x:v>2387.342693</x:v>
      </x:c>
      <x:c r="L933" s="41" t="n">
        <x:f>IFERROR(I933/ABS(J933),"")</x:f>
        <x:v>0.41125080623182614</x:v>
      </x:c>
      <x:c r="M933" s="41" t="n">
        <x:v>6.802475</x:v>
      </x:c>
      <x:c r="N933" s="41" t="n">
        <x:v>-56.473669</x:v>
      </x:c>
      <x:c r="O933" s="41" t="n">
        <x:v>506.057416</x:v>
      </x:c>
      <x:c r="P933" s="41" t="n">
        <x:f>IFERROR(M933/ABS(N933),"")</x:f>
        <x:v>0.12045392340278087</x:v>
      </x:c>
      <x:c r="Q933" s="41" t="str">
        <x:f>IF(L933&gt;=MAX(H933,P933),"Weekly",IF(H933&gt;=MAX(L933,P933),"No weekly","SPY"))</x:f>
        <x:v>Weekly</x:v>
      </x:c>
      <x:c r="R933" s="41" t="n">
        <x:f>IFERROR(L933-P933,"")</x:f>
        <x:v>0.29079688282904526</x:v>
      </x:c>
      <x:c r="S933" s="41" t="n">
        <x:f>IFERROR(H933-P933,"")</x:f>
        <x:v>0.24289058457752527</x:v>
      </x:c>
      <x:c r="T933" s="41" t="n">
        <x:f>IFERROR(I933-M933,"")</x:f>
        <x:v>5.652648</x:v>
      </x:c>
      <x:c r="U933" s="41" t="n">
        <x:f>IFERROR(E933-M933,"")</x:f>
        <x:v>5.967388000000001</x:v>
      </x:c>
      <x:c r="V933" s="41" t="str">
        <x:f>IF(AND(I933&gt;M933,J933&gt;N933),"Sí","No")</x:f>
        <x:v>Sí</x:v>
      </x:c>
      <x:c r="W933" s="41" t="str">
        <x:f>IF(AND(E933&gt;M933,F933&gt;N933),"Sí","No")</x:f>
        <x:v>Sí</x:v>
      </x:c>
      <x:c r="X933" s="41" t="str">
        <x:f>IF(L933&gt;=H933,"Weekly","No weekly")</x:f>
        <x:v>Weekly</x:v>
      </x:c>
      <x:c r="Y933" s="41" t="n">
        <x:f>IFERROR(I933-E933,"")</x:f>
        <x:v>-0.31474000000000046</x:v>
      </x:c>
      <x:c r="Z933" s="41" t="n">
        <x:f>IFERROR(J933-F933,"")</x:f>
        <x:v>4.8593769999999985</x:v>
      </x:c>
      <x:c r="AA933" s="41" t="n">
        <x:v>11774</x:v>
      </x:c>
      <x:c r="AB933" s="41" t="n">
        <x:v>5754</x:v>
      </x:c>
    </x:row>
    <x:row r="934">
      <x:c r="A934" s="41" t="str">
        <x:v>HYP_REFINE_AUTO002_TOPN_6_V1_DDGRID_LONG_R12_C25_E75_CR40_REDD_RECOVERED_DD8_SL18</x:v>
      </x:c>
      <x:c r="B934" s="41" t="str">
        <x:v>dd_guard_grid</x:v>
      </x:c>
      <x:c r="C934" s="41" t="str">
        <x:v>1999-01-04</x:v>
      </x:c>
      <x:c r="D934" s="41" t="str">
        <x:v>2026-05-22</x:v>
      </x:c>
      <x:c r="E934" s="41" t="n">
        <x:v>12.995997</x:v>
      </x:c>
      <x:c r="F934" s="41" t="n">
        <x:v>-34.692427</x:v>
      </x:c>
      <x:c r="G934" s="41" t="n">
        <x:v>2736.530008</x:v>
      </x:c>
      <x:c r="H934" s="41" t="n">
        <x:f>IFERROR(E934/ABS(F934),"")</x:f>
        <x:v>0.3746061640484247</x:v>
      </x:c>
      <x:c r="I934" s="41" t="n">
        <x:v>13.849873</x:v>
      </x:c>
      <x:c r="J934" s="41" t="n">
        <x:v>-30.288843</x:v>
      </x:c>
      <x:c r="K934" s="41" t="n">
        <x:v>3385.789946</x:v>
      </x:c>
      <x:c r="L934" s="41" t="n">
        <x:f>IFERROR(I934/ABS(J934),"")</x:f>
        <x:v>0.4572598893922756</x:v>
      </x:c>
      <x:c r="M934" s="41" t="n">
        <x:v>6.802475</x:v>
      </x:c>
      <x:c r="N934" s="41" t="n">
        <x:v>-56.473669</x:v>
      </x:c>
      <x:c r="O934" s="41" t="n">
        <x:v>506.057416</x:v>
      </x:c>
      <x:c r="P934" s="41" t="n">
        <x:f>IFERROR(M934/ABS(N934),"")</x:f>
        <x:v>0.12045392340278087</x:v>
      </x:c>
      <x:c r="Q934" s="41" t="str">
        <x:f>IF(L934&gt;=MAX(H934,P934),"Weekly",IF(H934&gt;=MAX(L934,P934),"No weekly","SPY"))</x:f>
        <x:v>Weekly</x:v>
      </x:c>
      <x:c r="R934" s="41" t="n">
        <x:f>IFERROR(L934-P934,"")</x:f>
        <x:v>0.3368059659894947</x:v>
      </x:c>
      <x:c r="S934" s="41" t="n">
        <x:f>IFERROR(H934-P934,"")</x:f>
        <x:v>0.2541522406456438</x:v>
      </x:c>
      <x:c r="T934" s="41" t="n">
        <x:f>IFERROR(I934-M934,"")</x:f>
        <x:v>7.047398</x:v>
      </x:c>
      <x:c r="U934" s="41" t="n">
        <x:f>IFERROR(E934-M934,"")</x:f>
        <x:v>6.193521999999999</x:v>
      </x:c>
      <x:c r="V934" s="41" t="str">
        <x:f>IF(AND(I934&gt;M934,J934&gt;N934),"Sí","No")</x:f>
        <x:v>Sí</x:v>
      </x:c>
      <x:c r="W934" s="41" t="str">
        <x:f>IF(AND(E934&gt;M934,F934&gt;N934),"Sí","No")</x:f>
        <x:v>Sí</x:v>
      </x:c>
      <x:c r="X934" s="41" t="str">
        <x:f>IF(L934&gt;=H934,"Weekly","No weekly")</x:f>
        <x:v>Weekly</x:v>
      </x:c>
      <x:c r="Y934" s="41" t="n">
        <x:f>IFERROR(I934-E934,"")</x:f>
        <x:v>0.8538760000000014</x:v>
      </x:c>
      <x:c r="Z934" s="41" t="n">
        <x:f>IFERROR(J934-F934,"")</x:f>
        <x:v>4.403584000000002</x:v>
      </x:c>
      <x:c r="AA934" s="41" t="n">
        <x:v>11319</x:v>
      </x:c>
      <x:c r="AB934" s="41" t="n">
        <x:v>5043</x:v>
      </x:c>
    </x:row>
    <x:row r="935">
      <x:c r="A935" s="41" t="str">
        <x:v>HYP_REFINE_AUTO002_TOPN_6_V1_DDGRID_LONG_R12_C25_E75_CR40_REDD_RECOVERED_DD8_SL20</x:v>
      </x:c>
      <x:c r="B935" s="41" t="str">
        <x:v>dd_guard_grid</x:v>
      </x:c>
      <x:c r="C935" s="41" t="str">
        <x:v>1999-01-04</x:v>
      </x:c>
      <x:c r="D935" s="41" t="str">
        <x:v>2026-05-22</x:v>
      </x:c>
      <x:c r="E935" s="41" t="n">
        <x:v>13.247623</x:v>
      </x:c>
      <x:c r="F935" s="41" t="n">
        <x:v>-34.568769</x:v>
      </x:c>
      <x:c r="G935" s="41" t="n">
        <x:v>2914.643948</x:v>
      </x:c>
      <x:c r="H935" s="41" t="n">
        <x:f>IFERROR(E935/ABS(F935),"")</x:f>
        <x:v>0.3832251880302709</x:v>
      </x:c>
      <x:c r="I935" s="41" t="n">
        <x:v>13.626849</x:v>
      </x:c>
      <x:c r="J935" s="41" t="n">
        <x:v>-32.201421</x:v>
      </x:c>
      <x:c r="K935" s="41" t="n">
        <x:v>3203.588861</x:v>
      </x:c>
      <x:c r="L935" s="41" t="n">
        <x:f>IFERROR(I935/ABS(J935),"")</x:f>
        <x:v>0.4231753934088809</x:v>
      </x:c>
      <x:c r="M935" s="41" t="n">
        <x:v>6.802475</x:v>
      </x:c>
      <x:c r="N935" s="41" t="n">
        <x:v>-56.473669</x:v>
      </x:c>
      <x:c r="O935" s="41" t="n">
        <x:v>506.057416</x:v>
      </x:c>
      <x:c r="P935" s="41" t="n">
        <x:f>IFERROR(M935/ABS(N935),"")</x:f>
        <x:v>0.12045392340278087</x:v>
      </x:c>
      <x:c r="Q935" s="41" t="str">
        <x:f>IF(L935&gt;=MAX(H935,P935),"Weekly",IF(H935&gt;=MAX(L935,P935),"No weekly","SPY"))</x:f>
        <x:v>Weekly</x:v>
      </x:c>
      <x:c r="R935" s="41" t="n">
        <x:f>IFERROR(L935-P935,"")</x:f>
        <x:v>0.3027214700061</x:v>
      </x:c>
      <x:c r="S935" s="41" t="n">
        <x:f>IFERROR(H935-P935,"")</x:f>
        <x:v>0.26277126462749</x:v>
      </x:c>
      <x:c r="T935" s="41" t="n">
        <x:f>IFERROR(I935-M935,"")</x:f>
        <x:v>6.824374</x:v>
      </x:c>
      <x:c r="U935" s="41" t="n">
        <x:f>IFERROR(E935-M935,"")</x:f>
        <x:v>6.4451480000000005</x:v>
      </x:c>
      <x:c r="V935" s="41" t="str">
        <x:f>IF(AND(I935&gt;M935,J935&gt;N935),"Sí","No")</x:f>
        <x:v>Sí</x:v>
      </x:c>
      <x:c r="W935" s="41" t="str">
        <x:f>IF(AND(E935&gt;M935,F935&gt;N935),"Sí","No")</x:f>
        <x:v>Sí</x:v>
      </x:c>
      <x:c r="X935" s="41" t="str">
        <x:f>IF(L935&gt;=H935,"Weekly","No weekly")</x:f>
        <x:v>Weekly</x:v>
      </x:c>
      <x:c r="Y935" s="41" t="n">
        <x:f>IFERROR(I935-E935,"")</x:f>
        <x:v>0.3792259999999992</x:v>
      </x:c>
      <x:c r="Z935" s="41" t="n">
        <x:f>IFERROR(J935-F935,"")</x:f>
        <x:v>2.367348</x:v>
      </x:c>
      <x:c r="AA935" s="41" t="n">
        <x:v>11947</x:v>
      </x:c>
      <x:c r="AB935" s="41" t="n">
        <x:v>5316</x:v>
      </x:c>
    </x:row>
    <x:row r="936">
      <x:c r="A936" s="41" t="str">
        <x:v>HYP_REFINE_AUTO002_TOPN_6_V1_DDGRID_LONG_R12_C25_E75_CR40_REDD_RECOVERED_DD8_SL22</x:v>
      </x:c>
      <x:c r="B936" s="41" t="str">
        <x:v>dd_guard_grid</x:v>
      </x:c>
      <x:c r="C936" s="41" t="str">
        <x:v>1999-01-04</x:v>
      </x:c>
      <x:c r="D936" s="41" t="str">
        <x:v>2026-05-22</x:v>
      </x:c>
      <x:c r="E936" s="41" t="n">
        <x:v>12.799458</x:v>
      </x:c>
      <x:c r="F936" s="41" t="n">
        <x:v>-35.145331</x:v>
      </x:c>
      <x:c r="G936" s="41" t="n">
        <x:v>2604.506376</x:v>
      </x:c>
      <x:c r="H936" s="41" t="n">
        <x:f>IFERROR(E936/ABS(F936),"")</x:f>
        <x:v>0.3641865828493691</x:v>
      </x:c>
      <x:c r="I936" s="41" t="n">
        <x:v>12.668767</x:v>
      </x:c>
      <x:c r="J936" s="41" t="n">
        <x:v>-30.285954</x:v>
      </x:c>
      <x:c r="K936" s="41" t="n">
        <x:v>2520.014062</x:v>
      </x:c>
      <x:c r="L936" s="41" t="n">
        <x:f>IFERROR(I936/ABS(J936),"")</x:f>
        <x:v>0.4183050334158204</x:v>
      </x:c>
      <x:c r="M936" s="41" t="n">
        <x:v>6.802475</x:v>
      </x:c>
      <x:c r="N936" s="41" t="n">
        <x:v>-56.473669</x:v>
      </x:c>
      <x:c r="O936" s="41" t="n">
        <x:v>506.057416</x:v>
      </x:c>
      <x:c r="P936" s="41" t="n">
        <x:f>IFERROR(M936/ABS(N936),"")</x:f>
        <x:v>0.12045392340278087</x:v>
      </x:c>
      <x:c r="Q936" s="41" t="str">
        <x:f>IF(L936&gt;=MAX(H936,P936),"Weekly",IF(H936&gt;=MAX(L936,P936),"No weekly","SPY"))</x:f>
        <x:v>Weekly</x:v>
      </x:c>
      <x:c r="R936" s="41" t="n">
        <x:f>IFERROR(L936-P936,"")</x:f>
        <x:v>0.29785111001303954</x:v>
      </x:c>
      <x:c r="S936" s="41" t="n">
        <x:f>IFERROR(H936-P936,"")</x:f>
        <x:v>0.24373265944658823</x:v>
      </x:c>
      <x:c r="T936" s="41" t="n">
        <x:f>IFERROR(I936-M936,"")</x:f>
        <x:v>5.8662920000000005</x:v>
      </x:c>
      <x:c r="U936" s="41" t="n">
        <x:f>IFERROR(E936-M936,"")</x:f>
        <x:v>5.996982999999999</x:v>
      </x:c>
      <x:c r="V936" s="41" t="str">
        <x:f>IF(AND(I936&gt;M936,J936&gt;N936),"Sí","No")</x:f>
        <x:v>Sí</x:v>
      </x:c>
      <x:c r="W936" s="41" t="str">
        <x:f>IF(AND(E936&gt;M936,F936&gt;N936),"Sí","No")</x:f>
        <x:v>Sí</x:v>
      </x:c>
      <x:c r="X936" s="41" t="str">
        <x:f>IF(L936&gt;=H936,"Weekly","No weekly")</x:f>
        <x:v>Weekly</x:v>
      </x:c>
      <x:c r="Y936" s="41" t="n">
        <x:f>IFERROR(I936-E936,"")</x:f>
        <x:v>-0.13069099999999878</x:v>
      </x:c>
      <x:c r="Z936" s="41" t="n">
        <x:f>IFERROR(J936-F936,"")</x:f>
        <x:v>4.8593769999999985</x:v>
      </x:c>
      <x:c r="AA936" s="41" t="n">
        <x:v>11623</x:v>
      </x:c>
      <x:c r="AB936" s="41" t="n">
        <x:v>5635</x:v>
      </x:c>
    </x:row>
    <x:row r="937">
      <x:c r="A937" s="41" t="str">
        <x:v>HYP_REFINE_AUTO002_TOPN_6_V1_DDGRID_LONG_R12_C25_E75_CR40_REDD_RECOVERED_DD8_SL24</x:v>
      </x:c>
      <x:c r="B937" s="41" t="str">
        <x:v>dd_guard_grid</x:v>
      </x:c>
      <x:c r="C937" s="41" t="str">
        <x:v>1999-01-04</x:v>
      </x:c>
      <x:c r="D937" s="41" t="str">
        <x:v>2026-05-22</x:v>
      </x:c>
      <x:c r="E937" s="41" t="n">
        <x:v>12.606312</x:v>
      </x:c>
      <x:c r="F937" s="41" t="n">
        <x:v>-35.25728</x:v>
      </x:c>
      <x:c r="G937" s="41" t="n">
        <x:v>2480.540713</x:v>
      </x:c>
      <x:c r="H937" s="41" t="n">
        <x:f>IFERROR(E937/ABS(F937),"")</x:f>
        <x:v>0.35755202897103805</x:v>
      </x:c>
      <x:c r="I937" s="41" t="n">
        <x:v>13.384128</x:v>
      </x:c>
      <x:c r="J937" s="41" t="n">
        <x:v>-30.285954</x:v>
      </x:c>
      <x:c r="K937" s="41" t="n">
        <x:v>3015.728352</x:v>
      </x:c>
      <x:c r="L937" s="41" t="n">
        <x:f>IFERROR(I937/ABS(J937),"")</x:f>
        <x:v>0.4419252568368822</x:v>
      </x:c>
      <x:c r="M937" s="41" t="n">
        <x:v>6.802475</x:v>
      </x:c>
      <x:c r="N937" s="41" t="n">
        <x:v>-56.473669</x:v>
      </x:c>
      <x:c r="O937" s="41" t="n">
        <x:v>506.057416</x:v>
      </x:c>
      <x:c r="P937" s="41" t="n">
        <x:f>IFERROR(M937/ABS(N937),"")</x:f>
        <x:v>0.12045392340278087</x:v>
      </x:c>
      <x:c r="Q937" s="41" t="str">
        <x:f>IF(L937&gt;=MAX(H937,P937),"Weekly",IF(H937&gt;=MAX(L937,P937),"No weekly","SPY"))</x:f>
        <x:v>Weekly</x:v>
      </x:c>
      <x:c r="R937" s="41" t="n">
        <x:f>IFERROR(L937-P937,"")</x:f>
        <x:v>0.32147133343410134</x:v>
      </x:c>
      <x:c r="S937" s="41" t="n">
        <x:f>IFERROR(H937-P937,"")</x:f>
        <x:v>0.23709810556825717</x:v>
      </x:c>
      <x:c r="T937" s="41" t="n">
        <x:f>IFERROR(I937-M937,"")</x:f>
        <x:v>6.581653</x:v>
      </x:c>
      <x:c r="U937" s="41" t="n">
        <x:f>IFERROR(E937-M937,"")</x:f>
        <x:v>5.803837000000001</x:v>
      </x:c>
      <x:c r="V937" s="41" t="str">
        <x:f>IF(AND(I937&gt;M937,J937&gt;N937),"Sí","No")</x:f>
        <x:v>Sí</x:v>
      </x:c>
      <x:c r="W937" s="41" t="str">
        <x:f>IF(AND(E937&gt;M937,F937&gt;N937),"Sí","No")</x:f>
        <x:v>Sí</x:v>
      </x:c>
      <x:c r="X937" s="41" t="str">
        <x:f>IF(L937&gt;=H937,"Weekly","No weekly")</x:f>
        <x:v>Weekly</x:v>
      </x:c>
      <x:c r="Y937" s="41" t="n">
        <x:f>IFERROR(I937-E937,"")</x:f>
        <x:v>0.7778159999999996</x:v>
      </x:c>
      <x:c r="Z937" s="41" t="n">
        <x:f>IFERROR(J937-F937,"")</x:f>
        <x:v>4.971326000000001</x:v>
      </x:c>
      <x:c r="AA937" s="41" t="n">
        <x:v>11585</x:v>
      </x:c>
      <x:c r="AB937" s="41" t="n">
        <x:v>5729</x:v>
      </x:c>
    </x:row>
    <x:row r="938">
      <x:c r="A938" s="41" t="str">
        <x:v>HYP_REFINE_AUTO002_TOPN_6_V1_DDGRID_LONG_R12_C25_E75_CR40_REDD_RECOVERED_DD8_SLNONE</x:v>
      </x:c>
      <x:c r="B938" s="41" t="str">
        <x:v>dd_guard_grid</x:v>
      </x:c>
      <x:c r="C938" s="41" t="str">
        <x:v>1999-01-04</x:v>
      </x:c>
      <x:c r="D938" s="41" t="str">
        <x:v>2026-05-22</x:v>
      </x:c>
      <x:c r="E938" s="41" t="n">
        <x:v>12.666302</x:v>
      </x:c>
      <x:c r="F938" s="41" t="n">
        <x:v>-36.064332</x:v>
      </x:c>
      <x:c r="G938" s="41" t="n">
        <x:v>2518.445625</x:v>
      </x:c>
      <x:c r="H938" s="41" t="n">
        <x:f>IFERROR(E938/ABS(F938),"")</x:f>
        <x:v>0.3512141026208388</x:v>
      </x:c>
      <x:c r="I938" s="41" t="n">
        <x:v>13.807047</x:v>
      </x:c>
      <x:c r="J938" s="41" t="n">
        <x:v>-29.9418</x:v>
      </x:c>
      <x:c r="K938" s="41" t="n">
        <x:v>3350.068301</x:v>
      </x:c>
      <x:c r="L938" s="41" t="n">
        <x:f>IFERROR(I938/ABS(J938),"")</x:f>
        <x:v>0.46112949121295316</x:v>
      </x:c>
      <x:c r="M938" s="41" t="n">
        <x:v>6.802475</x:v>
      </x:c>
      <x:c r="N938" s="41" t="n">
        <x:v>-56.473669</x:v>
      </x:c>
      <x:c r="O938" s="41" t="n">
        <x:v>506.057416</x:v>
      </x:c>
      <x:c r="P938" s="41" t="n">
        <x:f>IFERROR(M938/ABS(N938),"")</x:f>
        <x:v>0.12045392340278087</x:v>
      </x:c>
      <x:c r="Q938" s="41" t="str">
        <x:f>IF(L938&gt;=MAX(H938,P938),"Weekly",IF(H938&gt;=MAX(L938,P938),"No weekly","SPY"))</x:f>
        <x:v>Weekly</x:v>
      </x:c>
      <x:c r="R938" s="41" t="n">
        <x:f>IFERROR(L938-P938,"")</x:f>
        <x:v>0.3406755678101723</x:v>
      </x:c>
      <x:c r="S938" s="41" t="n">
        <x:f>IFERROR(H938-P938,"")</x:f>
        <x:v>0.23076017921805791</x:v>
      </x:c>
      <x:c r="T938" s="41" t="n">
        <x:f>IFERROR(I938-M938,"")</x:f>
        <x:v>7.0045720000000005</x:v>
      </x:c>
      <x:c r="U938" s="41" t="n">
        <x:f>IFERROR(E938-M938,"")</x:f>
        <x:v>5.863827</x:v>
      </x:c>
      <x:c r="V938" s="41" t="str">
        <x:f>IF(AND(I938&gt;M938,J938&gt;N938),"Sí","No")</x:f>
        <x:v>Sí</x:v>
      </x:c>
      <x:c r="W938" s="41" t="str">
        <x:f>IF(AND(E938&gt;M938,F938&gt;N938),"Sí","No")</x:f>
        <x:v>Sí</x:v>
      </x:c>
      <x:c r="X938" s="41" t="str">
        <x:f>IF(L938&gt;=H938,"Weekly","No weekly")</x:f>
        <x:v>Weekly</x:v>
      </x:c>
      <x:c r="Y938" s="41" t="n">
        <x:f>IFERROR(I938-E938,"")</x:f>
        <x:v>1.1407450000000008</x:v>
      </x:c>
      <x:c r="Z938" s="41" t="n">
        <x:f>IFERROR(J938-F938,"")</x:f>
        <x:v>6.122532</x:v>
      </x:c>
      <x:c r="AA938" s="41" t="n">
        <x:v>11741</x:v>
      </x:c>
      <x:c r="AB938" s="41" t="n">
        <x:v>6159</x:v>
      </x:c>
    </x:row>
    <x:row r="939">
      <x:c r="A939" s="41" t="str">
        <x:v>HYP_REFINE_AUTO002_TOPN_6_V1_DDGRID_LONG_R12_C25_E75_CR40_REDD_RECOVERED_DD9_SL18</x:v>
      </x:c>
      <x:c r="B939" s="41" t="str">
        <x:v>dd_guard_grid</x:v>
      </x:c>
      <x:c r="C939" s="41" t="str">
        <x:v>1999-01-04</x:v>
      </x:c>
      <x:c r="D939" s="41" t="str">
        <x:v>2026-05-22</x:v>
      </x:c>
      <x:c r="E939" s="41" t="n">
        <x:v>12.795652</x:v>
      </x:c>
      <x:c r="F939" s="41" t="n">
        <x:v>-34.692427</x:v>
      </x:c>
      <x:c r="G939" s="41" t="n">
        <x:v>2602.008563</x:v>
      </x:c>
      <x:c r="H939" s="41" t="n">
        <x:f>IFERROR(E939/ABS(F939),"")</x:f>
        <x:v>0.3688312726002133</x:v>
      </x:c>
      <x:c r="I939" s="41" t="n">
        <x:v>13.506405</x:v>
      </x:c>
      <x:c r="J939" s="41" t="n">
        <x:v>-30.288843</x:v>
      </x:c>
      <x:c r="K939" s="41" t="n">
        <x:v>3109.043634</x:v>
      </x:c>
      <x:c r="L939" s="41" t="n">
        <x:f>IFERROR(I939/ABS(J939),"")</x:f>
        <x:v>0.44592013633534966</x:v>
      </x:c>
      <x:c r="M939" s="41" t="n">
        <x:v>6.802475</x:v>
      </x:c>
      <x:c r="N939" s="41" t="n">
        <x:v>-56.473669</x:v>
      </x:c>
      <x:c r="O939" s="41" t="n">
        <x:v>506.057416</x:v>
      </x:c>
      <x:c r="P939" s="41" t="n">
        <x:f>IFERROR(M939/ABS(N939),"")</x:f>
        <x:v>0.12045392340278087</x:v>
      </x:c>
      <x:c r="Q939" s="41" t="str">
        <x:f>IF(L939&gt;=MAX(H939,P939),"Weekly",IF(H939&gt;=MAX(L939,P939),"No weekly","SPY"))</x:f>
        <x:v>Weekly</x:v>
      </x:c>
      <x:c r="R939" s="41" t="n">
        <x:f>IFERROR(L939-P939,"")</x:f>
        <x:v>0.3254662129325688</x:v>
      </x:c>
      <x:c r="S939" s="41" t="n">
        <x:f>IFERROR(H939-P939,"")</x:f>
        <x:v>0.24837734919743243</x:v>
      </x:c>
      <x:c r="T939" s="41" t="n">
        <x:f>IFERROR(I939-M939,"")</x:f>
        <x:v>6.703930000000001</x:v>
      </x:c>
      <x:c r="U939" s="41" t="n">
        <x:f>IFERROR(E939-M939,"")</x:f>
        <x:v>5.993177</x:v>
      </x:c>
      <x:c r="V939" s="41" t="str">
        <x:f>IF(AND(I939&gt;M939,J939&gt;N939),"Sí","No")</x:f>
        <x:v>Sí</x:v>
      </x:c>
      <x:c r="W939" s="41" t="str">
        <x:f>IF(AND(E939&gt;M939,F939&gt;N939),"Sí","No")</x:f>
        <x:v>Sí</x:v>
      </x:c>
      <x:c r="X939" s="41" t="str">
        <x:f>IF(L939&gt;=H939,"Weekly","No weekly")</x:f>
        <x:v>Weekly</x:v>
      </x:c>
      <x:c r="Y939" s="41" t="n">
        <x:f>IFERROR(I939-E939,"")</x:f>
        <x:v>0.7107530000000004</x:v>
      </x:c>
      <x:c r="Z939" s="41" t="n">
        <x:f>IFERROR(J939-F939,"")</x:f>
        <x:v>4.403584000000002</x:v>
      </x:c>
      <x:c r="AA939" s="41" t="n">
        <x:v>11315</x:v>
      </x:c>
      <x:c r="AB939" s="41" t="n">
        <x:v>4979</x:v>
      </x:c>
    </x:row>
    <x:row r="940">
      <x:c r="A940" s="41" t="str">
        <x:v>HYP_REFINE_AUTO002_TOPN_6_V1_DDGRID_LONG_R12_C25_E75_CR40_REDD_RECOVERED_DD9_SL20</x:v>
      </x:c>
      <x:c r="B940" s="41" t="str">
        <x:v>dd_guard_grid</x:v>
      </x:c>
      <x:c r="C940" s="41" t="str">
        <x:v>1999-01-04</x:v>
      </x:c>
      <x:c r="D940" s="41" t="str">
        <x:v>2026-05-22</x:v>
      </x:c>
      <x:c r="E940" s="41" t="n">
        <x:v>12.992539</x:v>
      </x:c>
      <x:c r="F940" s="41" t="n">
        <x:v>-34.568769</x:v>
      </x:c>
      <x:c r="G940" s="41" t="n">
        <x:v>2734.154359</x:v>
      </x:c>
      <x:c r="H940" s="41" t="n">
        <x:f>IFERROR(E940/ABS(F940),"")</x:f>
        <x:v>0.3758461575533685</x:v>
      </x:c>
      <x:c r="I940" s="41" t="n">
        <x:v>13.635611</x:v>
      </x:c>
      <x:c r="J940" s="41" t="n">
        <x:v>-32.201421</x:v>
      </x:c>
      <x:c r="K940" s="41" t="n">
        <x:v>3210.5704</x:v>
      </x:c>
      <x:c r="L940" s="41" t="n">
        <x:f>IFERROR(I940/ABS(J940),"")</x:f>
        <x:v>0.42344749320224095</x:v>
      </x:c>
      <x:c r="M940" s="41" t="n">
        <x:v>6.802475</x:v>
      </x:c>
      <x:c r="N940" s="41" t="n">
        <x:v>-56.473669</x:v>
      </x:c>
      <x:c r="O940" s="41" t="n">
        <x:v>506.057416</x:v>
      </x:c>
      <x:c r="P940" s="41" t="n">
        <x:f>IFERROR(M940/ABS(N940),"")</x:f>
        <x:v>0.12045392340278087</x:v>
      </x:c>
      <x:c r="Q940" s="41" t="str">
        <x:f>IF(L940&gt;=MAX(H940,P940),"Weekly",IF(H940&gt;=MAX(L940,P940),"No weekly","SPY"))</x:f>
        <x:v>Weekly</x:v>
      </x:c>
      <x:c r="R940" s="41" t="n">
        <x:f>IFERROR(L940-P940,"")</x:f>
        <x:v>0.30299356979946007</x:v>
      </x:c>
      <x:c r="S940" s="41" t="n">
        <x:f>IFERROR(H940-P940,"")</x:f>
        <x:v>0.2553922341505876</x:v>
      </x:c>
      <x:c r="T940" s="41" t="n">
        <x:f>IFERROR(I940-M940,"")</x:f>
        <x:v>6.8331360000000005</x:v>
      </x:c>
      <x:c r="U940" s="41" t="n">
        <x:f>IFERROR(E940-M940,"")</x:f>
        <x:v>6.1900640000000005</x:v>
      </x:c>
      <x:c r="V940" s="41" t="str">
        <x:f>IF(AND(I940&gt;M940,J940&gt;N940),"Sí","No")</x:f>
        <x:v>Sí</x:v>
      </x:c>
      <x:c r="W940" s="41" t="str">
        <x:f>IF(AND(E940&gt;M940,F940&gt;N940),"Sí","No")</x:f>
        <x:v>Sí</x:v>
      </x:c>
      <x:c r="X940" s="41" t="str">
        <x:f>IF(L940&gt;=H940,"Weekly","No weekly")</x:f>
        <x:v>Weekly</x:v>
      </x:c>
      <x:c r="Y940" s="41" t="n">
        <x:f>IFERROR(I940-E940,"")</x:f>
        <x:v>0.6430720000000001</x:v>
      </x:c>
      <x:c r="Z940" s="41" t="n">
        <x:f>IFERROR(J940-F940,"")</x:f>
        <x:v>2.367348</x:v>
      </x:c>
      <x:c r="AA940" s="41" t="n">
        <x:v>11878</x:v>
      </x:c>
      <x:c r="AB940" s="41" t="n">
        <x:v>5339</x:v>
      </x:c>
    </x:row>
    <x:row r="941">
      <x:c r="A941" s="41" t="str">
        <x:v>HYP_REFINE_AUTO002_TOPN_6_V1_DDGRID_LONG_R12_C25_E75_CR42_REDD_RECOVERED_DD8_SL20</x:v>
      </x:c>
      <x:c r="B941" s="41" t="str">
        <x:v>dd_guard_grid</x:v>
      </x:c>
      <x:c r="C941" s="41" t="str">
        <x:v>1999-01-04</x:v>
      </x:c>
      <x:c r="D941" s="41" t="str">
        <x:v>2026-05-22</x:v>
      </x:c>
      <x:c r="E941" s="41" t="n">
        <x:v>13.055151</x:v>
      </x:c>
      <x:c r="F941" s="41" t="n">
        <x:v>-35.410395</x:v>
      </x:c>
      <x:c r="G941" s="41" t="n">
        <x:v>2777.467332</x:v>
      </x:c>
      <x:c r="H941" s="41" t="n">
        <x:f>IFERROR(E941/ABS(F941),"")</x:f>
        <x:v>0.3686813151900734</x:v>
      </x:c>
      <x:c r="I941" s="41" t="n">
        <x:v>15.256129</x:v>
      </x:c>
      <x:c r="J941" s="41" t="n">
        <x:v>-30.264149</x:v>
      </x:c>
      <x:c r="K941" s="41" t="n">
        <x:v>4778.306306</x:v>
      </x:c>
      <x:c r="L941" s="41" t="n">
        <x:f>IFERROR(I941/ABS(J941),"")</x:f>
        <x:v>0.504099057931548</x:v>
      </x:c>
      <x:c r="M941" s="41" t="n">
        <x:v>6.802475</x:v>
      </x:c>
      <x:c r="N941" s="41" t="n">
        <x:v>-56.473669</x:v>
      </x:c>
      <x:c r="O941" s="41" t="n">
        <x:v>506.057416</x:v>
      </x:c>
      <x:c r="P941" s="41" t="n">
        <x:f>IFERROR(M941/ABS(N941),"")</x:f>
        <x:v>0.12045392340278087</x:v>
      </x:c>
      <x:c r="Q941" s="41" t="str">
        <x:f>IF(L941&gt;=MAX(H941,P941),"Weekly",IF(H941&gt;=MAX(L941,P941),"No weekly","SPY"))</x:f>
        <x:v>Weekly</x:v>
      </x:c>
      <x:c r="R941" s="41" t="n">
        <x:f>IFERROR(L941-P941,"")</x:f>
        <x:v>0.3836451345287671</x:v>
      </x:c>
      <x:c r="S941" s="41" t="n">
        <x:f>IFERROR(H941-P941,"")</x:f>
        <x:v>0.24822739178729253</x:v>
      </x:c>
      <x:c r="T941" s="41" t="n">
        <x:f>IFERROR(I941-M941,"")</x:f>
        <x:v>8.453654</x:v>
      </x:c>
      <x:c r="U941" s="41" t="n">
        <x:f>IFERROR(E941-M941,"")</x:f>
        <x:v>6.252676</x:v>
      </x:c>
      <x:c r="V941" s="41" t="str">
        <x:f>IF(AND(I941&gt;M941,J941&gt;N941),"Sí","No")</x:f>
        <x:v>Sí</x:v>
      </x:c>
      <x:c r="W941" s="41" t="str">
        <x:f>IF(AND(E941&gt;M941,F941&gt;N941),"Sí","No")</x:f>
        <x:v>Sí</x:v>
      </x:c>
      <x:c r="X941" s="41" t="str">
        <x:f>IF(L941&gt;=H941,"Weekly","No weekly")</x:f>
        <x:v>Weekly</x:v>
      </x:c>
      <x:c r="Y941" s="41" t="n">
        <x:f>IFERROR(I941-E941,"")</x:f>
        <x:v>2.200977999999999</x:v>
      </x:c>
      <x:c r="Z941" s="41" t="n">
        <x:f>IFERROR(J941-F941,"")</x:f>
        <x:v>5.146246000000001</x:v>
      </x:c>
      <x:c r="AA941" s="41" t="n">
        <x:v>11198</x:v>
      </x:c>
      <x:c r="AB941" s="41" t="n">
        <x:v>5519</x:v>
      </x:c>
    </x:row>
    <x:row r="942">
      <x:c r="A942" s="41" t="str">
        <x:v>HYP_REFINE_AUTO002_TOPN_6_V1_DDGRID_LONG_R12_C25_E75_CR42_REDD_RECOVERED_DD8_SL22</x:v>
      </x:c>
      <x:c r="B942" s="41" t="str">
        <x:v>dd_guard_grid</x:v>
      </x:c>
      <x:c r="C942" s="41" t="str">
        <x:v>1999-01-04</x:v>
      </x:c>
      <x:c r="D942" s="41" t="str">
        <x:v>2026-05-22</x:v>
      </x:c>
      <x:c r="E942" s="41" t="n">
        <x:v>12.879484</x:v>
      </x:c>
      <x:c r="F942" s="41" t="n">
        <x:v>-35.333603</x:v>
      </x:c>
      <x:c r="G942" s="41" t="n">
        <x:v>2657.532393</x:v>
      </x:c>
      <x:c r="H942" s="41" t="n">
        <x:f>IFERROR(E942/ABS(F942),"")</x:f>
        <x:v>0.3645109161383853</x:v>
      </x:c>
      <x:c r="I942" s="41" t="n">
        <x:v>12.402693</x:v>
      </x:c>
      <x:c r="J942" s="41" t="n">
        <x:v>-31.585211</x:v>
      </x:c>
      <x:c r="K942" s="41" t="n">
        <x:v>2355.787457</x:v>
      </x:c>
      <x:c r="L942" s="41" t="n">
        <x:f>IFERROR(I942/ABS(J942),"")</x:f>
        <x:v>0.3926740587549027</x:v>
      </x:c>
      <x:c r="M942" s="41" t="n">
        <x:v>6.802475</x:v>
      </x:c>
      <x:c r="N942" s="41" t="n">
        <x:v>-56.473669</x:v>
      </x:c>
      <x:c r="O942" s="41" t="n">
        <x:v>506.057416</x:v>
      </x:c>
      <x:c r="P942" s="41" t="n">
        <x:f>IFERROR(M942/ABS(N942),"")</x:f>
        <x:v>0.12045392340278087</x:v>
      </x:c>
      <x:c r="Q942" s="41" t="str">
        <x:f>IF(L942&gt;=MAX(H942,P942),"Weekly",IF(H942&gt;=MAX(L942,P942),"No weekly","SPY"))</x:f>
        <x:v>Weekly</x:v>
      </x:c>
      <x:c r="R942" s="41" t="n">
        <x:f>IFERROR(L942-P942,"")</x:f>
        <x:v>0.2722201353521218</x:v>
      </x:c>
      <x:c r="S942" s="41" t="n">
        <x:f>IFERROR(H942-P942,"")</x:f>
        <x:v>0.24405699273560444</x:v>
      </x:c>
      <x:c r="T942" s="41" t="n">
        <x:f>IFERROR(I942-M942,"")</x:f>
        <x:v>5.600217999999999</x:v>
      </x:c>
      <x:c r="U942" s="41" t="n">
        <x:f>IFERROR(E942-M942,"")</x:f>
        <x:v>6.077008999999999</x:v>
      </x:c>
      <x:c r="V942" s="41" t="str">
        <x:f>IF(AND(I942&gt;M942,J942&gt;N942),"Sí","No")</x:f>
        <x:v>Sí</x:v>
      </x:c>
      <x:c r="W942" s="41" t="str">
        <x:f>IF(AND(E942&gt;M942,F942&gt;N942),"Sí","No")</x:f>
        <x:v>Sí</x:v>
      </x:c>
      <x:c r="X942" s="41" t="str">
        <x:f>IF(L942&gt;=H942,"Weekly","No weekly")</x:f>
        <x:v>Weekly</x:v>
      </x:c>
      <x:c r="Y942" s="41" t="n">
        <x:f>IFERROR(I942-E942,"")</x:f>
        <x:v>-0.4767910000000004</x:v>
      </x:c>
      <x:c r="Z942" s="41" t="n">
        <x:f>IFERROR(J942-F942,"")</x:f>
        <x:v>3.7483919999999955</x:v>
      </x:c>
      <x:c r="AA942" s="41" t="n">
        <x:v>11975</x:v>
      </x:c>
      <x:c r="AB942" s="41" t="n">
        <x:v>5556</x:v>
      </x:c>
    </x:row>
    <x:row r="943">
      <x:c r="A943" s="41" t="str">
        <x:v>HYP_REFINE_AUTO002_TOPN_6_V1_DDGRID_LONG_R12_C25_E75_CR45_REDD_RECOVERED_DD8_SL20</x:v>
      </x:c>
      <x:c r="B943" s="41" t="str">
        <x:v>dd_guard_grid</x:v>
      </x:c>
      <x:c r="C943" s="41" t="str">
        <x:v>1999-01-04</x:v>
      </x:c>
      <x:c r="D943" s="41" t="str">
        <x:v>2026-05-22</x:v>
      </x:c>
      <x:c r="E943" s="41" t="n">
        <x:v>14.63153</x:v>
      </x:c>
      <x:c r="F943" s="41" t="n">
        <x:v>-35.779689</x:v>
      </x:c>
      <x:c r="G943" s="41" t="n">
        <x:v>4103.949064</x:v>
      </x:c>
      <x:c r="H943" s="41" t="n">
        <x:f>IFERROR(E943/ABS(F943),"")</x:f>
        <x:v>0.4089339625059346</x:v>
      </x:c>
      <x:c r="I943" s="41" t="n">
        <x:v>14.233351</x:v>
      </x:c>
      <x:c r="J943" s="41" t="n">
        <x:v>-31.899885</x:v>
      </x:c>
      <x:c r="K943" s="41" t="n">
        <x:v>3721.940143</x:v>
      </x:c>
      <x:c r="L943" s="41" t="n">
        <x:f>IFERROR(I943/ABS(J943),"")</x:f>
        <x:v>0.4461881602394491</x:v>
      </x:c>
      <x:c r="M943" s="41" t="n">
        <x:v>6.802475</x:v>
      </x:c>
      <x:c r="N943" s="41" t="n">
        <x:v>-56.473669</x:v>
      </x:c>
      <x:c r="O943" s="41" t="n">
        <x:v>506.057416</x:v>
      </x:c>
      <x:c r="P943" s="41" t="n">
        <x:f>IFERROR(M943/ABS(N943),"")</x:f>
        <x:v>0.12045392340278087</x:v>
      </x:c>
      <x:c r="Q943" s="41" t="str">
        <x:f>IF(L943&gt;=MAX(H943,P943),"Weekly",IF(H943&gt;=MAX(L943,P943),"No weekly","SPY"))</x:f>
        <x:v>Weekly</x:v>
      </x:c>
      <x:c r="R943" s="41" t="n">
        <x:f>IFERROR(L943-P943,"")</x:f>
        <x:v>0.32573423683666825</x:v>
      </x:c>
      <x:c r="S943" s="41" t="n">
        <x:f>IFERROR(H943-P943,"")</x:f>
        <x:v>0.28848003910315373</x:v>
      </x:c>
      <x:c r="T943" s="41" t="n">
        <x:f>IFERROR(I943-M943,"")</x:f>
        <x:v>7.4308760000000005</x:v>
      </x:c>
      <x:c r="U943" s="41" t="n">
        <x:f>IFERROR(E943-M943,"")</x:f>
        <x:v>7.829054999999999</x:v>
      </x:c>
      <x:c r="V943" s="41" t="str">
        <x:f>IF(AND(I943&gt;M943,J943&gt;N943),"Sí","No")</x:f>
        <x:v>Sí</x:v>
      </x:c>
      <x:c r="W943" s="41" t="str">
        <x:f>IF(AND(E943&gt;M943,F943&gt;N943),"Sí","No")</x:f>
        <x:v>Sí</x:v>
      </x:c>
      <x:c r="X943" s="41" t="str">
        <x:f>IF(L943&gt;=H943,"Weekly","No weekly")</x:f>
        <x:v>Weekly</x:v>
      </x:c>
      <x:c r="Y943" s="41" t="n">
        <x:f>IFERROR(I943-E943,"")</x:f>
        <x:v>-0.39817899999999895</x:v>
      </x:c>
      <x:c r="Z943" s="41" t="n">
        <x:f>IFERROR(J943-F943,"")</x:f>
        <x:v>3.8798039999999965</x:v>
      </x:c>
      <x:c r="AA943" s="41" t="n">
        <x:v>11640</x:v>
      </x:c>
      <x:c r="AB943" s="41" t="n">
        <x:v>5274</x:v>
      </x:c>
    </x:row>
    <x:row r="944">
      <x:c r="A944" s="41" t="str">
        <x:v>HYP_REFINE_AUTO002_TOPN_6_V1_DDGRID_LONG_R12_C25_E78_CR40_REDD_RECOVERED_DD8_SL20</x:v>
      </x:c>
      <x:c r="B944" s="41" t="str">
        <x:v>dd_guard_grid</x:v>
      </x:c>
      <x:c r="C944" s="41" t="str">
        <x:v>1999-01-04</x:v>
      </x:c>
      <x:c r="D944" s="41" t="str">
        <x:v>2026-05-22</x:v>
      </x:c>
      <x:c r="E944" s="41" t="n">
        <x:v>13.281506</x:v>
      </x:c>
      <x:c r="F944" s="41" t="n">
        <x:v>-35.189044</x:v>
      </x:c>
      <x:c r="G944" s="41" t="n">
        <x:v>2939.435592</x:v>
      </x:c>
      <x:c r="H944" s="41" t="n">
        <x:f>IFERROR(E944/ABS(F944),"")</x:f>
        <x:v>0.37743298738095865</x:v>
      </x:c>
      <x:c r="I944" s="41" t="n">
        <x:v>12.105677</x:v>
      </x:c>
      <x:c r="J944" s="41" t="n">
        <x:v>-32.223252</x:v>
      </x:c>
      <x:c r="K944" s="41" t="n">
        <x:v>2184.177318</x:v>
      </x:c>
      <x:c r="L944" s="41" t="n">
        <x:f>IFERROR(I944/ABS(J944),"")</x:f>
        <x:v>0.3756814178779969</x:v>
      </x:c>
      <x:c r="M944" s="41" t="n">
        <x:v>6.802475</x:v>
      </x:c>
      <x:c r="N944" s="41" t="n">
        <x:v>-56.473669</x:v>
      </x:c>
      <x:c r="O944" s="41" t="n">
        <x:v>506.057416</x:v>
      </x:c>
      <x:c r="P944" s="41" t="n">
        <x:f>IFERROR(M944/ABS(N944),"")</x:f>
        <x:v>0.12045392340278087</x:v>
      </x:c>
      <x:c r="Q944" s="41" t="str">
        <x:f>IF(L944&gt;=MAX(H944,P944),"Weekly",IF(H944&gt;=MAX(L944,P944),"No weekly","SPY"))</x:f>
        <x:v>No weekly</x:v>
      </x:c>
      <x:c r="R944" s="41" t="n">
        <x:f>IFERROR(L944-P944,"")</x:f>
        <x:v>0.25522749447521603</x:v>
      </x:c>
      <x:c r="S944" s="41" t="n">
        <x:f>IFERROR(H944-P944,"")</x:f>
        <x:v>0.25697906397817777</x:v>
      </x:c>
      <x:c r="T944" s="41" t="n">
        <x:f>IFERROR(I944-M944,"")</x:f>
        <x:v>5.303202</x:v>
      </x:c>
      <x:c r="U944" s="41" t="n">
        <x:f>IFERROR(E944-M944,"")</x:f>
        <x:v>6.479031</x:v>
      </x:c>
      <x:c r="V944" s="41" t="str">
        <x:f>IF(AND(I944&gt;M944,J944&gt;N944),"Sí","No")</x:f>
        <x:v>Sí</x:v>
      </x:c>
      <x:c r="W944" s="41" t="str">
        <x:f>IF(AND(E944&gt;M944,F944&gt;N944),"Sí","No")</x:f>
        <x:v>Sí</x:v>
      </x:c>
      <x:c r="X944" s="41" t="str">
        <x:f>IF(L944&gt;=H944,"Weekly","No weekly")</x:f>
        <x:v>No weekly</x:v>
      </x:c>
      <x:c r="Y944" s="41" t="n">
        <x:f>IFERROR(I944-E944,"")</x:f>
        <x:v>-1.1758290000000002</x:v>
      </x:c>
      <x:c r="Z944" s="41" t="n">
        <x:f>IFERROR(J944-F944,"")</x:f>
        <x:v>2.9657920000000004</x:v>
      </x:c>
      <x:c r="AA944" s="41" t="n">
        <x:v>12207</x:v>
      </x:c>
      <x:c r="AB944" s="41" t="n">
        <x:v>5453</x:v>
      </x:c>
    </x:row>
    <x:row r="945">
      <x:c r="A945" s="41" t="str">
        <x:v>HYP_REFINE_AUTO002_TOPN_6_V1_DDGRID_LONG_R13_C20_E75_CR40_REDD_RECOVERED_DD8_SL20</x:v>
      </x:c>
      <x:c r="B945" s="41" t="str">
        <x:v>dd_guard_grid</x:v>
      </x:c>
      <x:c r="C945" s="41" t="str">
        <x:v>1999-01-04</x:v>
      </x:c>
      <x:c r="D945" s="41" t="str">
        <x:v>2026-05-22</x:v>
      </x:c>
      <x:c r="E945" s="41" t="n">
        <x:v>11.513328</x:v>
      </x:c>
      <x:c r="F945" s="41" t="n">
        <x:v>-31.728289</x:v>
      </x:c>
      <x:c r="G945" s="41" t="n">
        <x:v>1875.770763</x:v>
      </x:c>
      <x:c r="H945" s="41" t="n">
        <x:f>IFERROR(E945/ABS(F945),"")</x:f>
        <x:v>0.3628726402485807</x:v>
      </x:c>
      <x:c r="I945" s="41" t="n">
        <x:v>13.387359</x:v>
      </x:c>
      <x:c r="J945" s="41" t="n">
        <x:v>-28.480174</x:v>
      </x:c>
      <x:c r="K945" s="41" t="n">
        <x:v>3018.160554</x:v>
      </x:c>
      <x:c r="L945" s="41" t="n">
        <x:f>IFERROR(I945/ABS(J945),"")</x:f>
        <x:v>0.4700588907918891</x:v>
      </x:c>
      <x:c r="M945" s="41" t="n">
        <x:v>6.802475</x:v>
      </x:c>
      <x:c r="N945" s="41" t="n">
        <x:v>-56.473669</x:v>
      </x:c>
      <x:c r="O945" s="41" t="n">
        <x:v>506.057416</x:v>
      </x:c>
      <x:c r="P945" s="41" t="n">
        <x:f>IFERROR(M945/ABS(N945),"")</x:f>
        <x:v>0.12045392340278087</x:v>
      </x:c>
      <x:c r="Q945" s="41" t="str">
        <x:f>IF(L945&gt;=MAX(H945,P945),"Weekly",IF(H945&gt;=MAX(L945,P945),"No weekly","SPY"))</x:f>
        <x:v>Weekly</x:v>
      </x:c>
      <x:c r="R945" s="41" t="n">
        <x:f>IFERROR(L945-P945,"")</x:f>
        <x:v>0.34960496738910823</x:v>
      </x:c>
      <x:c r="S945" s="41" t="n">
        <x:f>IFERROR(H945-P945,"")</x:f>
        <x:v>0.2424187168457998</x:v>
      </x:c>
      <x:c r="T945" s="41" t="n">
        <x:f>IFERROR(I945-M945,"")</x:f>
        <x:v>6.584884</x:v>
      </x:c>
      <x:c r="U945" s="41" t="n">
        <x:f>IFERROR(E945-M945,"")</x:f>
        <x:v>4.710852999999999</x:v>
      </x:c>
      <x:c r="V945" s="41" t="str">
        <x:f>IF(AND(I945&gt;M945,J945&gt;N945),"Sí","No")</x:f>
        <x:v>Sí</x:v>
      </x:c>
      <x:c r="W945" s="41" t="str">
        <x:f>IF(AND(E945&gt;M945,F945&gt;N945),"Sí","No")</x:f>
        <x:v>Sí</x:v>
      </x:c>
      <x:c r="X945" s="41" t="str">
        <x:f>IF(L945&gt;=H945,"Weekly","No weekly")</x:f>
        <x:v>Weekly</x:v>
      </x:c>
      <x:c r="Y945" s="41" t="n">
        <x:f>IFERROR(I945-E945,"")</x:f>
        <x:v>1.8740310000000004</x:v>
      </x:c>
      <x:c r="Z945" s="41" t="n">
        <x:f>IFERROR(J945-F945,"")</x:f>
        <x:v>3.2481149999999985</x:v>
      </x:c>
      <x:c r="AA945" s="41" t="n">
        <x:v>11458</x:v>
      </x:c>
      <x:c r="AB945" s="41" t="n">
        <x:v>6048</x:v>
      </x:c>
    </x:row>
    <x:row r="946">
      <x:c r="A946" s="41" t="str">
        <x:v>HYP_REFINE_AUTO002_TOPN_6_V1_DDGRID_LONG_R13_C20_E75_CR40_REDD_RECOVERED_DD8_SL22</x:v>
      </x:c>
      <x:c r="B946" s="41" t="str">
        <x:v>dd_guard_grid</x:v>
      </x:c>
      <x:c r="C946" s="41" t="str">
        <x:v>1999-01-04</x:v>
      </x:c>
      <x:c r="D946" s="41" t="str">
        <x:v>2026-05-22</x:v>
      </x:c>
      <x:c r="E946" s="41" t="n">
        <x:v>10.895173</x:v>
      </x:c>
      <x:c r="F946" s="41" t="n">
        <x:v>-33.405828</x:v>
      </x:c>
      <x:c r="G946" s="41" t="n">
        <x:v>1596.840852</x:v>
      </x:c>
      <x:c r="H946" s="41" t="n">
        <x:f>IFERROR(E946/ABS(F946),"")</x:f>
        <x:v>0.3261458749054207</x:v>
      </x:c>
      <x:c r="I946" s="41" t="n">
        <x:v>13.093728</x:v>
      </x:c>
      <x:c r="J946" s="41" t="n">
        <x:v>-28.364536</x:v>
      </x:c>
      <x:c r="K946" s="41" t="n">
        <x:v>2804.470478</x:v>
      </x:c>
      <x:c r="L946" s="41" t="n">
        <x:f>IFERROR(I946/ABS(J946),"")</x:f>
        <x:v>0.4616232044127216</x:v>
      </x:c>
      <x:c r="M946" s="41" t="n">
        <x:v>6.802475</x:v>
      </x:c>
      <x:c r="N946" s="41" t="n">
        <x:v>-56.473669</x:v>
      </x:c>
      <x:c r="O946" s="41" t="n">
        <x:v>506.057416</x:v>
      </x:c>
      <x:c r="P946" s="41" t="n">
        <x:f>IFERROR(M946/ABS(N946),"")</x:f>
        <x:v>0.12045392340278087</x:v>
      </x:c>
      <x:c r="Q946" s="41" t="str">
        <x:f>IF(L946&gt;=MAX(H946,P946),"Weekly",IF(H946&gt;=MAX(L946,P946),"No weekly","SPY"))</x:f>
        <x:v>Weekly</x:v>
      </x:c>
      <x:c r="R946" s="41" t="n">
        <x:f>IFERROR(L946-P946,"")</x:f>
        <x:v>0.3411692810099407</x:v>
      </x:c>
      <x:c r="S946" s="41" t="n">
        <x:f>IFERROR(H946-P946,"")</x:f>
        <x:v>0.2056919515026398</x:v>
      </x:c>
      <x:c r="T946" s="41" t="n">
        <x:f>IFERROR(I946-M946,"")</x:f>
        <x:v>6.291253</x:v>
      </x:c>
      <x:c r="U946" s="41" t="n">
        <x:f>IFERROR(E946-M946,"")</x:f>
        <x:v>4.0926979999999995</x:v>
      </x:c>
      <x:c r="V946" s="41" t="str">
        <x:f>IF(AND(I946&gt;M946,J946&gt;N946),"Sí","No")</x:f>
        <x:v>Sí</x:v>
      </x:c>
      <x:c r="W946" s="41" t="str">
        <x:f>IF(AND(E946&gt;M946,F946&gt;N946),"Sí","No")</x:f>
        <x:v>Sí</x:v>
      </x:c>
      <x:c r="X946" s="41" t="str">
        <x:f>IF(L946&gt;=H946,"Weekly","No weekly")</x:f>
        <x:v>Weekly</x:v>
      </x:c>
      <x:c r="Y946" s="41" t="n">
        <x:f>IFERROR(I946-E946,"")</x:f>
        <x:v>2.1985550000000007</x:v>
      </x:c>
      <x:c r="Z946" s="41" t="n">
        <x:f>IFERROR(J946-F946,"")</x:f>
        <x:v>5.0412919999999986</x:v>
      </x:c>
      <x:c r="AA946" s="41" t="n">
        <x:v>11503</x:v>
      </x:c>
      <x:c r="AB946" s="41" t="n">
        <x:v>5859</x:v>
      </x:c>
    </x:row>
    <x:row r="947">
      <x:c r="A947" s="41" t="str">
        <x:v>HYP_REFINE_AUTO002_TOPN_6_V1_DDGRID_LONG_R13_C21_E75_CR40_REDD_RECOVERED_DD7_SL18</x:v>
      </x:c>
      <x:c r="B947" s="41" t="str">
        <x:v>dd_guard_grid</x:v>
      </x:c>
      <x:c r="C947" s="41" t="str">
        <x:v>1999-01-04</x:v>
      </x:c>
      <x:c r="D947" s="41" t="str">
        <x:v>2026-05-22</x:v>
      </x:c>
      <x:c r="E947" s="41" t="n">
        <x:v>12.680487</x:v>
      </x:c>
      <x:c r="F947" s="41" t="n">
        <x:v>-31.791468</x:v>
      </x:c>
      <x:c r="G947" s="41" t="n">
        <x:v>2527.486258</x:v>
      </x:c>
      <x:c r="H947" s="41" t="n">
        <x:f>IFERROR(E947/ABS(F947),"")</x:f>
        <x:v>0.39886446891977434</x:v>
      </x:c>
      <x:c r="I947" s="41" t="n">
        <x:v>12.524321</x:v>
      </x:c>
      <x:c r="J947" s="41" t="n">
        <x:v>-28.891144</x:v>
      </x:c>
      <x:c r="K947" s="41" t="n">
        <x:v>2429.589183</x:v>
      </x:c>
      <x:c r="L947" s="41" t="n">
        <x:f>IFERROR(I947/ABS(J947),"")</x:f>
        <x:v>0.43350034875739085</x:v>
      </x:c>
      <x:c r="M947" s="41" t="n">
        <x:v>6.802475</x:v>
      </x:c>
      <x:c r="N947" s="41" t="n">
        <x:v>-56.473669</x:v>
      </x:c>
      <x:c r="O947" s="41" t="n">
        <x:v>506.057416</x:v>
      </x:c>
      <x:c r="P947" s="41" t="n">
        <x:f>IFERROR(M947/ABS(N947),"")</x:f>
        <x:v>0.12045392340278087</x:v>
      </x:c>
      <x:c r="Q947" s="41" t="str">
        <x:f>IF(L947&gt;=MAX(H947,P947),"Weekly",IF(H947&gt;=MAX(L947,P947),"No weekly","SPY"))</x:f>
        <x:v>Weekly</x:v>
      </x:c>
      <x:c r="R947" s="41" t="n">
        <x:f>IFERROR(L947-P947,"")</x:f>
        <x:v>0.31304642535460997</x:v>
      </x:c>
      <x:c r="S947" s="41" t="n">
        <x:f>IFERROR(H947-P947,"")</x:f>
        <x:v>0.27841054551699346</x:v>
      </x:c>
      <x:c r="T947" s="41" t="n">
        <x:f>IFERROR(I947-M947,"")</x:f>
        <x:v>5.721846</x:v>
      </x:c>
      <x:c r="U947" s="41" t="n">
        <x:f>IFERROR(E947-M947,"")</x:f>
        <x:v>5.878011999999999</x:v>
      </x:c>
      <x:c r="V947" s="41" t="str">
        <x:f>IF(AND(I947&gt;M947,J947&gt;N947),"Sí","No")</x:f>
        <x:v>Sí</x:v>
      </x:c>
      <x:c r="W947" s="41" t="str">
        <x:f>IF(AND(E947&gt;M947,F947&gt;N947),"Sí","No")</x:f>
        <x:v>Sí</x:v>
      </x:c>
      <x:c r="X947" s="41" t="str">
        <x:f>IF(L947&gt;=H947,"Weekly","No weekly")</x:f>
        <x:v>Weekly</x:v>
      </x:c>
      <x:c r="Y947" s="41" t="n">
        <x:f>IFERROR(I947-E947,"")</x:f>
        <x:v>-0.15616599999999892</x:v>
      </x:c>
      <x:c r="Z947" s="41" t="n">
        <x:f>IFERROR(J947-F947,"")</x:f>
        <x:v>2.9003239999999977</x:v>
      </x:c>
      <x:c r="AA947" s="41" t="n">
        <x:v>11648</x:v>
      </x:c>
      <x:c r="AB947" s="41" t="n">
        <x:v>5796</x:v>
      </x:c>
    </x:row>
    <x:row r="948">
      <x:c r="A948" s="41" t="str">
        <x:v>HYP_REFINE_AUTO002_TOPN_6_V1_DDGRID_LONG_R13_C21_E75_CR40_REDD_RECOVERED_DD8_SL20</x:v>
      </x:c>
      <x:c r="B948" s="41" t="str">
        <x:v>dd_guard_grid</x:v>
      </x:c>
      <x:c r="C948" s="41" t="str">
        <x:v>1999-01-04</x:v>
      </x:c>
      <x:c r="D948" s="41" t="str">
        <x:v>2026-05-22</x:v>
      </x:c>
      <x:c r="E948" s="41" t="n">
        <x:v>12.490906</x:v>
      </x:c>
      <x:c r="F948" s="41" t="n">
        <x:v>-32.545222</x:v>
      </x:c>
      <x:c r="G948" s="41" t="n">
        <x:v>2409.103456</x:v>
      </x:c>
      <x:c r="H948" s="41" t="n">
        <x:f>IFERROR(E948/ABS(F948),"")</x:f>
        <x:v>0.38380153006791595</x:v>
      </x:c>
      <x:c r="I948" s="41" t="n">
        <x:v>12.937039</x:v>
      </x:c>
      <x:c r="J948" s="41" t="n">
        <x:v>-29.110571</x:v>
      </x:c>
      <x:c r="K948" s="41" t="n">
        <x:v>2696.286848</x:v>
      </x:c>
      <x:c r="L948" s="41" t="n">
        <x:f>IFERROR(I948/ABS(J948),"")</x:f>
        <x:v>0.4444103483919982</x:v>
      </x:c>
      <x:c r="M948" s="41" t="n">
        <x:v>6.802475</x:v>
      </x:c>
      <x:c r="N948" s="41" t="n">
        <x:v>-56.473669</x:v>
      </x:c>
      <x:c r="O948" s="41" t="n">
        <x:v>506.057416</x:v>
      </x:c>
      <x:c r="P948" s="41" t="n">
        <x:f>IFERROR(M948/ABS(N948),"")</x:f>
        <x:v>0.12045392340278087</x:v>
      </x:c>
      <x:c r="Q948" s="41" t="str">
        <x:f>IF(L948&gt;=MAX(H948,P948),"Weekly",IF(H948&gt;=MAX(L948,P948),"No weekly","SPY"))</x:f>
        <x:v>Weekly</x:v>
      </x:c>
      <x:c r="R948" s="41" t="n">
        <x:f>IFERROR(L948-P948,"")</x:f>
        <x:v>0.32395642498921734</x:v>
      </x:c>
      <x:c r="S948" s="41" t="n">
        <x:f>IFERROR(H948-P948,"")</x:f>
        <x:v>0.26334760666513507</x:v>
      </x:c>
      <x:c r="T948" s="41" t="n">
        <x:f>IFERROR(I948-M948,"")</x:f>
        <x:v>6.134564</x:v>
      </x:c>
      <x:c r="U948" s="41" t="n">
        <x:f>IFERROR(E948-M948,"")</x:f>
        <x:v>5.6884310000000005</x:v>
      </x:c>
      <x:c r="V948" s="41" t="str">
        <x:f>IF(AND(I948&gt;M948,J948&gt;N948),"Sí","No")</x:f>
        <x:v>Sí</x:v>
      </x:c>
      <x:c r="W948" s="41" t="str">
        <x:f>IF(AND(E948&gt;M948,F948&gt;N948),"Sí","No")</x:f>
        <x:v>Sí</x:v>
      </x:c>
      <x:c r="X948" s="41" t="str">
        <x:f>IF(L948&gt;=H948,"Weekly","No weekly")</x:f>
        <x:v>Weekly</x:v>
      </x:c>
      <x:c r="Y948" s="41" t="n">
        <x:f>IFERROR(I948-E948,"")</x:f>
        <x:v>0.44613299999999967</x:v>
      </x:c>
      <x:c r="Z948" s="41" t="n">
        <x:f>IFERROR(J948-F948,"")</x:f>
        <x:v>3.4346510000000023</x:v>
      </x:c>
      <x:c r="AA948" s="41" t="n">
        <x:v>11549</x:v>
      </x:c>
      <x:c r="AB948" s="41" t="n">
        <x:v>5981</x:v>
      </x:c>
    </x:row>
    <x:row r="949">
      <x:c r="A949" s="41" t="str">
        <x:v>HYP_REFINE_AUTO002_TOPN_6_V1_DDGRID_LONG_R13_C21_E75_CR40_REDD_RECOVERED_DD8_SL22</x:v>
      </x:c>
      <x:c r="B949" s="41" t="str">
        <x:v>dd_guard_grid</x:v>
      </x:c>
      <x:c r="C949" s="41" t="str">
        <x:v>1999-01-04</x:v>
      </x:c>
      <x:c r="D949" s="41" t="str">
        <x:v>2026-05-22</x:v>
      </x:c>
      <x:c r="E949" s="41" t="n">
        <x:v>10.806489</x:v>
      </x:c>
      <x:c r="F949" s="41" t="n">
        <x:v>-33.791205</x:v>
      </x:c>
      <x:c r="G949" s="41" t="n">
        <x:v>1560.077995</x:v>
      </x:c>
      <x:c r="H949" s="41" t="n">
        <x:f>IFERROR(E949/ABS(F949),"")</x:f>
        <x:v>0.3198018241728876</x:v>
      </x:c>
      <x:c r="I949" s="41" t="n">
        <x:v>12.684471</x:v>
      </x:c>
      <x:c r="J949" s="41" t="n">
        <x:v>-28.995952</x:v>
      </x:c>
      <x:c r="K949" s="41" t="n">
        <x:v>2530.031176</x:v>
      </x:c>
      <x:c r="L949" s="41" t="n">
        <x:f>IFERROR(I949/ABS(J949),"")</x:f>
        <x:v>0.4374566146336565</x:v>
      </x:c>
      <x:c r="M949" s="41" t="n">
        <x:v>6.802475</x:v>
      </x:c>
      <x:c r="N949" s="41" t="n">
        <x:v>-56.473669</x:v>
      </x:c>
      <x:c r="O949" s="41" t="n">
        <x:v>506.057416</x:v>
      </x:c>
      <x:c r="P949" s="41" t="n">
        <x:f>IFERROR(M949/ABS(N949),"")</x:f>
        <x:v>0.12045392340278087</x:v>
      </x:c>
      <x:c r="Q949" s="41" t="str">
        <x:f>IF(L949&gt;=MAX(H949,P949),"Weekly",IF(H949&gt;=MAX(L949,P949),"No weekly","SPY"))</x:f>
        <x:v>Weekly</x:v>
      </x:c>
      <x:c r="R949" s="41" t="n">
        <x:f>IFERROR(L949-P949,"")</x:f>
        <x:v>0.3170026912308756</x:v>
      </x:c>
      <x:c r="S949" s="41" t="n">
        <x:f>IFERROR(H949-P949,"")</x:f>
        <x:v>0.19934790077010672</x:v>
      </x:c>
      <x:c r="T949" s="41" t="n">
        <x:f>IFERROR(I949-M949,"")</x:f>
        <x:v>5.881996</x:v>
      </x:c>
      <x:c r="U949" s="41" t="n">
        <x:f>IFERROR(E949-M949,"")</x:f>
        <x:v>4.004013999999999</x:v>
      </x:c>
      <x:c r="V949" s="41" t="str">
        <x:f>IF(AND(I949&gt;M949,J949&gt;N949),"Sí","No")</x:f>
        <x:v>Sí</x:v>
      </x:c>
      <x:c r="W949" s="41" t="str">
        <x:f>IF(AND(E949&gt;M949,F949&gt;N949),"Sí","No")</x:f>
        <x:v>Sí</x:v>
      </x:c>
      <x:c r="X949" s="41" t="str">
        <x:f>IF(L949&gt;=H949,"Weekly","No weekly")</x:f>
        <x:v>Weekly</x:v>
      </x:c>
      <x:c r="Y949" s="41" t="n">
        <x:f>IFERROR(I949-E949,"")</x:f>
        <x:v>1.8779820000000012</x:v>
      </x:c>
      <x:c r="Z949" s="41" t="n">
        <x:f>IFERROR(J949-F949,"")</x:f>
        <x:v>4.795252999999999</x:v>
      </x:c>
      <x:c r="AA949" s="41" t="n">
        <x:v>11924</x:v>
      </x:c>
      <x:c r="AB949" s="41" t="n">
        <x:v>5957</x:v>
      </x:c>
    </x:row>
    <x:row r="950">
      <x:c r="A950" s="41" t="str">
        <x:v>HYP_REFINE_AUTO002_TOPN_6_V1_DDGRID_LONG_R13_C21_E75_CR45_REDD_RECOVERED_DD8_SL20</x:v>
      </x:c>
      <x:c r="B950" s="41" t="str">
        <x:v>dd_guard_grid</x:v>
      </x:c>
      <x:c r="C950" s="41" t="str">
        <x:v>1999-01-04</x:v>
      </x:c>
      <x:c r="D950" s="41" t="str">
        <x:v>2026-05-22</x:v>
      </x:c>
      <x:c r="E950" s="41" t="n">
        <x:v>13.69917</x:v>
      </x:c>
      <x:c r="F950" s="41" t="n">
        <x:v>-33.712</x:v>
      </x:c>
      <x:c r="G950" s="41" t="n">
        <x:v>3261.642135</x:v>
      </x:c>
      <x:c r="H950" s="41" t="n">
        <x:f>IFERROR(E950/ABS(F950),"")</x:f>
        <x:v>0.40635886331276694</x:v>
      </x:c>
      <x:c r="I950" s="41" t="n">
        <x:v>14.334331</x:v>
      </x:c>
      <x:c r="J950" s="41" t="n">
        <x:v>-29.265353</x:v>
      </x:c>
      <x:c r="K950" s="41" t="n">
        <x:v>3815.525226</x:v>
      </x:c>
      <x:c r="L950" s="41" t="n">
        <x:f>IFERROR(I950/ABS(J950),"")</x:f>
        <x:v>0.48980550482339985</x:v>
      </x:c>
      <x:c r="M950" s="41" t="n">
        <x:v>6.802475</x:v>
      </x:c>
      <x:c r="N950" s="41" t="n">
        <x:v>-56.473669</x:v>
      </x:c>
      <x:c r="O950" s="41" t="n">
        <x:v>506.057416</x:v>
      </x:c>
      <x:c r="P950" s="41" t="n">
        <x:f>IFERROR(M950/ABS(N950),"")</x:f>
        <x:v>0.12045392340278087</x:v>
      </x:c>
      <x:c r="Q950" s="41" t="str">
        <x:f>IF(L950&gt;=MAX(H950,P950),"Weekly",IF(H950&gt;=MAX(L950,P950),"No weekly","SPY"))</x:f>
        <x:v>Weekly</x:v>
      </x:c>
      <x:c r="R950" s="41" t="n">
        <x:f>IFERROR(L950-P950,"")</x:f>
        <x:v>0.36935158142061897</x:v>
      </x:c>
      <x:c r="S950" s="41" t="n">
        <x:f>IFERROR(H950-P950,"")</x:f>
        <x:v>0.28590493990998606</x:v>
      </x:c>
      <x:c r="T950" s="41" t="n">
        <x:f>IFERROR(I950-M950,"")</x:f>
        <x:v>7.531856</x:v>
      </x:c>
      <x:c r="U950" s="41" t="n">
        <x:f>IFERROR(E950-M950,"")</x:f>
        <x:v>6.896695</x:v>
      </x:c>
      <x:c r="V950" s="41" t="str">
        <x:f>IF(AND(I950&gt;M950,J950&gt;N950),"Sí","No")</x:f>
        <x:v>Sí</x:v>
      </x:c>
      <x:c r="W950" s="41" t="str">
        <x:f>IF(AND(E950&gt;M950,F950&gt;N950),"Sí","No")</x:f>
        <x:v>Sí</x:v>
      </x:c>
      <x:c r="X950" s="41" t="str">
        <x:f>IF(L950&gt;=H950,"Weekly","No weekly")</x:f>
        <x:v>Weekly</x:v>
      </x:c>
      <x:c r="Y950" s="41" t="n">
        <x:f>IFERROR(I950-E950,"")</x:f>
        <x:v>0.6351610000000001</x:v>
      </x:c>
      <x:c r="Z950" s="41" t="n">
        <x:f>IFERROR(J950-F950,"")</x:f>
        <x:v>4.446647000000002</x:v>
      </x:c>
      <x:c r="AA950" s="41" t="n">
        <x:v>11148</x:v>
      </x:c>
      <x:c r="AB950" s="41" t="n">
        <x:v>5554</x:v>
      </x:c>
    </x:row>
    <x:row r="951">
      <x:c r="A951" s="41" t="str">
        <x:v>HYP_REFINE_AUTO002_TOPN_6_V1_DDGRID_LONG_R13_C22_E70_CR40_REDD_RECOVERED_DD8_SL20</x:v>
      </x:c>
      <x:c r="B951" s="41" t="str">
        <x:v>dd_guard_grid</x:v>
      </x:c>
      <x:c r="C951" s="41" t="str">
        <x:v>1999-01-04</x:v>
      </x:c>
      <x:c r="D951" s="41" t="str">
        <x:v>2026-05-22</x:v>
      </x:c>
      <x:c r="E951" s="41" t="n">
        <x:v>12.505352</x:v>
      </x:c>
      <x:c r="F951" s="41" t="n">
        <x:v>-32.799855</x:v>
      </x:c>
      <x:c r="G951" s="41" t="n">
        <x:v>2417.940013</x:v>
      </x:c>
      <x:c r="H951" s="41" t="n">
        <x:f>IFERROR(E951/ABS(F951),"")</x:f>
        <x:v>0.38126241716617343</x:v>
      </x:c>
      <x:c r="I951" s="41" t="n">
        <x:v>13.072145</x:v>
      </x:c>
      <x:c r="J951" s="41" t="n">
        <x:v>-28.475135</x:v>
      </x:c>
      <x:c r="K951" s="41" t="n">
        <x:v>2789.332898</x:v>
      </x:c>
      <x:c r="L951" s="41" t="n">
        <x:f>IFERROR(I951/ABS(J951),"")</x:f>
        <x:v>0.4590722748109886</x:v>
      </x:c>
      <x:c r="M951" s="41" t="n">
        <x:v>6.802475</x:v>
      </x:c>
      <x:c r="N951" s="41" t="n">
        <x:v>-56.473669</x:v>
      </x:c>
      <x:c r="O951" s="41" t="n">
        <x:v>506.057416</x:v>
      </x:c>
      <x:c r="P951" s="41" t="n">
        <x:f>IFERROR(M951/ABS(N951),"")</x:f>
        <x:v>0.12045392340278087</x:v>
      </x:c>
      <x:c r="Q951" s="41" t="str">
        <x:f>IF(L951&gt;=MAX(H951,P951),"Weekly",IF(H951&gt;=MAX(L951,P951),"No weekly","SPY"))</x:f>
        <x:v>Weekly</x:v>
      </x:c>
      <x:c r="R951" s="41" t="n">
        <x:f>IFERROR(L951-P951,"")</x:f>
        <x:v>0.33861835140820773</x:v>
      </x:c>
      <x:c r="S951" s="41" t="n">
        <x:f>IFERROR(H951-P951,"")</x:f>
        <x:v>0.26080849376339255</x:v>
      </x:c>
      <x:c r="T951" s="41" t="n">
        <x:f>IFERROR(I951-M951,"")</x:f>
        <x:v>6.2696700000000005</x:v>
      </x:c>
      <x:c r="U951" s="41" t="n">
        <x:f>IFERROR(E951-M951,"")</x:f>
        <x:v>5.702877</x:v>
      </x:c>
      <x:c r="V951" s="41" t="str">
        <x:f>IF(AND(I951&gt;M951,J951&gt;N951),"Sí","No")</x:f>
        <x:v>Sí</x:v>
      </x:c>
      <x:c r="W951" s="41" t="str">
        <x:f>IF(AND(E951&gt;M951,F951&gt;N951),"Sí","No")</x:f>
        <x:v>Sí</x:v>
      </x:c>
      <x:c r="X951" s="41" t="str">
        <x:f>IF(L951&gt;=H951,"Weekly","No weekly")</x:f>
        <x:v>Weekly</x:v>
      </x:c>
      <x:c r="Y951" s="41" t="n">
        <x:f>IFERROR(I951-E951,"")</x:f>
        <x:v>0.5667930000000005</x:v>
      </x:c>
      <x:c r="Z951" s="41" t="n">
        <x:f>IFERROR(J951-F951,"")</x:f>
        <x:v>4.324719999999999</x:v>
      </x:c>
      <x:c r="AA951" s="41" t="n">
        <x:v>11576</x:v>
      </x:c>
      <x:c r="AB951" s="41" t="n">
        <x:v>5715</x:v>
      </x:c>
    </x:row>
    <x:row r="952">
      <x:c r="A952" s="41" t="str">
        <x:v>HYP_REFINE_AUTO002_TOPN_6_V1_DDGRID_LONG_R13_C22_E72_CR40_REDD_RECOVERED_DD7_SL18</x:v>
      </x:c>
      <x:c r="B952" s="41" t="str">
        <x:v>dd_guard_grid</x:v>
      </x:c>
      <x:c r="C952" s="41" t="str">
        <x:v>1999-01-04</x:v>
      </x:c>
      <x:c r="D952" s="41" t="str">
        <x:v>2026-05-22</x:v>
      </x:c>
      <x:c r="E952" s="41" t="n">
        <x:v>12.251627</x:v>
      </x:c>
      <x:c r="F952" s="41" t="n">
        <x:v>-31.713967</x:v>
      </x:c>
      <x:c r="G952" s="41" t="n">
        <x:v>2267.007799</x:v>
      </x:c>
      <x:c r="H952" s="41" t="n">
        <x:f>IFERROR(E952/ABS(F952),"")</x:f>
        <x:v>0.3863164453693226</x:v>
      </x:c>
      <x:c r="I952" s="41" t="n">
        <x:v>11.826865</x:v>
      </x:c>
      <x:c r="J952" s="41" t="n">
        <x:v>-29.375561</x:v>
      </x:c>
      <x:c r="K952" s="41" t="n">
        <x:v>2033.639794</x:v>
      </x:c>
      <x:c r="L952" s="41" t="n">
        <x:f>IFERROR(I952/ABS(J952),"")</x:f>
        <x:v>0.40260899187593385</x:v>
      </x:c>
      <x:c r="M952" s="41" t="n">
        <x:v>6.802475</x:v>
      </x:c>
      <x:c r="N952" s="41" t="n">
        <x:v>-56.473669</x:v>
      </x:c>
      <x:c r="O952" s="41" t="n">
        <x:v>506.057416</x:v>
      </x:c>
      <x:c r="P952" s="41" t="n">
        <x:f>IFERROR(M952/ABS(N952),"")</x:f>
        <x:v>0.12045392340278087</x:v>
      </x:c>
      <x:c r="Q952" s="41" t="str">
        <x:f>IF(L952&gt;=MAX(H952,P952),"Weekly",IF(H952&gt;=MAX(L952,P952),"No weekly","SPY"))</x:f>
        <x:v>Weekly</x:v>
      </x:c>
      <x:c r="R952" s="41" t="n">
        <x:f>IFERROR(L952-P952,"")</x:f>
        <x:v>0.28215506847315297</x:v>
      </x:c>
      <x:c r="S952" s="41" t="n">
        <x:f>IFERROR(H952-P952,"")</x:f>
        <x:v>0.2658625219665417</x:v>
      </x:c>
      <x:c r="T952" s="41" t="n">
        <x:f>IFERROR(I952-M952,"")</x:f>
        <x:v>5.0243899999999995</x:v>
      </x:c>
      <x:c r="U952" s="41" t="n">
        <x:f>IFERROR(E952-M952,"")</x:f>
        <x:v>5.449151999999999</x:v>
      </x:c>
      <x:c r="V952" s="41" t="str">
        <x:f>IF(AND(I952&gt;M952,J952&gt;N952),"Sí","No")</x:f>
        <x:v>Sí</x:v>
      </x:c>
      <x:c r="W952" s="41" t="str">
        <x:f>IF(AND(E952&gt;M952,F952&gt;N952),"Sí","No")</x:f>
        <x:v>Sí</x:v>
      </x:c>
      <x:c r="X952" s="41" t="str">
        <x:f>IF(L952&gt;=H952,"Weekly","No weekly")</x:f>
        <x:v>Weekly</x:v>
      </x:c>
      <x:c r="Y952" s="41" t="n">
        <x:f>IFERROR(I952-E952,"")</x:f>
        <x:v>-0.4247619999999994</x:v>
      </x:c>
      <x:c r="Z952" s="41" t="n">
        <x:f>IFERROR(J952-F952,"")</x:f>
        <x:v>2.338405999999999</x:v>
      </x:c>
      <x:c r="AA952" s="41" t="n">
        <x:v>12002</x:v>
      </x:c>
      <x:c r="AB952" s="41" t="n">
        <x:v>5953</x:v>
      </x:c>
    </x:row>
    <x:row r="953">
      <x:c r="A953" s="41" t="str">
        <x:v>HYP_REFINE_AUTO002_TOPN_6_V1_DDGRID_LONG_R13_C22_E72_CR40_REDD_RECOVERED_DD8_SL20</x:v>
      </x:c>
      <x:c r="B953" s="41" t="str">
        <x:v>dd_guard_grid</x:v>
      </x:c>
      <x:c r="C953" s="41" t="str">
        <x:v>1999-01-04</x:v>
      </x:c>
      <x:c r="D953" s="41" t="str">
        <x:v>2026-05-22</x:v>
      </x:c>
      <x:c r="E953" s="41" t="n">
        <x:v>11.7045</x:v>
      </x:c>
      <x:c r="F953" s="41" t="n">
        <x:v>-32.38147</x:v>
      </x:c>
      <x:c r="G953" s="41" t="n">
        <x:v>1970.633109</x:v>
      </x:c>
      <x:c r="H953" s="41" t="n">
        <x:f>IFERROR(E953/ABS(F953),"")</x:f>
        <x:v>0.3614567220079879</x:v>
      </x:c>
      <x:c r="I953" s="41" t="n">
        <x:v>12.756769</x:v>
      </x:c>
      <x:c r="J953" s="41" t="n">
        <x:v>-28.993562</x:v>
      </x:c>
      <x:c r="K953" s="41" t="n">
        <x:v>2576.623326</x:v>
      </x:c>
      <x:c r="L953" s="41" t="n">
        <x:f>IFERROR(I953/ABS(J953),"")</x:f>
        <x:v>0.4399862631573175</x:v>
      </x:c>
      <x:c r="M953" s="41" t="n">
        <x:v>6.802475</x:v>
      </x:c>
      <x:c r="N953" s="41" t="n">
        <x:v>-56.473669</x:v>
      </x:c>
      <x:c r="O953" s="41" t="n">
        <x:v>506.057416</x:v>
      </x:c>
      <x:c r="P953" s="41" t="n">
        <x:f>IFERROR(M953/ABS(N953),"")</x:f>
        <x:v>0.12045392340278087</x:v>
      </x:c>
      <x:c r="Q953" s="41" t="str">
        <x:f>IF(L953&gt;=MAX(H953,P953),"Weekly",IF(H953&gt;=MAX(L953,P953),"No weekly","SPY"))</x:f>
        <x:v>Weekly</x:v>
      </x:c>
      <x:c r="R953" s="41" t="n">
        <x:f>IFERROR(L953-P953,"")</x:f>
        <x:v>0.3195323397545366</x:v>
      </x:c>
      <x:c r="S953" s="41" t="n">
        <x:f>IFERROR(H953-P953,"")</x:f>
        <x:v>0.241002798605207</x:v>
      </x:c>
      <x:c r="T953" s="41" t="n">
        <x:f>IFERROR(I953-M953,"")</x:f>
        <x:v>5.954294</x:v>
      </x:c>
      <x:c r="U953" s="41" t="n">
        <x:f>IFERROR(E953-M953,"")</x:f>
        <x:v>4.902024999999999</x:v>
      </x:c>
      <x:c r="V953" s="41" t="str">
        <x:f>IF(AND(I953&gt;M953,J953&gt;N953),"Sí","No")</x:f>
        <x:v>Sí</x:v>
      </x:c>
      <x:c r="W953" s="41" t="str">
        <x:f>IF(AND(E953&gt;M953,F953&gt;N953),"Sí","No")</x:f>
        <x:v>Sí</x:v>
      </x:c>
      <x:c r="X953" s="41" t="str">
        <x:f>IF(L953&gt;=H953,"Weekly","No weekly")</x:f>
        <x:v>Weekly</x:v>
      </x:c>
      <x:c r="Y953" s="41" t="n">
        <x:f>IFERROR(I953-E953,"")</x:f>
        <x:v>1.0522690000000008</x:v>
      </x:c>
      <x:c r="Z953" s="41" t="n">
        <x:f>IFERROR(J953-F953,"")</x:f>
        <x:v>3.3879079999999995</x:v>
      </x:c>
      <x:c r="AA953" s="41" t="n">
        <x:v>11539</x:v>
      </x:c>
      <x:c r="AB953" s="41" t="n">
        <x:v>5821</x:v>
      </x:c>
    </x:row>
    <x:row r="954">
      <x:c r="A954" s="41" t="str">
        <x:v>HYP_REFINE_AUTO002_TOPN_6_V1_DDGRID_LONG_R13_C22_E75_CR33_REDD_RECOVERED_DD8_SL20</x:v>
      </x:c>
      <x:c r="B954" s="41" t="str">
        <x:v>dd_guard_grid</x:v>
      </x:c>
      <x:c r="C954" s="41" t="str">
        <x:v>1999-01-04</x:v>
      </x:c>
      <x:c r="D954" s="41" t="str">
        <x:v>2026-05-22</x:v>
      </x:c>
      <x:c r="E954" s="41" t="n">
        <x:v>11.350754</x:v>
      </x:c>
      <x:c r="F954" s="41" t="n">
        <x:v>-31.579607</x:v>
      </x:c>
      <x:c r="G954" s="41" t="n">
        <x:v>1798.405813</x:v>
      </x:c>
      <x:c r="H954" s="41" t="n">
        <x:f>IFERROR(E954/ABS(F954),"")</x:f>
        <x:v>0.3594330353762794</x:v>
      </x:c>
      <x:c r="I954" s="41" t="n">
        <x:v>12.957688</x:v>
      </x:c>
      <x:c r="J954" s="41" t="n">
        <x:v>-29.57039</x:v>
      </x:c>
      <x:c r="K954" s="41" t="n">
        <x:v>2710.318184</x:v>
      </x:c>
      <x:c r="L954" s="41" t="n">
        <x:f>IFERROR(I954/ABS(J954),"")</x:f>
        <x:v>0.43819807584546566</x:v>
      </x:c>
      <x:c r="M954" s="41" t="n">
        <x:v>6.802475</x:v>
      </x:c>
      <x:c r="N954" s="41" t="n">
        <x:v>-56.473669</x:v>
      </x:c>
      <x:c r="O954" s="41" t="n">
        <x:v>506.057416</x:v>
      </x:c>
      <x:c r="P954" s="41" t="n">
        <x:f>IFERROR(M954/ABS(N954),"")</x:f>
        <x:v>0.12045392340278087</x:v>
      </x:c>
      <x:c r="Q954" s="41" t="str">
        <x:f>IF(L954&gt;=MAX(H954,P954),"Weekly",IF(H954&gt;=MAX(L954,P954),"No weekly","SPY"))</x:f>
        <x:v>Weekly</x:v>
      </x:c>
      <x:c r="R954" s="41" t="n">
        <x:f>IFERROR(L954-P954,"")</x:f>
        <x:v>0.3177441524426848</x:v>
      </x:c>
      <x:c r="S954" s="41" t="n">
        <x:f>IFERROR(H954-P954,"")</x:f>
        <x:v>0.23897911197349853</x:v>
      </x:c>
      <x:c r="T954" s="41" t="n">
        <x:f>IFERROR(I954-M954,"")</x:f>
        <x:v>6.155212999999999</x:v>
      </x:c>
      <x:c r="U954" s="41" t="n">
        <x:f>IFERROR(E954-M954,"")</x:f>
        <x:v>4.548279</x:v>
      </x:c>
      <x:c r="V954" s="41" t="str">
        <x:f>IF(AND(I954&gt;M954,J954&gt;N954),"Sí","No")</x:f>
        <x:v>Sí</x:v>
      </x:c>
      <x:c r="W954" s="41" t="str">
        <x:f>IF(AND(E954&gt;M954,F954&gt;N954),"Sí","No")</x:f>
        <x:v>Sí</x:v>
      </x:c>
      <x:c r="X954" s="41" t="str">
        <x:f>IF(L954&gt;=H954,"Weekly","No weekly")</x:f>
        <x:v>Weekly</x:v>
      </x:c>
      <x:c r="Y954" s="41" t="n">
        <x:f>IFERROR(I954-E954,"")</x:f>
        <x:v>1.606933999999999</x:v>
      </x:c>
      <x:c r="Z954" s="41" t="n">
        <x:f>IFERROR(J954-F954,"")</x:f>
        <x:v>2.0092169999999996</x:v>
      </x:c>
      <x:c r="AA954" s="41" t="n">
        <x:v>11983</x:v>
      </x:c>
      <x:c r="AB954" s="41" t="n">
        <x:v>6277</x:v>
      </x:c>
    </x:row>
    <x:row r="955">
      <x:c r="A955" s="41" t="str">
        <x:v>HYP_REFINE_AUTO002_TOPN_6_V1_DDGRID_LONG_R13_C22_E75_CR36_REDD_RECOVERED_DD8_SL20</x:v>
      </x:c>
      <x:c r="B955" s="41" t="str">
        <x:v>dd_guard_grid</x:v>
      </x:c>
      <x:c r="C955" s="41" t="str">
        <x:v>1999-01-04</x:v>
      </x:c>
      <x:c r="D955" s="41" t="str">
        <x:v>2026-05-22</x:v>
      </x:c>
      <x:c r="E955" s="41" t="n">
        <x:v>11.728304</x:v>
      </x:c>
      <x:c r="F955" s="41" t="n">
        <x:v>-32.035625</x:v>
      </x:c>
      <x:c r="G955" s="41" t="n">
        <x:v>1982.747846</x:v>
      </x:c>
      <x:c r="H955" s="41" t="n">
        <x:f>IFERROR(E955/ABS(F955),"")</x:f>
        <x:v>0.36610192559065097</x:v>
      </x:c>
      <x:c r="I955" s="41" t="n">
        <x:v>12.595216</x:v>
      </x:c>
      <x:c r="J955" s="41" t="n">
        <x:v>-29.110166</x:v>
      </x:c>
      <x:c r="K955" s="41" t="n">
        <x:v>2473.587819</x:v>
      </x:c>
      <x:c r="L955" s="41" t="n">
        <x:f>IFERROR(I955/ABS(J955),"")</x:f>
        <x:v>0.4326741386497075</x:v>
      </x:c>
      <x:c r="M955" s="41" t="n">
        <x:v>6.802475</x:v>
      </x:c>
      <x:c r="N955" s="41" t="n">
        <x:v>-56.473669</x:v>
      </x:c>
      <x:c r="O955" s="41" t="n">
        <x:v>506.057416</x:v>
      </x:c>
      <x:c r="P955" s="41" t="n">
        <x:f>IFERROR(M955/ABS(N955),"")</x:f>
        <x:v>0.12045392340278087</x:v>
      </x:c>
      <x:c r="Q955" s="41" t="str">
        <x:f>IF(L955&gt;=MAX(H955,P955),"Weekly",IF(H955&gt;=MAX(L955,P955),"No weekly","SPY"))</x:f>
        <x:v>Weekly</x:v>
      </x:c>
      <x:c r="R955" s="41" t="n">
        <x:f>IFERROR(L955-P955,"")</x:f>
        <x:v>0.3122202152469266</x:v>
      </x:c>
      <x:c r="S955" s="41" t="n">
        <x:f>IFERROR(H955-P955,"")</x:f>
        <x:v>0.24564800218787008</x:v>
      </x:c>
      <x:c r="T955" s="41" t="n">
        <x:f>IFERROR(I955-M955,"")</x:f>
        <x:v>5.792741</x:v>
      </x:c>
      <x:c r="U955" s="41" t="n">
        <x:f>IFERROR(E955-M955,"")</x:f>
        <x:v>4.925828999999999</x:v>
      </x:c>
      <x:c r="V955" s="41" t="str">
        <x:f>IF(AND(I955&gt;M955,J955&gt;N955),"Sí","No")</x:f>
        <x:v>Sí</x:v>
      </x:c>
      <x:c r="W955" s="41" t="str">
        <x:f>IF(AND(E955&gt;M955,F955&gt;N955),"Sí","No")</x:f>
        <x:v>Sí</x:v>
      </x:c>
      <x:c r="X955" s="41" t="str">
        <x:f>IF(L955&gt;=H955,"Weekly","No weekly")</x:f>
        <x:v>Weekly</x:v>
      </x:c>
      <x:c r="Y955" s="41" t="n">
        <x:f>IFERROR(I955-E955,"")</x:f>
        <x:v>0.866912000000001</x:v>
      </x:c>
      <x:c r="Z955" s="41" t="n">
        <x:f>IFERROR(J955-F955,"")</x:f>
        <x:v>2.9254590000000036</x:v>
      </x:c>
      <x:c r="AA955" s="41" t="n">
        <x:v>11818</x:v>
      </x:c>
      <x:c r="AB955" s="41" t="n">
        <x:v>6275</x:v>
      </x:c>
    </x:row>
    <x:row r="956">
      <x:c r="A956" s="41" t="str">
        <x:v>HYP_REFINE_AUTO002_TOPN_6_V1_DDGRID_LONG_R13_C22_E75_CR40_REDD_RECOVERED_DD10_SL18</x:v>
      </x:c>
      <x:c r="B956" s="41" t="str">
        <x:v>dd_guard_grid</x:v>
      </x:c>
      <x:c r="C956" s="41" t="str">
        <x:v>1999-01-04</x:v>
      </x:c>
      <x:c r="D956" s="41" t="str">
        <x:v>2026-05-22</x:v>
      </x:c>
      <x:c r="E956" s="41" t="n">
        <x:v>12.854742</x:v>
      </x:c>
      <x:c r="F956" s="41" t="n">
        <x:v>-31.727998</x:v>
      </x:c>
      <x:c r="G956" s="41" t="n">
        <x:v>2641.03163</x:v>
      </x:c>
      <x:c r="H956" s="41" t="n">
        <x:f>IFERROR(E956/ABS(F956),"")</x:f>
        <x:v>0.4051545262956711</x:v>
      </x:c>
      <x:c r="I956" s="41" t="n">
        <x:v>12.143443</x:v>
      </x:c>
      <x:c r="J956" s="41" t="n">
        <x:v>-29.670864</x:v>
      </x:c>
      <x:c r="K956" s="41" t="n">
        <x:v>2205.338529</x:v>
      </x:c>
      <x:c r="L956" s="41" t="n">
        <x:f>IFERROR(I956/ABS(J956),"")</x:f>
        <x:v>0.4092716342874275</x:v>
      </x:c>
      <x:c r="M956" s="41" t="n">
        <x:v>6.802475</x:v>
      </x:c>
      <x:c r="N956" s="41" t="n">
        <x:v>-56.473669</x:v>
      </x:c>
      <x:c r="O956" s="41" t="n">
        <x:v>506.057416</x:v>
      </x:c>
      <x:c r="P956" s="41" t="n">
        <x:f>IFERROR(M956/ABS(N956),"")</x:f>
        <x:v>0.12045392340278087</x:v>
      </x:c>
      <x:c r="Q956" s="41" t="str">
        <x:f>IF(L956&gt;=MAX(H956,P956),"Weekly",IF(H956&gt;=MAX(L956,P956),"No weekly","SPY"))</x:f>
        <x:v>Weekly</x:v>
      </x:c>
      <x:c r="R956" s="41" t="n">
        <x:f>IFERROR(L956-P956,"")</x:f>
        <x:v>0.28881771088464664</x:v>
      </x:c>
      <x:c r="S956" s="41" t="n">
        <x:f>IFERROR(H956-P956,"")</x:f>
        <x:v>0.28470060289289023</x:v>
      </x:c>
      <x:c r="T956" s="41" t="n">
        <x:f>IFERROR(I956-M956,"")</x:f>
        <x:v>5.340967999999999</x:v>
      </x:c>
      <x:c r="U956" s="41" t="n">
        <x:f>IFERROR(E956-M956,"")</x:f>
        <x:v>6.052267</x:v>
      </x:c>
      <x:c r="V956" s="41" t="str">
        <x:f>IF(AND(I956&gt;M956,J956&gt;N956),"Sí","No")</x:f>
        <x:v>Sí</x:v>
      </x:c>
      <x:c r="W956" s="41" t="str">
        <x:f>IF(AND(E956&gt;M956,F956&gt;N956),"Sí","No")</x:f>
        <x:v>Sí</x:v>
      </x:c>
      <x:c r="X956" s="41" t="str">
        <x:f>IF(L956&gt;=H956,"Weekly","No weekly")</x:f>
        <x:v>Weekly</x:v>
      </x:c>
      <x:c r="Y956" s="41" t="n">
        <x:f>IFERROR(I956-E956,"")</x:f>
        <x:v>-0.7112990000000003</x:v>
      </x:c>
      <x:c r="Z956" s="41" t="n">
        <x:f>IFERROR(J956-F956,"")</x:f>
        <x:v>2.057133999999998</x:v>
      </x:c>
      <x:c r="AA956" s="41" t="n">
        <x:v>11585</x:v>
      </x:c>
      <x:c r="AB956" s="41" t="n">
        <x:v>5315</x:v>
      </x:c>
    </x:row>
    <x:row r="957">
      <x:c r="A957" s="41" t="str">
        <x:v>HYP_REFINE_AUTO002_TOPN_6_V1_DDGRID_LONG_R13_C22_E75_CR40_REDD_RECOVERED_DD10_SL20</x:v>
      </x:c>
      <x:c r="B957" s="41" t="str">
        <x:v>dd_guard_grid</x:v>
      </x:c>
      <x:c r="C957" s="41" t="str">
        <x:v>1999-01-04</x:v>
      </x:c>
      <x:c r="D957" s="41" t="str">
        <x:v>2026-05-22</x:v>
      </x:c>
      <x:c r="E957" s="41" t="n">
        <x:v>13.094289</x:v>
      </x:c>
      <x:c r="F957" s="41" t="n">
        <x:v>-32.641176</x:v>
      </x:c>
      <x:c r="G957" s="41" t="n">
        <x:v>2804.864943</x:v>
      </x:c>
      <x:c r="H957" s="41" t="n">
        <x:f>IFERROR(E957/ABS(F957),"")</x:f>
        <x:v>0.40115861634396993</x:v>
      </x:c>
      <x:c r="I957" s="41" t="n">
        <x:v>12.530041</x:v>
      </x:c>
      <x:c r="J957" s="41" t="n">
        <x:v>-29.467181</x:v>
      </x:c>
      <x:c r="K957" s="41" t="n">
        <x:v>2433.1123</x:v>
      </x:c>
      <x:c r="L957" s="41" t="n">
        <x:f>IFERROR(I957/ABS(J957),"")</x:f>
        <x:v>0.4252202136336014</x:v>
      </x:c>
      <x:c r="M957" s="41" t="n">
        <x:v>6.802475</x:v>
      </x:c>
      <x:c r="N957" s="41" t="n">
        <x:v>-56.473669</x:v>
      </x:c>
      <x:c r="O957" s="41" t="n">
        <x:v>506.057416</x:v>
      </x:c>
      <x:c r="P957" s="41" t="n">
        <x:f>IFERROR(M957/ABS(N957),"")</x:f>
        <x:v>0.12045392340278087</x:v>
      </x:c>
      <x:c r="Q957" s="41" t="str">
        <x:f>IF(L957&gt;=MAX(H957,P957),"Weekly",IF(H957&gt;=MAX(L957,P957),"No weekly","SPY"))</x:f>
        <x:v>Weekly</x:v>
      </x:c>
      <x:c r="R957" s="41" t="n">
        <x:f>IFERROR(L957-P957,"")</x:f>
        <x:v>0.3047662902308205</x:v>
      </x:c>
      <x:c r="S957" s="41" t="n">
        <x:f>IFERROR(H957-P957,"")</x:f>
        <x:v>0.28070469294118905</x:v>
      </x:c>
      <x:c r="T957" s="41" t="n">
        <x:f>IFERROR(I957-M957,"")</x:f>
        <x:v>5.727566</x:v>
      </x:c>
      <x:c r="U957" s="41" t="n">
        <x:f>IFERROR(E957-M957,"")</x:f>
        <x:v>6.291814</x:v>
      </x:c>
      <x:c r="V957" s="41" t="str">
        <x:f>IF(AND(I957&gt;M957,J957&gt;N957),"Sí","No")</x:f>
        <x:v>Sí</x:v>
      </x:c>
      <x:c r="W957" s="41" t="str">
        <x:f>IF(AND(E957&gt;M957,F957&gt;N957),"Sí","No")</x:f>
        <x:v>Sí</x:v>
      </x:c>
      <x:c r="X957" s="41" t="str">
        <x:f>IF(L957&gt;=H957,"Weekly","No weekly")</x:f>
        <x:v>Weekly</x:v>
      </x:c>
      <x:c r="Y957" s="41" t="n">
        <x:f>IFERROR(I957-E957,"")</x:f>
        <x:v>-0.5642479999999992</x:v>
      </x:c>
      <x:c r="Z957" s="41" t="n">
        <x:f>IFERROR(J957-F957,"")</x:f>
        <x:v>3.1739950000000015</x:v>
      </x:c>
      <x:c r="AA957" s="41" t="n">
        <x:v>11636</x:v>
      </x:c>
      <x:c r="AB957" s="41" t="n">
        <x:v>5587</x:v>
      </x:c>
    </x:row>
    <x:row r="958">
      <x:c r="A958" s="41" t="str">
        <x:v>HYP_REFINE_AUTO002_TOPN_6_V1_DDGRID_LONG_R13_C22_E75_CR40_REDD_RECOVERED_DD6_SL18</x:v>
      </x:c>
      <x:c r="B958" s="41" t="str">
        <x:v>dd_guard_grid</x:v>
      </x:c>
      <x:c r="C958" s="41" t="str">
        <x:v>1999-01-04</x:v>
      </x:c>
      <x:c r="D958" s="41" t="str">
        <x:v>2026-05-22</x:v>
      </x:c>
      <x:c r="E958" s="41" t="n">
        <x:v>13.078489</x:v>
      </x:c>
      <x:c r="F958" s="41" t="n">
        <x:v>-31.831465</x:v>
      </x:c>
      <x:c r="G958" s="41" t="n">
        <x:v>2793.774033</x:v>
      </x:c>
      <x:c r="H958" s="41" t="n">
        <x:f>IFERROR(E958/ABS(F958),"")</x:f>
        <x:v>0.4108667006058313</x:v>
      </x:c>
      <x:c r="I958" s="41" t="n">
        <x:v>12.034816</x:v>
      </x:c>
      <x:c r="J958" s="41" t="n">
        <x:v>-29.670864</x:v>
      </x:c>
      <x:c r="K958" s="41" t="n">
        <x:v>2144.975852</x:v>
      </x:c>
      <x:c r="L958" s="41" t="n">
        <x:f>IFERROR(I958/ABS(J958),"")</x:f>
        <x:v>0.40561056799694134</x:v>
      </x:c>
      <x:c r="M958" s="41" t="n">
        <x:v>6.802475</x:v>
      </x:c>
      <x:c r="N958" s="41" t="n">
        <x:v>-56.473669</x:v>
      </x:c>
      <x:c r="O958" s="41" t="n">
        <x:v>506.057416</x:v>
      </x:c>
      <x:c r="P958" s="41" t="n">
        <x:f>IFERROR(M958/ABS(N958),"")</x:f>
        <x:v>0.12045392340278087</x:v>
      </x:c>
      <x:c r="Q958" s="41" t="str">
        <x:f>IF(L958&gt;=MAX(H958,P958),"Weekly",IF(H958&gt;=MAX(L958,P958),"No weekly","SPY"))</x:f>
        <x:v>No weekly</x:v>
      </x:c>
      <x:c r="R958" s="41" t="n">
        <x:f>IFERROR(L958-P958,"")</x:f>
        <x:v>0.28515664459416046</x:v>
      </x:c>
      <x:c r="S958" s="41" t="n">
        <x:f>IFERROR(H958-P958,"")</x:f>
        <x:v>0.2904127772030504</x:v>
      </x:c>
      <x:c r="T958" s="41" t="n">
        <x:f>IFERROR(I958-M958,"")</x:f>
        <x:v>5.232340999999999</x:v>
      </x:c>
      <x:c r="U958" s="41" t="n">
        <x:f>IFERROR(E958-M958,"")</x:f>
        <x:v>6.276013999999999</x:v>
      </x:c>
      <x:c r="V958" s="41" t="str">
        <x:f>IF(AND(I958&gt;M958,J958&gt;N958),"Sí","No")</x:f>
        <x:v>Sí</x:v>
      </x:c>
      <x:c r="W958" s="41" t="str">
        <x:f>IF(AND(E958&gt;M958,F958&gt;N958),"Sí","No")</x:f>
        <x:v>Sí</x:v>
      </x:c>
      <x:c r="X958" s="41" t="str">
        <x:f>IF(L958&gt;=H958,"Weekly","No weekly")</x:f>
        <x:v>No weekly</x:v>
      </x:c>
      <x:c r="Y958" s="41" t="n">
        <x:f>IFERROR(I958-E958,"")</x:f>
        <x:v>-1.043673</x:v>
      </x:c>
      <x:c r="Z958" s="41" t="n">
        <x:f>IFERROR(J958-F958,"")</x:f>
        <x:v>2.1606009999999998</x:v>
      </x:c>
      <x:c r="AA958" s="41" t="n">
        <x:v>12010</x:v>
      </x:c>
      <x:c r="AB958" s="41" t="n">
        <x:v>5907</x:v>
      </x:c>
    </x:row>
    <x:row r="959">
      <x:c r="A959" s="41" t="str">
        <x:v>HYP_REFINE_AUTO002_TOPN_6_V1_DDGRID_LONG_R13_C22_E75_CR40_REDD_RECOVERED_DD6_SL20</x:v>
      </x:c>
      <x:c r="B959" s="41" t="str">
        <x:v>dd_guard_grid</x:v>
      </x:c>
      <x:c r="C959" s="41" t="str">
        <x:v>1999-01-04</x:v>
      </x:c>
      <x:c r="D959" s="41" t="str">
        <x:v>2026-05-22</x:v>
      </x:c>
      <x:c r="E959" s="41" t="n">
        <x:v>12.502065</x:v>
      </x:c>
      <x:c r="F959" s="41" t="n">
        <x:v>-32.641176</x:v>
      </x:c>
      <x:c r="G959" s="41" t="n">
        <x:v>2415.926487</x:v>
      </x:c>
      <x:c r="H959" s="41" t="n">
        <x:f>IFERROR(E959/ABS(F959),"")</x:f>
        <x:v>0.3830151523952446</x:v>
      </x:c>
      <x:c r="I959" s="41" t="n">
        <x:v>12.253567</x:v>
      </x:c>
      <x:c r="J959" s="41" t="n">
        <x:v>-29.435035</x:v>
      </x:c>
      <x:c r="K959" s="41" t="n">
        <x:v>2268.128401</x:v>
      </x:c>
      <x:c r="L959" s="41" t="n">
        <x:f>IFERROR(I959/ABS(J959),"")</x:f>
        <x:v>0.41629191200214305</x:v>
      </x:c>
      <x:c r="M959" s="41" t="n">
        <x:v>6.802475</x:v>
      </x:c>
      <x:c r="N959" s="41" t="n">
        <x:v>-56.473669</x:v>
      </x:c>
      <x:c r="O959" s="41" t="n">
        <x:v>506.057416</x:v>
      </x:c>
      <x:c r="P959" s="41" t="n">
        <x:f>IFERROR(M959/ABS(N959),"")</x:f>
        <x:v>0.12045392340278087</x:v>
      </x:c>
      <x:c r="Q959" s="41" t="str">
        <x:f>IF(L959&gt;=MAX(H959,P959),"Weekly",IF(H959&gt;=MAX(L959,P959),"No weekly","SPY"))</x:f>
        <x:v>Weekly</x:v>
      </x:c>
      <x:c r="R959" s="41" t="n">
        <x:f>IFERROR(L959-P959,"")</x:f>
        <x:v>0.29583798859936217</x:v>
      </x:c>
      <x:c r="S959" s="41" t="n">
        <x:f>IFERROR(H959-P959,"")</x:f>
        <x:v>0.2625612289924637</x:v>
      </x:c>
      <x:c r="T959" s="41" t="n">
        <x:f>IFERROR(I959-M959,"")</x:f>
        <x:v>5.451092</x:v>
      </x:c>
      <x:c r="U959" s="41" t="n">
        <x:f>IFERROR(E959-M959,"")</x:f>
        <x:v>5.69959</x:v>
      </x:c>
      <x:c r="V959" s="41" t="str">
        <x:f>IF(AND(I959&gt;M959,J959&gt;N959),"Sí","No")</x:f>
        <x:v>Sí</x:v>
      </x:c>
      <x:c r="W959" s="41" t="str">
        <x:f>IF(AND(E959&gt;M959,F959&gt;N959),"Sí","No")</x:f>
        <x:v>Sí</x:v>
      </x:c>
      <x:c r="X959" s="41" t="str">
        <x:f>IF(L959&gt;=H959,"Weekly","No weekly")</x:f>
        <x:v>Weekly</x:v>
      </x:c>
      <x:c r="Y959" s="41" t="n">
        <x:f>IFERROR(I959-E959,"")</x:f>
        <x:v>-0.24849799999999966</x:v>
      </x:c>
      <x:c r="Z959" s="41" t="n">
        <x:f>IFERROR(J959-F959,"")</x:f>
        <x:v>3.2061410000000024</x:v>
      </x:c>
      <x:c r="AA959" s="41" t="n">
        <x:v>12070</x:v>
      </x:c>
      <x:c r="AB959" s="41" t="n">
        <x:v>6348</x:v>
      </x:c>
    </x:row>
    <x:row r="960">
      <x:c r="A960" s="41" t="str">
        <x:v>HYP_REFINE_AUTO002_TOPN_6_V1_DDGRID_LONG_R13_C22_E75_CR40_REDD_RECOVERED_DD7_SL18</x:v>
      </x:c>
      <x:c r="B960" s="41" t="str">
        <x:v>dd_guard_grid</x:v>
      </x:c>
      <x:c r="C960" s="41" t="str">
        <x:v>1999-01-04</x:v>
      </x:c>
      <x:c r="D960" s="41" t="str">
        <x:v>2026-05-22</x:v>
      </x:c>
      <x:c r="E960" s="41" t="n">
        <x:v>13.626572</x:v>
      </x:c>
      <x:c r="F960" s="41" t="n">
        <x:v>-31.821108</x:v>
      </x:c>
      <x:c r="G960" s="41" t="n">
        <x:v>3203.368523</x:v>
      </x:c>
      <x:c r="H960" s="41" t="n">
        <x:f>IFERROR(E960/ABS(F960),"")</x:f>
        <x:v>0.42822430947407614</x:v>
      </x:c>
      <x:c r="I960" s="41" t="n">
        <x:v>12.32191</x:v>
      </x:c>
      <x:c r="J960" s="41" t="n">
        <x:v>-29.670864</x:v>
      </x:c>
      <x:c r="K960" s="41" t="n">
        <x:v>2307.9205</x:v>
      </x:c>
      <x:c r="L960" s="41" t="n">
        <x:f>IFERROR(I960/ABS(J960),"")</x:f>
        <x:v>0.41528652485482054</x:v>
      </x:c>
      <x:c r="M960" s="41" t="n">
        <x:v>6.802475</x:v>
      </x:c>
      <x:c r="N960" s="41" t="n">
        <x:v>-56.473669</x:v>
      </x:c>
      <x:c r="O960" s="41" t="n">
        <x:v>506.057416</x:v>
      </x:c>
      <x:c r="P960" s="41" t="n">
        <x:f>IFERROR(M960/ABS(N960),"")</x:f>
        <x:v>0.12045392340278087</x:v>
      </x:c>
      <x:c r="Q960" s="41" t="str">
        <x:f>IF(L960&gt;=MAX(H960,P960),"Weekly",IF(H960&gt;=MAX(L960,P960),"No weekly","SPY"))</x:f>
        <x:v>No weekly</x:v>
      </x:c>
      <x:c r="R960" s="41" t="n">
        <x:f>IFERROR(L960-P960,"")</x:f>
        <x:v>0.29483260145203966</x:v>
      </x:c>
      <x:c r="S960" s="41" t="n">
        <x:f>IFERROR(H960-P960,"")</x:f>
        <x:v>0.30777038607129525</x:v>
      </x:c>
      <x:c r="T960" s="41" t="n">
        <x:f>IFERROR(I960-M960,"")</x:f>
        <x:v>5.5194350000000005</x:v>
      </x:c>
      <x:c r="U960" s="41" t="n">
        <x:f>IFERROR(E960-M960,"")</x:f>
        <x:v>6.824096999999999</x:v>
      </x:c>
      <x:c r="V960" s="41" t="str">
        <x:f>IF(AND(I960&gt;M960,J960&gt;N960),"Sí","No")</x:f>
        <x:v>Sí</x:v>
      </x:c>
      <x:c r="W960" s="41" t="str">
        <x:f>IF(AND(E960&gt;M960,F960&gt;N960),"Sí","No")</x:f>
        <x:v>Sí</x:v>
      </x:c>
      <x:c r="X960" s="41" t="str">
        <x:f>IF(L960&gt;=H960,"Weekly","No weekly")</x:f>
        <x:v>No weekly</x:v>
      </x:c>
      <x:c r="Y960" s="41" t="n">
        <x:f>IFERROR(I960-E960,"")</x:f>
        <x:v>-1.3046619999999987</x:v>
      </x:c>
      <x:c r="Z960" s="41" t="n">
        <x:f>IFERROR(J960-F960,"")</x:f>
        <x:v>2.150243999999997</x:v>
      </x:c>
      <x:c r="AA960" s="41" t="n">
        <x:v>11846</x:v>
      </x:c>
      <x:c r="AB960" s="41" t="n">
        <x:v>5655</x:v>
      </x:c>
    </x:row>
    <x:row r="961">
      <x:c r="A961" s="41" t="str">
        <x:v>HYP_REFINE_AUTO002_TOPN_6_V1_DDGRID_LONG_R13_C22_E75_CR40_REDD_RECOVERED_DD7_SL20</x:v>
      </x:c>
      <x:c r="B961" s="41" t="str">
        <x:v>dd_guard_grid</x:v>
      </x:c>
      <x:c r="C961" s="41" t="str">
        <x:v>1999-01-04</x:v>
      </x:c>
      <x:c r="D961" s="41" t="str">
        <x:v>2026-05-22</x:v>
      </x:c>
      <x:c r="E961" s="41" t="n">
        <x:v>12.096927</x:v>
      </x:c>
      <x:c r="F961" s="41" t="n">
        <x:v>-32.641176</x:v>
      </x:c>
      <x:c r="G961" s="41" t="n">
        <x:v>2179.301116</x:v>
      </x:c>
      <x:c r="H961" s="41" t="n">
        <x:f>IFERROR(E961/ABS(F961),"")</x:f>
        <x:v>0.3706032834111124</x:v>
      </x:c>
      <x:c r="I961" s="41" t="n">
        <x:v>12.450008</x:v>
      </x:c>
      <x:c r="J961" s="41" t="n">
        <x:v>-29.435035</x:v>
      </x:c>
      <x:c r="K961" s="41" t="n">
        <x:v>2384.247444</x:v>
      </x:c>
      <x:c r="L961" s="41" t="n">
        <x:f>IFERROR(I961/ABS(J961),"")</x:f>
        <x:v>0.4229656258265024</x:v>
      </x:c>
      <x:c r="M961" s="41" t="n">
        <x:v>6.802475</x:v>
      </x:c>
      <x:c r="N961" s="41" t="n">
        <x:v>-56.473669</x:v>
      </x:c>
      <x:c r="O961" s="41" t="n">
        <x:v>506.057416</x:v>
      </x:c>
      <x:c r="P961" s="41" t="n">
        <x:f>IFERROR(M961/ABS(N961),"")</x:f>
        <x:v>0.12045392340278087</x:v>
      </x:c>
      <x:c r="Q961" s="41" t="str">
        <x:f>IF(L961&gt;=MAX(H961,P961),"Weekly",IF(H961&gt;=MAX(L961,P961),"No weekly","SPY"))</x:f>
        <x:v>Weekly</x:v>
      </x:c>
      <x:c r="R961" s="41" t="n">
        <x:f>IFERROR(L961-P961,"")</x:f>
        <x:v>0.3025117024237215</x:v>
      </x:c>
      <x:c r="S961" s="41" t="n">
        <x:f>IFERROR(H961-P961,"")</x:f>
        <x:v>0.25014936000833154</x:v>
      </x:c>
      <x:c r="T961" s="41" t="n">
        <x:f>IFERROR(I961-M961,"")</x:f>
        <x:v>5.647533</x:v>
      </x:c>
      <x:c r="U961" s="41" t="n">
        <x:f>IFERROR(E961-M961,"")</x:f>
        <x:v>5.294452000000001</x:v>
      </x:c>
      <x:c r="V961" s="41" t="str">
        <x:f>IF(AND(I961&gt;M961,J961&gt;N961),"Sí","No")</x:f>
        <x:v>Sí</x:v>
      </x:c>
      <x:c r="W961" s="41" t="str">
        <x:f>IF(AND(E961&gt;M961,F961&gt;N961),"Sí","No")</x:f>
        <x:v>Sí</x:v>
      </x:c>
      <x:c r="X961" s="41" t="str">
        <x:f>IF(L961&gt;=H961,"Weekly","No weekly")</x:f>
        <x:v>Weekly</x:v>
      </x:c>
      <x:c r="Y961" s="41" t="n">
        <x:f>IFERROR(I961-E961,"")</x:f>
        <x:v>0.35308099999999953</x:v>
      </x:c>
      <x:c r="Z961" s="41" t="n">
        <x:f>IFERROR(J961-F961,"")</x:f>
        <x:v>3.2061410000000024</x:v>
      </x:c>
      <x:c r="AA961" s="41" t="n">
        <x:v>11887</x:v>
      </x:c>
      <x:c r="AB961" s="41" t="n">
        <x:v>6318</x:v>
      </x:c>
    </x:row>
    <x:row r="962">
      <x:c r="A962" s="41" t="str">
        <x:v>HYP_REFINE_AUTO002_TOPN_6_V1_DDGRID_LONG_R13_C22_E75_CR40_REDD_RECOVERED_DD7_SL22</x:v>
      </x:c>
      <x:c r="B962" s="41" t="str">
        <x:v>dd_guard_grid</x:v>
      </x:c>
      <x:c r="C962" s="41" t="str">
        <x:v>1999-01-04</x:v>
      </x:c>
      <x:c r="D962" s="41" t="str">
        <x:v>2026-05-22</x:v>
      </x:c>
      <x:c r="E962" s="41" t="n">
        <x:v>12.032243</x:v>
      </x:c>
      <x:c r="F962" s="41" t="n">
        <x:v>-33.556578</x:v>
      </x:c>
      <x:c r="G962" s="41" t="n">
        <x:v>2143.564358</x:v>
      </x:c>
      <x:c r="H962" s="41" t="n">
        <x:f>IFERROR(E962/ABS(F962),"")</x:f>
        <x:v>0.35856585257292917</x:v>
      </x:c>
      <x:c r="I962" s="41" t="n">
        <x:v>12.263843</x:v>
      </x:c>
      <x:c r="J962" s="41" t="n">
        <x:v>-29.461895</x:v>
      </x:c>
      <x:c r="K962" s="41" t="n">
        <x:v>2274.070659</x:v>
      </x:c>
      <x:c r="L962" s="41" t="n">
        <x:f>IFERROR(I962/ABS(J962),"")</x:f>
        <x:v>0.416261173967255</x:v>
      </x:c>
      <x:c r="M962" s="41" t="n">
        <x:v>6.802475</x:v>
      </x:c>
      <x:c r="N962" s="41" t="n">
        <x:v>-56.473669</x:v>
      </x:c>
      <x:c r="O962" s="41" t="n">
        <x:v>506.057416</x:v>
      </x:c>
      <x:c r="P962" s="41" t="n">
        <x:f>IFERROR(M962/ABS(N962),"")</x:f>
        <x:v>0.12045392340278087</x:v>
      </x:c>
      <x:c r="Q962" s="41" t="str">
        <x:f>IF(L962&gt;=MAX(H962,P962),"Weekly",IF(H962&gt;=MAX(L962,P962),"No weekly","SPY"))</x:f>
        <x:v>Weekly</x:v>
      </x:c>
      <x:c r="R962" s="41" t="n">
        <x:f>IFERROR(L962-P962,"")</x:f>
        <x:v>0.2958072505644741</x:v>
      </x:c>
      <x:c r="S962" s="41" t="n">
        <x:f>IFERROR(H962-P962,"")</x:f>
        <x:v>0.23811192917014828</x:v>
      </x:c>
      <x:c r="T962" s="41" t="n">
        <x:f>IFERROR(I962-M962,"")</x:f>
        <x:v>5.461367999999999</x:v>
      </x:c>
      <x:c r="U962" s="41" t="n">
        <x:f>IFERROR(E962-M962,"")</x:f>
        <x:v>5.229767999999999</x:v>
      </x:c>
      <x:c r="V962" s="41" t="str">
        <x:f>IF(AND(I962&gt;M962,J962&gt;N962),"Sí","No")</x:f>
        <x:v>Sí</x:v>
      </x:c>
      <x:c r="W962" s="41" t="str">
        <x:f>IF(AND(E962&gt;M962,F962&gt;N962),"Sí","No")</x:f>
        <x:v>Sí</x:v>
      </x:c>
      <x:c r="X962" s="41" t="str">
        <x:f>IF(L962&gt;=H962,"Weekly","No weekly")</x:f>
        <x:v>Weekly</x:v>
      </x:c>
      <x:c r="Y962" s="41" t="n">
        <x:f>IFERROR(I962-E962,"")</x:f>
        <x:v>0.23160000000000025</x:v>
      </x:c>
      <x:c r="Z962" s="41" t="n">
        <x:f>IFERROR(J962-F962,"")</x:f>
        <x:v>4.094683000000003</x:v>
      </x:c>
      <x:c r="AA962" s="41" t="n">
        <x:v>12112</x:v>
      </x:c>
      <x:c r="AB962" s="41" t="n">
        <x:v>6063</x:v>
      </x:c>
    </x:row>
    <x:row r="963">
      <x:c r="A963" s="41" t="str">
        <x:v>HYP_REFINE_AUTO002_TOPN_6_V1_DDGRID_LONG_R13_C22_E75_CR40_REDD_RECOVERED_DD7_SL24</x:v>
      </x:c>
      <x:c r="B963" s="41" t="str">
        <x:v>dd_guard_grid</x:v>
      </x:c>
      <x:c r="C963" s="41" t="str">
        <x:v>1999-01-04</x:v>
      </x:c>
      <x:c r="D963" s="41" t="str">
        <x:v>2026-05-22</x:v>
      </x:c>
      <x:c r="E963" s="41" t="n">
        <x:v>11.322314</x:v>
      </x:c>
      <x:c r="F963" s="41" t="n">
        <x:v>-34.053842</x:v>
      </x:c>
      <x:c r="G963" s="41" t="n">
        <x:v>1785.175815</x:v>
      </x:c>
      <x:c r="H963" s="41" t="n">
        <x:f>IFERROR(E963/ABS(F963),"")</x:f>
        <x:v>0.3324827195709665</x:v>
      </x:c>
      <x:c r="I963" s="41" t="n">
        <x:v>13.165291</x:v>
      </x:c>
      <x:c r="J963" s="41" t="n">
        <x:v>-29.457236</x:v>
      </x:c>
      <x:c r="K963" s="41" t="n">
        <x:v>2855.210842</x:v>
      </x:c>
      <x:c r="L963" s="41" t="n">
        <x:f>IFERROR(I963/ABS(J963),"")</x:f>
        <x:v>0.4469289311461537</x:v>
      </x:c>
      <x:c r="M963" s="41" t="n">
        <x:v>6.802475</x:v>
      </x:c>
      <x:c r="N963" s="41" t="n">
        <x:v>-56.473669</x:v>
      </x:c>
      <x:c r="O963" s="41" t="n">
        <x:v>506.057416</x:v>
      </x:c>
      <x:c r="P963" s="41" t="n">
        <x:f>IFERROR(M963/ABS(N963),"")</x:f>
        <x:v>0.12045392340278087</x:v>
      </x:c>
      <x:c r="Q963" s="41" t="str">
        <x:f>IF(L963&gt;=MAX(H963,P963),"Weekly",IF(H963&gt;=MAX(L963,P963),"No weekly","SPY"))</x:f>
        <x:v>Weekly</x:v>
      </x:c>
      <x:c r="R963" s="41" t="n">
        <x:f>IFERROR(L963-P963,"")</x:f>
        <x:v>0.3264750077433728</x:v>
      </x:c>
      <x:c r="S963" s="41" t="n">
        <x:f>IFERROR(H963-P963,"")</x:f>
        <x:v>0.2120287961681856</x:v>
      </x:c>
      <x:c r="T963" s="41" t="n">
        <x:f>IFERROR(I963-M963,"")</x:f>
        <x:v>6.362816</x:v>
      </x:c>
      <x:c r="U963" s="41" t="n">
        <x:f>IFERROR(E963-M963,"")</x:f>
        <x:v>4.519839</x:v>
      </x:c>
      <x:c r="V963" s="41" t="str">
        <x:f>IF(AND(I963&gt;M963,J963&gt;N963),"Sí","No")</x:f>
        <x:v>Sí</x:v>
      </x:c>
      <x:c r="W963" s="41" t="str">
        <x:f>IF(AND(E963&gt;M963,F963&gt;N963),"Sí","No")</x:f>
        <x:v>Sí</x:v>
      </x:c>
      <x:c r="X963" s="41" t="str">
        <x:f>IF(L963&gt;=H963,"Weekly","No weekly")</x:f>
        <x:v>Weekly</x:v>
      </x:c>
      <x:c r="Y963" s="41" t="n">
        <x:f>IFERROR(I963-E963,"")</x:f>
        <x:v>1.8429769999999994</x:v>
      </x:c>
      <x:c r="Z963" s="41" t="n">
        <x:f>IFERROR(J963-F963,"")</x:f>
        <x:v>4.596606000000001</x:v>
      </x:c>
      <x:c r="AA963" s="41" t="n">
        <x:v>12144</x:v>
      </x:c>
      <x:c r="AB963" s="41" t="n">
        <x:v>6145</x:v>
      </x:c>
    </x:row>
    <x:row r="964">
      <x:c r="A964" s="41" t="str">
        <x:v>HYP_REFINE_AUTO002_TOPN_6_V1_DDGRID_LONG_R13_C22_E75_CR40_REDD_RECOVERED_DD7_SLNONE</x:v>
      </x:c>
      <x:c r="B964" s="41" t="str">
        <x:v>dd_guard_grid</x:v>
      </x:c>
      <x:c r="C964" s="41" t="str">
        <x:v>1999-01-04</x:v>
      </x:c>
      <x:c r="D964" s="41" t="str">
        <x:v>2026-05-22</x:v>
      </x:c>
      <x:c r="E964" s="41" t="n">
        <x:v>12.520719</x:v>
      </x:c>
      <x:c r="F964" s="41" t="n">
        <x:v>-33.429025</x:v>
      </x:c>
      <x:c r="G964" s="41" t="n">
        <x:v>2427.372982</x:v>
      </x:c>
      <x:c r="H964" s="41" t="n">
        <x:f>IFERROR(E964/ABS(F964),"")</x:f>
        <x:v>0.3745463410913121</x:v>
      </x:c>
      <x:c r="I964" s="41" t="n">
        <x:v>13.315389</x:v>
      </x:c>
      <x:c r="J964" s="41" t="n">
        <x:v>-29.696181</x:v>
      </x:c>
      <x:c r="K964" s="41" t="n">
        <x:v>2964.424744</x:v>
      </x:c>
      <x:c r="L964" s="41" t="n">
        <x:f>IFERROR(I964/ABS(J964),"")</x:f>
        <x:v>0.44838725221940157</x:v>
      </x:c>
      <x:c r="M964" s="41" t="n">
        <x:v>6.802475</x:v>
      </x:c>
      <x:c r="N964" s="41" t="n">
        <x:v>-56.473669</x:v>
      </x:c>
      <x:c r="O964" s="41" t="n">
        <x:v>506.057416</x:v>
      </x:c>
      <x:c r="P964" s="41" t="n">
        <x:f>IFERROR(M964/ABS(N964),"")</x:f>
        <x:v>0.12045392340278087</x:v>
      </x:c>
      <x:c r="Q964" s="41" t="str">
        <x:f>IF(L964&gt;=MAX(H964,P964),"Weekly",IF(H964&gt;=MAX(L964,P964),"No weekly","SPY"))</x:f>
        <x:v>Weekly</x:v>
      </x:c>
      <x:c r="R964" s="41" t="n">
        <x:f>IFERROR(L964-P964,"")</x:f>
        <x:v>0.3279333288166207</x:v>
      </x:c>
      <x:c r="S964" s="41" t="n">
        <x:f>IFERROR(H964-P964,"")</x:f>
        <x:v>0.2540924176885312</x:v>
      </x:c>
      <x:c r="T964" s="41" t="n">
        <x:f>IFERROR(I964-M964,"")</x:f>
        <x:v>6.512913999999999</x:v>
      </x:c>
      <x:c r="U964" s="41" t="n">
        <x:f>IFERROR(E964-M964,"")</x:f>
        <x:v>5.718243999999999</x:v>
      </x:c>
      <x:c r="V964" s="41" t="str">
        <x:f>IF(AND(I964&gt;M964,J964&gt;N964),"Sí","No")</x:f>
        <x:v>Sí</x:v>
      </x:c>
      <x:c r="W964" s="41" t="str">
        <x:f>IF(AND(E964&gt;M964,F964&gt;N964),"Sí","No")</x:f>
        <x:v>Sí</x:v>
      </x:c>
      <x:c r="X964" s="41" t="str">
        <x:f>IF(L964&gt;=H964,"Weekly","No weekly")</x:f>
        <x:v>Weekly</x:v>
      </x:c>
      <x:c r="Y964" s="41" t="n">
        <x:f>IFERROR(I964-E964,"")</x:f>
        <x:v>0.79467</x:v>
      </x:c>
      <x:c r="Z964" s="41" t="n">
        <x:f>IFERROR(J964-F964,"")</x:f>
        <x:v>3.7328440000000036</x:v>
      </x:c>
      <x:c r="AA964" s="41" t="n">
        <x:v>12055</x:v>
      </x:c>
      <x:c r="AB964" s="41" t="n">
        <x:v>6766</x:v>
      </x:c>
    </x:row>
    <x:row r="965">
      <x:c r="A965" s="41" t="str">
        <x:v>HYP_REFINE_AUTO002_TOPN_6_V1_DDGRID_LONG_R13_C22_E75_CR40_REDD_RECOVERED_DD8_SL18</x:v>
      </x:c>
      <x:c r="B965" s="41" t="str">
        <x:v>dd_guard_grid</x:v>
      </x:c>
      <x:c r="C965" s="41" t="str">
        <x:v>1999-01-04</x:v>
      </x:c>
      <x:c r="D965" s="41" t="str">
        <x:v>2026-05-22</x:v>
      </x:c>
      <x:c r="E965" s="41" t="n">
        <x:v>13.05902</x:v>
      </x:c>
      <x:c r="F965" s="41" t="n">
        <x:v>-31.740414</x:v>
      </x:c>
      <x:c r="G965" s="41" t="n">
        <x:v>2780.164557</x:v>
      </x:c>
      <x:c r="H965" s="41" t="n">
        <x:f>IFERROR(E965/ABS(F965),"")</x:f>
        <x:v>0.41143193658406596</x:v>
      </x:c>
      <x:c r="I965" s="41" t="n">
        <x:v>12.414237</x:v>
      </x:c>
      <x:c r="J965" s="41" t="n">
        <x:v>-29.670864</x:v>
      </x:c>
      <x:c r="K965" s="41" t="n">
        <x:v>2362.702052</x:v>
      </x:c>
      <x:c r="L965" s="41" t="n">
        <x:f>IFERROR(I965/ABS(J965),"")</x:f>
        <x:v>0.4183982306683081</x:v>
      </x:c>
      <x:c r="M965" s="41" t="n">
        <x:v>6.802475</x:v>
      </x:c>
      <x:c r="N965" s="41" t="n">
        <x:v>-56.473669</x:v>
      </x:c>
      <x:c r="O965" s="41" t="n">
        <x:v>506.057416</x:v>
      </x:c>
      <x:c r="P965" s="41" t="n">
        <x:f>IFERROR(M965/ABS(N965),"")</x:f>
        <x:v>0.12045392340278087</x:v>
      </x:c>
      <x:c r="Q965" s="41" t="str">
        <x:f>IF(L965&gt;=MAX(H965,P965),"Weekly",IF(H965&gt;=MAX(L965,P965),"No weekly","SPY"))</x:f>
        <x:v>Weekly</x:v>
      </x:c>
      <x:c r="R965" s="41" t="n">
        <x:f>IFERROR(L965-P965,"")</x:f>
        <x:v>0.29794430726552723</x:v>
      </x:c>
      <x:c r="S965" s="41" t="n">
        <x:f>IFERROR(H965-P965,"")</x:f>
        <x:v>0.2909780131812851</x:v>
      </x:c>
      <x:c r="T965" s="41" t="n">
        <x:f>IFERROR(I965-M965,"")</x:f>
        <x:v>5.611762</x:v>
      </x:c>
      <x:c r="U965" s="41" t="n">
        <x:f>IFERROR(E965-M965,"")</x:f>
        <x:v>6.256545</x:v>
      </x:c>
      <x:c r="V965" s="41" t="str">
        <x:f>IF(AND(I965&gt;M965,J965&gt;N965),"Sí","No")</x:f>
        <x:v>Sí</x:v>
      </x:c>
      <x:c r="W965" s="41" t="str">
        <x:f>IF(AND(E965&gt;M965,F965&gt;N965),"Sí","No")</x:f>
        <x:v>Sí</x:v>
      </x:c>
      <x:c r="X965" s="41" t="str">
        <x:f>IF(L965&gt;=H965,"Weekly","No weekly")</x:f>
        <x:v>Weekly</x:v>
      </x:c>
      <x:c r="Y965" s="41" t="n">
        <x:f>IFERROR(I965-E965,"")</x:f>
        <x:v>-0.6447830000000003</x:v>
      </x:c>
      <x:c r="Z965" s="41" t="n">
        <x:f>IFERROR(J965-F965,"")</x:f>
        <x:v>2.0695499999999996</x:v>
      </x:c>
      <x:c r="AA965" s="41" t="n">
        <x:v>11568</x:v>
      </x:c>
      <x:c r="AB965" s="41" t="n">
        <x:v>5632</x:v>
      </x:c>
    </x:row>
    <x:row r="966">
      <x:c r="A966" s="41" t="str">
        <x:v>HYP_REFINE_AUTO002_TOPN_6_V1_DDGRID_LONG_R13_C22_E75_CR40_REDD_RECOVERED_DD8_SL20</x:v>
      </x:c>
      <x:c r="B966" s="41" t="str">
        <x:v>dd_guard_grid</x:v>
      </x:c>
      <x:c r="C966" s="41" t="str">
        <x:v>1999-01-04</x:v>
      </x:c>
      <x:c r="D966" s="41" t="str">
        <x:v>2026-05-22</x:v>
      </x:c>
      <x:c r="E966" s="41" t="n">
        <x:v>13.286677</x:v>
      </x:c>
      <x:c r="F966" s="41" t="n">
        <x:v>-32.641176</x:v>
      </x:c>
      <x:c r="G966" s="41" t="n">
        <x:v>2943.236479</x:v>
      </x:c>
      <x:c r="H966" s="41" t="n">
        <x:f>IFERROR(E966/ABS(F966),"")</x:f>
        <x:v>0.4070526441816924</x:v>
      </x:c>
      <x:c r="I966" s="41" t="n">
        <x:v>12.857884</x:v>
      </x:c>
      <x:c r="J966" s="41" t="n">
        <x:v>-29.435035</x:v>
      </x:c>
      <x:c r="K966" s="41" t="n">
        <x:v>2643.121889</x:v>
      </x:c>
      <x:c r="L966" s="41" t="n">
        <x:f>IFERROR(I966/ABS(J966),"")</x:f>
        <x:v>0.43682244644859436</x:v>
      </x:c>
      <x:c r="M966" s="41" t="n">
        <x:v>6.802475</x:v>
      </x:c>
      <x:c r="N966" s="41" t="n">
        <x:v>-56.473669</x:v>
      </x:c>
      <x:c r="O966" s="41" t="n">
        <x:v>506.057416</x:v>
      </x:c>
      <x:c r="P966" s="41" t="n">
        <x:f>IFERROR(M966/ABS(N966),"")</x:f>
        <x:v>0.12045392340278087</x:v>
      </x:c>
      <x:c r="Q966" s="41" t="str">
        <x:f>IF(L966&gt;=MAX(H966,P966),"Weekly",IF(H966&gt;=MAX(L966,P966),"No weekly","SPY"))</x:f>
        <x:v>Weekly</x:v>
      </x:c>
      <x:c r="R966" s="41" t="n">
        <x:f>IFERROR(L966-P966,"")</x:f>
        <x:v>0.3163685230458135</x:v>
      </x:c>
      <x:c r="S966" s="41" t="n">
        <x:f>IFERROR(H966-P966,"")</x:f>
        <x:v>0.2865987207789115</x:v>
      </x:c>
      <x:c r="T966" s="41" t="n">
        <x:f>IFERROR(I966-M966,"")</x:f>
        <x:v>6.055409</x:v>
      </x:c>
      <x:c r="U966" s="41" t="n">
        <x:f>IFERROR(E966-M966,"")</x:f>
        <x:v>6.484201999999999</x:v>
      </x:c>
      <x:c r="V966" s="41" t="str">
        <x:f>IF(AND(I966&gt;M966,J966&gt;N966),"Sí","No")</x:f>
        <x:v>Sí</x:v>
      </x:c>
      <x:c r="W966" s="41" t="str">
        <x:f>IF(AND(E966&gt;M966,F966&gt;N966),"Sí","No")</x:f>
        <x:v>Sí</x:v>
      </x:c>
      <x:c r="X966" s="41" t="str">
        <x:f>IF(L966&gt;=H966,"Weekly","No weekly")</x:f>
        <x:v>Weekly</x:v>
      </x:c>
      <x:c r="Y966" s="41" t="n">
        <x:f>IFERROR(I966-E966,"")</x:f>
        <x:v>-0.42879299999999887</x:v>
      </x:c>
      <x:c r="Z966" s="41" t="n">
        <x:f>IFERROR(J966-F966,"")</x:f>
        <x:v>3.2061410000000024</x:v>
      </x:c>
      <x:c r="AA966" s="41" t="n">
        <x:v>11541</x:v>
      </x:c>
      <x:c r="AB966" s="41" t="n">
        <x:v>5937</x:v>
      </x:c>
    </x:row>
    <x:row r="967">
      <x:c r="A967" s="41" t="str">
        <x:v>HYP_REFINE_AUTO002_TOPN_6_V1_DDGRID_LONG_R13_C22_E75_CR40_REDD_RECOVERED_DD8_SL22</x:v>
      </x:c>
      <x:c r="B967" s="41" t="str">
        <x:v>dd_guard_grid</x:v>
      </x:c>
      <x:c r="C967" s="41" t="str">
        <x:v>1999-01-04</x:v>
      </x:c>
      <x:c r="D967" s="41" t="str">
        <x:v>2026-05-22</x:v>
      </x:c>
      <x:c r="E967" s="41" t="n">
        <x:v>12.115912</x:v>
      </x:c>
      <x:c r="F967" s="41" t="n">
        <x:v>-33.556578</x:v>
      </x:c>
      <x:c r="G967" s="41" t="n">
        <x:v>2189.893531</x:v>
      </x:c>
      <x:c r="H967" s="41" t="n">
        <x:f>IFERROR(E967/ABS(F967),"")</x:f>
        <x:v>0.3610592236192856</x:v>
      </x:c>
      <x:c r="I967" s="41" t="n">
        <x:v>12.600071</x:v>
      </x:c>
      <x:c r="J967" s="41" t="n">
        <x:v>-29.461895</x:v>
      </x:c>
      <x:c r="K967" s="41" t="n">
        <x:v>2476.628155</x:v>
      </x:c>
      <x:c r="L967" s="41" t="n">
        <x:f>IFERROR(I967/ABS(J967),"")</x:f>
        <x:v>0.4276734744998582</x:v>
      </x:c>
      <x:c r="M967" s="41" t="n">
        <x:v>6.802475</x:v>
      </x:c>
      <x:c r="N967" s="41" t="n">
        <x:v>-56.473669</x:v>
      </x:c>
      <x:c r="O967" s="41" t="n">
        <x:v>506.057416</x:v>
      </x:c>
      <x:c r="P967" s="41" t="n">
        <x:f>IFERROR(M967/ABS(N967),"")</x:f>
        <x:v>0.12045392340278087</x:v>
      </x:c>
      <x:c r="Q967" s="41" t="str">
        <x:f>IF(L967&gt;=MAX(H967,P967),"Weekly",IF(H967&gt;=MAX(L967,P967),"No weekly","SPY"))</x:f>
        <x:v>Weekly</x:v>
      </x:c>
      <x:c r="R967" s="41" t="n">
        <x:f>IFERROR(L967-P967,"")</x:f>
        <x:v>0.3072195510970773</x:v>
      </x:c>
      <x:c r="S967" s="41" t="n">
        <x:f>IFERROR(H967-P967,"")</x:f>
        <x:v>0.24060530021650472</x:v>
      </x:c>
      <x:c r="T967" s="41" t="n">
        <x:f>IFERROR(I967-M967,"")</x:f>
        <x:v>5.7975959999999995</x:v>
      </x:c>
      <x:c r="U967" s="41" t="n">
        <x:f>IFERROR(E967-M967,"")</x:f>
        <x:v>5.3134369999999995</x:v>
      </x:c>
      <x:c r="V967" s="41" t="str">
        <x:f>IF(AND(I967&gt;M967,J967&gt;N967),"Sí","No")</x:f>
        <x:v>Sí</x:v>
      </x:c>
      <x:c r="W967" s="41" t="str">
        <x:f>IF(AND(E967&gt;M967,F967&gt;N967),"Sí","No")</x:f>
        <x:v>Sí</x:v>
      </x:c>
      <x:c r="X967" s="41" t="str">
        <x:f>IF(L967&gt;=H967,"Weekly","No weekly")</x:f>
        <x:v>Weekly</x:v>
      </x:c>
      <x:c r="Y967" s="41" t="n">
        <x:f>IFERROR(I967-E967,"")</x:f>
        <x:v>0.484159</x:v>
      </x:c>
      <x:c r="Z967" s="41" t="n">
        <x:f>IFERROR(J967-F967,"")</x:f>
        <x:v>4.094683000000003</x:v>
      </x:c>
      <x:c r="AA967" s="41" t="n">
        <x:v>11817</x:v>
      </x:c>
      <x:c r="AB967" s="41" t="n">
        <x:v>5926</x:v>
      </x:c>
    </x:row>
    <x:row r="968">
      <x:c r="A968" s="41" t="str">
        <x:v>HYP_REFINE_AUTO002_TOPN_6_V1_DDGRID_LONG_R13_C22_E75_CR40_REDD_RECOVERED_DD8_SL24</x:v>
      </x:c>
      <x:c r="B968" s="41" t="str">
        <x:v>dd_guard_grid</x:v>
      </x:c>
      <x:c r="C968" s="41" t="str">
        <x:v>1999-01-04</x:v>
      </x:c>
      <x:c r="D968" s="41" t="str">
        <x:v>2026-05-22</x:v>
      </x:c>
      <x:c r="E968" s="41" t="n">
        <x:v>11.146421</x:v>
      </x:c>
      <x:c r="F968" s="41" t="n">
        <x:v>-34.053842</x:v>
      </x:c>
      <x:c r="G968" s="41" t="n">
        <x:v>1705.302088</x:v>
      </x:c>
      <x:c r="H968" s="41" t="n">
        <x:f>IFERROR(E968/ABS(F968),"")</x:f>
        <x:v>0.32731757550293444</x:v>
      </x:c>
      <x:c r="I968" s="41" t="n">
        <x:v>13.461371</x:v>
      </x:c>
      <x:c r="J968" s="41" t="n">
        <x:v>-29.457236</x:v>
      </x:c>
      <x:c r="K968" s="41" t="n">
        <x:v>3074.367147</x:v>
      </x:c>
      <x:c r="L968" s="41" t="n">
        <x:f>IFERROR(I968/ABS(J968),"")</x:f>
        <x:v>0.4569801117796659</x:v>
      </x:c>
      <x:c r="M968" s="41" t="n">
        <x:v>6.802475</x:v>
      </x:c>
      <x:c r="N968" s="41" t="n">
        <x:v>-56.473669</x:v>
      </x:c>
      <x:c r="O968" s="41" t="n">
        <x:v>506.057416</x:v>
      </x:c>
      <x:c r="P968" s="41" t="n">
        <x:f>IFERROR(M968/ABS(N968),"")</x:f>
        <x:v>0.12045392340278087</x:v>
      </x:c>
      <x:c r="Q968" s="41" t="str">
        <x:f>IF(L968&gt;=MAX(H968,P968),"Weekly",IF(H968&gt;=MAX(L968,P968),"No weekly","SPY"))</x:f>
        <x:v>Weekly</x:v>
      </x:c>
      <x:c r="R968" s="41" t="n">
        <x:f>IFERROR(L968-P968,"")</x:f>
        <x:v>0.336526188376885</x:v>
      </x:c>
      <x:c r="S968" s="41" t="n">
        <x:f>IFERROR(H968-P968,"")</x:f>
        <x:v>0.20686365210015356</x:v>
      </x:c>
      <x:c r="T968" s="41" t="n">
        <x:f>IFERROR(I968-M968,"")</x:f>
        <x:v>6.6588959999999995</x:v>
      </x:c>
      <x:c r="U968" s="41" t="n">
        <x:f>IFERROR(E968-M968,"")</x:f>
        <x:v>4.343946</x:v>
      </x:c>
      <x:c r="V968" s="41" t="str">
        <x:f>IF(AND(I968&gt;M968,J968&gt;N968),"Sí","No")</x:f>
        <x:v>Sí</x:v>
      </x:c>
      <x:c r="W968" s="41" t="str">
        <x:f>IF(AND(E968&gt;M968,F968&gt;N968),"Sí","No")</x:f>
        <x:v>Sí</x:v>
      </x:c>
      <x:c r="X968" s="41" t="str">
        <x:f>IF(L968&gt;=H968,"Weekly","No weekly")</x:f>
        <x:v>Weekly</x:v>
      </x:c>
      <x:c r="Y968" s="41" t="n">
        <x:f>IFERROR(I968-E968,"")</x:f>
        <x:v>2.3149499999999996</x:v>
      </x:c>
      <x:c r="Z968" s="41" t="n">
        <x:f>IFERROR(J968-F968,"")</x:f>
        <x:v>4.596606000000001</x:v>
      </x:c>
      <x:c r="AA968" s="41" t="n">
        <x:v>11815</x:v>
      </x:c>
      <x:c r="AB968" s="41" t="n">
        <x:v>6000</x:v>
      </x:c>
    </x:row>
    <x:row r="969">
      <x:c r="A969" s="41" t="str">
        <x:v>HYP_REFINE_AUTO002_TOPN_6_V1_DDGRID_LONG_R13_C22_E75_CR40_REDD_RECOVERED_DD8_SLNONE</x:v>
      </x:c>
      <x:c r="B969" s="41" t="str">
        <x:v>dd_guard_grid</x:v>
      </x:c>
      <x:c r="C969" s="41" t="str">
        <x:v>1999-01-04</x:v>
      </x:c>
      <x:c r="D969" s="41" t="str">
        <x:v>2026-05-22</x:v>
      </x:c>
      <x:c r="E969" s="41" t="n">
        <x:v>12.317841</x:v>
      </x:c>
      <x:c r="F969" s="41" t="n">
        <x:v>-33.40545</x:v>
      </x:c>
      <x:c r="G969" s="41" t="n">
        <x:v>2305.533246</x:v>
      </x:c>
      <x:c r="H969" s="41" t="n">
        <x:f>IFERROR(E969/ABS(F969),"")</x:f>
        <x:v>0.36873746649124617</x:v>
      </x:c>
      <x:c r="I969" s="41" t="n">
        <x:v>13.556314</x:v>
      </x:c>
      <x:c r="J969" s="41" t="n">
        <x:v>-29.696181</x:v>
      </x:c>
      <x:c r="K969" s="41" t="n">
        <x:v>3147.900408</x:v>
      </x:c>
      <x:c r="L969" s="41" t="n">
        <x:f>IFERROR(I969/ABS(J969),"")</x:f>
        <x:v>0.4565002482979209</x:v>
      </x:c>
      <x:c r="M969" s="41" t="n">
        <x:v>6.802475</x:v>
      </x:c>
      <x:c r="N969" s="41" t="n">
        <x:v>-56.473669</x:v>
      </x:c>
      <x:c r="O969" s="41" t="n">
        <x:v>506.057416</x:v>
      </x:c>
      <x:c r="P969" s="41" t="n">
        <x:f>IFERROR(M969/ABS(N969),"")</x:f>
        <x:v>0.12045392340278087</x:v>
      </x:c>
      <x:c r="Q969" s="41" t="str">
        <x:f>IF(L969&gt;=MAX(H969,P969),"Weekly",IF(H969&gt;=MAX(L969,P969),"No weekly","SPY"))</x:f>
        <x:v>Weekly</x:v>
      </x:c>
      <x:c r="R969" s="41" t="n">
        <x:f>IFERROR(L969-P969,"")</x:f>
        <x:v>0.33604632489514</x:v>
      </x:c>
      <x:c r="S969" s="41" t="n">
        <x:f>IFERROR(H969-P969,"")</x:f>
        <x:v>0.24828354308846529</x:v>
      </x:c>
      <x:c r="T969" s="41" t="n">
        <x:f>IFERROR(I969-M969,"")</x:f>
        <x:v>6.753839</x:v>
      </x:c>
      <x:c r="U969" s="41" t="n">
        <x:f>IFERROR(E969-M969,"")</x:f>
        <x:v>5.515365999999999</x:v>
      </x:c>
      <x:c r="V969" s="41" t="str">
        <x:f>IF(AND(I969&gt;M969,J969&gt;N969),"Sí","No")</x:f>
        <x:v>Sí</x:v>
      </x:c>
      <x:c r="W969" s="41" t="str">
        <x:f>IF(AND(E969&gt;M969,F969&gt;N969),"Sí","No")</x:f>
        <x:v>Sí</x:v>
      </x:c>
      <x:c r="X969" s="41" t="str">
        <x:f>IF(L969&gt;=H969,"Weekly","No weekly")</x:f>
        <x:v>Weekly</x:v>
      </x:c>
      <x:c r="Y969" s="41" t="n">
        <x:f>IFERROR(I969-E969,"")</x:f>
        <x:v>1.2384730000000008</x:v>
      </x:c>
      <x:c r="Z969" s="41" t="n">
        <x:f>IFERROR(J969-F969,"")</x:f>
        <x:v>3.7092690000000026</x:v>
      </x:c>
      <x:c r="AA969" s="41" t="n">
        <x:v>11945</x:v>
      </x:c>
      <x:c r="AB969" s="41" t="n">
        <x:v>6350</x:v>
      </x:c>
    </x:row>
    <x:row r="970">
      <x:c r="A970" s="41" t="str">
        <x:v>HYP_REFINE_AUTO002_TOPN_6_V1_DDGRID_LONG_R13_C22_E75_CR40_REDD_RECOVERED_DD9_SL18</x:v>
      </x:c>
      <x:c r="B970" s="41" t="str">
        <x:v>dd_guard_grid</x:v>
      </x:c>
      <x:c r="C970" s="41" t="str">
        <x:v>1999-01-04</x:v>
      </x:c>
      <x:c r="D970" s="41" t="str">
        <x:v>2026-05-22</x:v>
      </x:c>
      <x:c r="E970" s="41" t="n">
        <x:v>12.765577</x:v>
      </x:c>
      <x:c r="F970" s="41" t="n">
        <x:v>-31.737522</x:v>
      </x:c>
      <x:c r="G970" s="41" t="n">
        <x:v>2582.353118</x:v>
      </x:c>
      <x:c r="H970" s="41" t="n">
        <x:f>IFERROR(E970/ABS(F970),"")</x:f>
        <x:v>0.40222349432321786</x:v>
      </x:c>
      <x:c r="I970" s="41" t="n">
        <x:v>12.064661</x:v>
      </x:c>
      <x:c r="J970" s="41" t="n">
        <x:v>-29.670864</x:v>
      </x:c>
      <x:c r="K970" s="41" t="n">
        <x:v>2161.406773</x:v>
      </x:c>
      <x:c r="L970" s="41" t="n">
        <x:f>IFERROR(I970/ABS(J970),"")</x:f>
        <x:v>0.4066164369193967</x:v>
      </x:c>
      <x:c r="M970" s="41" t="n">
        <x:v>6.802475</x:v>
      </x:c>
      <x:c r="N970" s="41" t="n">
        <x:v>-56.473669</x:v>
      </x:c>
      <x:c r="O970" s="41" t="n">
        <x:v>506.057416</x:v>
      </x:c>
      <x:c r="P970" s="41" t="n">
        <x:f>IFERROR(M970/ABS(N970),"")</x:f>
        <x:v>0.12045392340278087</x:v>
      </x:c>
      <x:c r="Q970" s="41" t="str">
        <x:f>IF(L970&gt;=MAX(H970,P970),"Weekly",IF(H970&gt;=MAX(L970,P970),"No weekly","SPY"))</x:f>
        <x:v>Weekly</x:v>
      </x:c>
      <x:c r="R970" s="41" t="n">
        <x:f>IFERROR(L970-P970,"")</x:f>
        <x:v>0.2861625135166158</x:v>
      </x:c>
      <x:c r="S970" s="41" t="n">
        <x:f>IFERROR(H970-P970,"")</x:f>
        <x:v>0.281769570920437</x:v>
      </x:c>
      <x:c r="T970" s="41" t="n">
        <x:f>IFERROR(I970-M970,"")</x:f>
        <x:v>5.262185999999999</x:v>
      </x:c>
      <x:c r="U970" s="41" t="n">
        <x:f>IFERROR(E970-M970,"")</x:f>
        <x:v>5.963102</x:v>
      </x:c>
      <x:c r="V970" s="41" t="str">
        <x:f>IF(AND(I970&gt;M970,J970&gt;N970),"Sí","No")</x:f>
        <x:v>Sí</x:v>
      </x:c>
      <x:c r="W970" s="41" t="str">
        <x:f>IF(AND(E970&gt;M970,F970&gt;N970),"Sí","No")</x:f>
        <x:v>Sí</x:v>
      </x:c>
      <x:c r="X970" s="41" t="str">
        <x:f>IF(L970&gt;=H970,"Weekly","No weekly")</x:f>
        <x:v>Weekly</x:v>
      </x:c>
      <x:c r="Y970" s="41" t="n">
        <x:f>IFERROR(I970-E970,"")</x:f>
        <x:v>-0.7009160000000012</x:v>
      </x:c>
      <x:c r="Z970" s="41" t="n">
        <x:f>IFERROR(J970-F970,"")</x:f>
        <x:v>2.0666579999999968</x:v>
      </x:c>
      <x:c r="AA970" s="41" t="n">
        <x:v>11567</x:v>
      </x:c>
      <x:c r="AB970" s="41" t="n">
        <x:v>5558</x:v>
      </x:c>
    </x:row>
    <x:row r="971">
      <x:c r="A971" s="41" t="str">
        <x:v>HYP_REFINE_AUTO002_TOPN_6_V1_DDGRID_LONG_R13_C22_E75_CR40_REDD_RECOVERED_DD9_SL20</x:v>
      </x:c>
      <x:c r="B971" s="41" t="str">
        <x:v>dd_guard_grid</x:v>
      </x:c>
      <x:c r="C971" s="41" t="str">
        <x:v>1999-01-04</x:v>
      </x:c>
      <x:c r="D971" s="41" t="str">
        <x:v>2026-05-22</x:v>
      </x:c>
      <x:c r="E971" s="41" t="n">
        <x:v>13.1739</x:v>
      </x:c>
      <x:c r="F971" s="41" t="n">
        <x:v>-32.641176</x:v>
      </x:c>
      <x:c r="G971" s="41" t="n">
        <x:v>2861.372447</x:v>
      </x:c>
      <x:c r="H971" s="41" t="n">
        <x:f>IFERROR(E971/ABS(F971),"")</x:f>
        <x:v>0.4035975909691489</x:v>
      </x:c>
      <x:c r="I971" s="41" t="n">
        <x:v>12.382763</x:v>
      </x:c>
      <x:c r="J971" s="41" t="n">
        <x:v>-29.435035</x:v>
      </x:c>
      <x:c r="K971" s="41" t="n">
        <x:v>2343.893603</x:v>
      </x:c>
      <x:c r="L971" s="41" t="n">
        <x:f>IFERROR(I971/ABS(J971),"")</x:f>
        <x:v>0.42068110331786596</x:v>
      </x:c>
      <x:c r="M971" s="41" t="n">
        <x:v>6.802475</x:v>
      </x:c>
      <x:c r="N971" s="41" t="n">
        <x:v>-56.473669</x:v>
      </x:c>
      <x:c r="O971" s="41" t="n">
        <x:v>506.057416</x:v>
      </x:c>
      <x:c r="P971" s="41" t="n">
        <x:f>IFERROR(M971/ABS(N971),"")</x:f>
        <x:v>0.12045392340278087</x:v>
      </x:c>
      <x:c r="Q971" s="41" t="str">
        <x:f>IF(L971&gt;=MAX(H971,P971),"Weekly",IF(H971&gt;=MAX(L971,P971),"No weekly","SPY"))</x:f>
        <x:v>Weekly</x:v>
      </x:c>
      <x:c r="R971" s="41" t="n">
        <x:f>IFERROR(L971-P971,"")</x:f>
        <x:v>0.3002271799150851</x:v>
      </x:c>
      <x:c r="S971" s="41" t="n">
        <x:f>IFERROR(H971-P971,"")</x:f>
        <x:v>0.283143667566368</x:v>
      </x:c>
      <x:c r="T971" s="41" t="n">
        <x:f>IFERROR(I971-M971,"")</x:f>
        <x:v>5.580288</x:v>
      </x:c>
      <x:c r="U971" s="41" t="n">
        <x:f>IFERROR(E971-M971,"")</x:f>
        <x:v>6.3714249999999995</x:v>
      </x:c>
      <x:c r="V971" s="41" t="str">
        <x:f>IF(AND(I971&gt;M971,J971&gt;N971),"Sí","No")</x:f>
        <x:v>Sí</x:v>
      </x:c>
      <x:c r="W971" s="41" t="str">
        <x:f>IF(AND(E971&gt;M971,F971&gt;N971),"Sí","No")</x:f>
        <x:v>Sí</x:v>
      </x:c>
      <x:c r="X971" s="41" t="str">
        <x:f>IF(L971&gt;=H971,"Weekly","No weekly")</x:f>
        <x:v>Weekly</x:v>
      </x:c>
      <x:c r="Y971" s="41" t="n">
        <x:f>IFERROR(I971-E971,"")</x:f>
        <x:v>-0.7911369999999991</x:v>
      </x:c>
      <x:c r="Z971" s="41" t="n">
        <x:f>IFERROR(J971-F971,"")</x:f>
        <x:v>3.2061410000000024</x:v>
      </x:c>
      <x:c r="AA971" s="41" t="n">
        <x:v>11568</x:v>
      </x:c>
      <x:c r="AB971" s="41" t="n">
        <x:v>5780</x:v>
      </x:c>
    </x:row>
    <x:row r="972">
      <x:c r="A972" s="41" t="str">
        <x:v>HYP_REFINE_AUTO002_TOPN_6_V1_DDGRID_LONG_R13_C22_E75_CR42_REDD_RECOVERED_DD7_SL18</x:v>
      </x:c>
      <x:c r="B972" s="41" t="str">
        <x:v>dd_guard_grid</x:v>
      </x:c>
      <x:c r="C972" s="41" t="str">
        <x:v>1999-01-04</x:v>
      </x:c>
      <x:c r="D972" s="41" t="str">
        <x:v>2026-05-22</x:v>
      </x:c>
      <x:c r="E972" s="41" t="n">
        <x:v>13.650352</x:v>
      </x:c>
      <x:c r="F972" s="41" t="n">
        <x:v>-32.297788</x:v>
      </x:c>
      <x:c r="G972" s="41" t="n">
        <x:v>3222.348695</x:v>
      </x:c>
      <x:c r="H972" s="41" t="n">
        <x:f>IFERROR(E972/ABS(F972),"")</x:f>
        <x:v>0.42264046070275774</x:v>
      </x:c>
      <x:c r="I972" s="41" t="n">
        <x:v>12.761644</x:v>
      </x:c>
      <x:c r="J972" s="41" t="n">
        <x:v>-29.861432</x:v>
      </x:c>
      <x:c r="K972" s="41" t="n">
        <x:v>2579.792959</x:v>
      </x:c>
      <x:c r="L972" s="41" t="n">
        <x:f>IFERROR(I972/ABS(J972),"")</x:f>
        <x:v>0.4273620903377976</x:v>
      </x:c>
      <x:c r="M972" s="41" t="n">
        <x:v>6.802475</x:v>
      </x:c>
      <x:c r="N972" s="41" t="n">
        <x:v>-56.473669</x:v>
      </x:c>
      <x:c r="O972" s="41" t="n">
        <x:v>506.057416</x:v>
      </x:c>
      <x:c r="P972" s="41" t="n">
        <x:f>IFERROR(M972/ABS(N972),"")</x:f>
        <x:v>0.12045392340278087</x:v>
      </x:c>
      <x:c r="Q972" s="41" t="str">
        <x:f>IF(L972&gt;=MAX(H972,P972),"Weekly",IF(H972&gt;=MAX(L972,P972),"No weekly","SPY"))</x:f>
        <x:v>Weekly</x:v>
      </x:c>
      <x:c r="R972" s="41" t="n">
        <x:f>IFERROR(L972-P972,"")</x:f>
        <x:v>0.3069081669350167</x:v>
      </x:c>
      <x:c r="S972" s="41" t="n">
        <x:f>IFERROR(H972-P972,"")</x:f>
        <x:v>0.30218653729997685</x:v>
      </x:c>
      <x:c r="T972" s="41" t="n">
        <x:f>IFERROR(I972-M972,"")</x:f>
        <x:v>5.959169</x:v>
      </x:c>
      <x:c r="U972" s="41" t="n">
        <x:f>IFERROR(E972-M972,"")</x:f>
        <x:v>6.8478769999999995</x:v>
      </x:c>
      <x:c r="V972" s="41" t="str">
        <x:f>IF(AND(I972&gt;M972,J972&gt;N972),"Sí","No")</x:f>
        <x:v>Sí</x:v>
      </x:c>
      <x:c r="W972" s="41" t="str">
        <x:f>IF(AND(E972&gt;M972,F972&gt;N972),"Sí","No")</x:f>
        <x:v>Sí</x:v>
      </x:c>
      <x:c r="X972" s="41" t="str">
        <x:f>IF(L972&gt;=H972,"Weekly","No weekly")</x:f>
        <x:v>Weekly</x:v>
      </x:c>
      <x:c r="Y972" s="41" t="n">
        <x:f>IFERROR(I972-E972,"")</x:f>
        <x:v>-0.8887079999999994</x:v>
      </x:c>
      <x:c r="Z972" s="41" t="n">
        <x:f>IFERROR(J972-F972,"")</x:f>
        <x:v>2.4363559999999964</x:v>
      </x:c>
      <x:c r="AA972" s="41" t="n">
        <x:v>11492</x:v>
      </x:c>
      <x:c r="AB972" s="41" t="n">
        <x:v>5726</x:v>
      </x:c>
    </x:row>
    <x:row r="973">
      <x:c r="A973" s="41" t="str">
        <x:v>HYP_REFINE_AUTO002_TOPN_6_V1_DDGRID_LONG_R13_C22_E75_CR42_REDD_RECOVERED_DD8_SL20</x:v>
      </x:c>
      <x:c r="B973" s="41" t="str">
        <x:v>dd_guard_grid</x:v>
      </x:c>
      <x:c r="C973" s="41" t="str">
        <x:v>1999-01-04</x:v>
      </x:c>
      <x:c r="D973" s="41" t="str">
        <x:v>2026-05-22</x:v>
      </x:c>
      <x:c r="E973" s="41" t="n">
        <x:v>13.344539</x:v>
      </x:c>
      <x:c r="F973" s="41" t="n">
        <x:v>-33.28926</x:v>
      </x:c>
      <x:c r="G973" s="41" t="n">
        <x:v>2986.080932</x:v>
      </x:c>
      <x:c r="H973" s="41" t="n">
        <x:f>IFERROR(E973/ABS(F973),"")</x:f>
        <x:v>0.4008661952834037</x:v>
      </x:c>
      <x:c r="I973" s="41" t="n">
        <x:v>13.010942</x:v>
      </x:c>
      <x:c r="J973" s="41" t="n">
        <x:v>-29.730748</x:v>
      </x:c>
      <x:c r="K973" s="41" t="n">
        <x:v>2746.819267</x:v>
      </x:c>
      <x:c r="L973" s="41" t="n">
        <x:f>IFERROR(I973/ABS(J973),"")</x:f>
        <x:v>0.43762578728258034</x:v>
      </x:c>
      <x:c r="M973" s="41" t="n">
        <x:v>6.802475</x:v>
      </x:c>
      <x:c r="N973" s="41" t="n">
        <x:v>-56.473669</x:v>
      </x:c>
      <x:c r="O973" s="41" t="n">
        <x:v>506.057416</x:v>
      </x:c>
      <x:c r="P973" s="41" t="n">
        <x:f>IFERROR(M973/ABS(N973),"")</x:f>
        <x:v>0.12045392340278087</x:v>
      </x:c>
      <x:c r="Q973" s="41" t="str">
        <x:f>IF(L973&gt;=MAX(H973,P973),"Weekly",IF(H973&gt;=MAX(L973,P973),"No weekly","SPY"))</x:f>
        <x:v>Weekly</x:v>
      </x:c>
      <x:c r="R973" s="41" t="n">
        <x:f>IFERROR(L973-P973,"")</x:f>
        <x:v>0.31717186387979945</x:v>
      </x:c>
      <x:c r="S973" s="41" t="n">
        <x:f>IFERROR(H973-P973,"")</x:f>
        <x:v>0.28041227188062284</x:v>
      </x:c>
      <x:c r="T973" s="41" t="n">
        <x:f>IFERROR(I973-M973,"")</x:f>
        <x:v>6.208467</x:v>
      </x:c>
      <x:c r="U973" s="41" t="n">
        <x:f>IFERROR(E973-M973,"")</x:f>
        <x:v>6.542063999999999</x:v>
      </x:c>
      <x:c r="V973" s="41" t="str">
        <x:f>IF(AND(I973&gt;M973,J973&gt;N973),"Sí","No")</x:f>
        <x:v>Sí</x:v>
      </x:c>
      <x:c r="W973" s="41" t="str">
        <x:f>IF(AND(E973&gt;M973,F973&gt;N973),"Sí","No")</x:f>
        <x:v>Sí</x:v>
      </x:c>
      <x:c r="X973" s="41" t="str">
        <x:f>IF(L973&gt;=H973,"Weekly","No weekly")</x:f>
        <x:v>Weekly</x:v>
      </x:c>
      <x:c r="Y973" s="41" t="n">
        <x:f>IFERROR(I973-E973,"")</x:f>
        <x:v>-0.33359699999999926</x:v>
      </x:c>
      <x:c r="Z973" s="41" t="n">
        <x:f>IFERROR(J973-F973,"")</x:f>
        <x:v>3.5585120000000003</x:v>
      </x:c>
      <x:c r="AA973" s="41" t="n">
        <x:v>11650</x:v>
      </x:c>
      <x:c r="AB973" s="41" t="n">
        <x:v>5776</x:v>
      </x:c>
    </x:row>
    <x:row r="974">
      <x:c r="A974" s="41" t="str">
        <x:v>HYP_REFINE_AUTO002_TOPN_6_V1_DDGRID_LONG_R13_C22_E75_CR45_REDD_RECOVERED_DD7_SL20</x:v>
      </x:c>
      <x:c r="B974" s="41" t="str">
        <x:v>dd_guard_grid</x:v>
      </x:c>
      <x:c r="C974" s="41" t="str">
        <x:v>1999-01-04</x:v>
      </x:c>
      <x:c r="D974" s="41" t="str">
        <x:v>2026-05-22</x:v>
      </x:c>
      <x:c r="E974" s="41" t="n">
        <x:v>13.551649</x:v>
      </x:c>
      <x:c r="F974" s="41" t="n">
        <x:v>-33.754857</x:v>
      </x:c>
      <x:c r="G974" s="41" t="n">
        <x:v>3144.248648</x:v>
      </x:c>
      <x:c r="H974" s="41" t="n">
        <x:f>IFERROR(E974/ABS(F974),"")</x:f>
        <x:v>0.40147256437792045</x:v>
      </x:c>
      <x:c r="I974" s="41" t="n">
        <x:v>14.242199</x:v>
      </x:c>
      <x:c r="J974" s="41" t="n">
        <x:v>-29.842062</x:v>
      </x:c>
      <x:c r="K974" s="41" t="n">
        <x:v>3730.052857</x:v>
      </x:c>
      <x:c r="L974" s="41" t="n">
        <x:f>IFERROR(I974/ABS(J974),"")</x:f>
        <x:v>0.47725251023203424</x:v>
      </x:c>
      <x:c r="M974" s="41" t="n">
        <x:v>6.802475</x:v>
      </x:c>
      <x:c r="N974" s="41" t="n">
        <x:v>-56.473669</x:v>
      </x:c>
      <x:c r="O974" s="41" t="n">
        <x:v>506.057416</x:v>
      </x:c>
      <x:c r="P974" s="41" t="n">
        <x:f>IFERROR(M974/ABS(N974),"")</x:f>
        <x:v>0.12045392340278087</x:v>
      </x:c>
      <x:c r="Q974" s="41" t="str">
        <x:f>IF(L974&gt;=MAX(H974,P974),"Weekly",IF(H974&gt;=MAX(L974,P974),"No weekly","SPY"))</x:f>
        <x:v>Weekly</x:v>
      </x:c>
      <x:c r="R974" s="41" t="n">
        <x:f>IFERROR(L974-P974,"")</x:f>
        <x:v>0.35679858682925336</x:v>
      </x:c>
      <x:c r="S974" s="41" t="n">
        <x:f>IFERROR(H974-P974,"")</x:f>
        <x:v>0.28101864097513957</x:v>
      </x:c>
      <x:c r="T974" s="41" t="n">
        <x:f>IFERROR(I974-M974,"")</x:f>
        <x:v>7.439723999999999</x:v>
      </x:c>
      <x:c r="U974" s="41" t="n">
        <x:f>IFERROR(E974-M974,"")</x:f>
        <x:v>6.749173999999999</x:v>
      </x:c>
      <x:c r="V974" s="41" t="str">
        <x:f>IF(AND(I974&gt;M974,J974&gt;N974),"Sí","No")</x:f>
        <x:v>Sí</x:v>
      </x:c>
      <x:c r="W974" s="41" t="str">
        <x:f>IF(AND(E974&gt;M974,F974&gt;N974),"Sí","No")</x:f>
        <x:v>Sí</x:v>
      </x:c>
      <x:c r="X974" s="41" t="str">
        <x:f>IF(L974&gt;=H974,"Weekly","No weekly")</x:f>
        <x:v>Weekly</x:v>
      </x:c>
      <x:c r="Y974" s="41" t="n">
        <x:f>IFERROR(I974-E974,"")</x:f>
        <x:v>0.69055</x:v>
      </x:c>
      <x:c r="Z974" s="41" t="n">
        <x:f>IFERROR(J974-F974,"")</x:f>
        <x:v>3.9127950000000027</x:v>
      </x:c>
      <x:c r="AA974" s="41" t="n">
        <x:v>11253</x:v>
      </x:c>
      <x:c r="AB974" s="41" t="n">
        <x:v>5645</x:v>
      </x:c>
    </x:row>
    <x:row r="975">
      <x:c r="A975" s="41" t="str">
        <x:v>HYP_REFINE_AUTO002_TOPN_6_V1_DDGRID_LONG_R13_C22_E75_CR45_REDD_RECOVERED_DD8_SL18</x:v>
      </x:c>
      <x:c r="B975" s="41" t="str">
        <x:v>dd_guard_grid</x:v>
      </x:c>
      <x:c r="C975" s="41" t="str">
        <x:v>1999-01-04</x:v>
      </x:c>
      <x:c r="D975" s="41" t="str">
        <x:v>2026-05-22</x:v>
      </x:c>
      <x:c r="E975" s="41" t="n">
        <x:v>13.018194</x:v>
      </x:c>
      <x:c r="F975" s="41" t="n">
        <x:v>-32.88827</x:v>
      </x:c>
      <x:c r="G975" s="41" t="n">
        <x:v>2751.825098</x:v>
      </x:c>
      <x:c r="H975" s="41" t="n">
        <x:f>IFERROR(E975/ABS(F975),"")</x:f>
        <x:v>0.39583091479120064</x:v>
      </x:c>
      <x:c r="I975" s="41" t="n">
        <x:v>13.703131</x:v>
      </x:c>
      <x:c r="J975" s="41" t="n">
        <x:v>-30.147391</x:v>
      </x:c>
      <x:c r="K975" s="41" t="n">
        <x:v>3264.850097</x:v>
      </x:c>
      <x:c r="L975" s="41" t="n">
        <x:f>IFERROR(I975/ABS(J975),"")</x:f>
        <x:v>0.45453787360902975</x:v>
      </x:c>
      <x:c r="M975" s="41" t="n">
        <x:v>6.802475</x:v>
      </x:c>
      <x:c r="N975" s="41" t="n">
        <x:v>-56.473669</x:v>
      </x:c>
      <x:c r="O975" s="41" t="n">
        <x:v>506.057416</x:v>
      </x:c>
      <x:c r="P975" s="41" t="n">
        <x:f>IFERROR(M975/ABS(N975),"")</x:f>
        <x:v>0.12045392340278087</x:v>
      </x:c>
      <x:c r="Q975" s="41" t="str">
        <x:f>IF(L975&gt;=MAX(H975,P975),"Weekly",IF(H975&gt;=MAX(L975,P975),"No weekly","SPY"))</x:f>
        <x:v>Weekly</x:v>
      </x:c>
      <x:c r="R975" s="41" t="n">
        <x:f>IFERROR(L975-P975,"")</x:f>
        <x:v>0.33408395020624887</x:v>
      </x:c>
      <x:c r="S975" s="41" t="n">
        <x:f>IFERROR(H975-P975,"")</x:f>
        <x:v>0.27537699138841976</x:v>
      </x:c>
      <x:c r="T975" s="41" t="n">
        <x:f>IFERROR(I975-M975,"")</x:f>
        <x:v>6.900656000000001</x:v>
      </x:c>
      <x:c r="U975" s="41" t="n">
        <x:f>IFERROR(E975-M975,"")</x:f>
        <x:v>6.215718999999999</x:v>
      </x:c>
      <x:c r="V975" s="41" t="str">
        <x:f>IF(AND(I975&gt;M975,J975&gt;N975),"Sí","No")</x:f>
        <x:v>Sí</x:v>
      </x:c>
      <x:c r="W975" s="41" t="str">
        <x:f>IF(AND(E975&gt;M975,F975&gt;N975),"Sí","No")</x:f>
        <x:v>Sí</x:v>
      </x:c>
      <x:c r="X975" s="41" t="str">
        <x:f>IF(L975&gt;=H975,"Weekly","No weekly")</x:f>
        <x:v>Weekly</x:v>
      </x:c>
      <x:c r="Y975" s="41" t="n">
        <x:f>IFERROR(I975-E975,"")</x:f>
        <x:v>0.6849370000000015</x:v>
      </x:c>
      <x:c r="Z975" s="41" t="n">
        <x:f>IFERROR(J975-F975,"")</x:f>
        <x:v>2.7408789999999996</x:v>
      </x:c>
      <x:c r="AA975" s="41" t="n">
        <x:v>11177</x:v>
      </x:c>
      <x:c r="AB975" s="41" t="n">
        <x:v>5463</x:v>
      </x:c>
    </x:row>
    <x:row r="976">
      <x:c r="A976" s="41" t="str">
        <x:v>HYP_REFINE_AUTO002_TOPN_6_V1_DDGRID_LONG_R13_C22_E75_CR45_REDD_RECOVERED_DD8_SL20</x:v>
      </x:c>
      <x:c r="B976" s="41" t="str">
        <x:v>dd_guard_grid</x:v>
      </x:c>
      <x:c r="C976" s="41" t="str">
        <x:v>1999-01-04</x:v>
      </x:c>
      <x:c r="D976" s="41" t="str">
        <x:v>2026-05-22</x:v>
      </x:c>
      <x:c r="E976" s="41" t="n">
        <x:v>13.292818</x:v>
      </x:c>
      <x:c r="F976" s="41" t="n">
        <x:v>-33.754857</x:v>
      </x:c>
      <x:c r="G976" s="41" t="n">
        <x:v>2947.756701</x:v>
      </x:c>
      <x:c r="H976" s="41" t="n">
        <x:f>IFERROR(E976/ABS(F976),"")</x:f>
        <x:v>0.39380460121635236</x:v>
      </x:c>
      <x:c r="I976" s="41" t="n">
        <x:v>14.517296</x:v>
      </x:c>
      <x:c r="J976" s="41" t="n">
        <x:v>-29.842062</x:v>
      </x:c>
      <x:c r="K976" s="41" t="n">
        <x:v>3990.745487</x:v>
      </x:c>
      <x:c r="L976" s="41" t="n">
        <x:f>IFERROR(I976/ABS(J976),"")</x:f>
        <x:v>0.48647094158573895</x:v>
      </x:c>
      <x:c r="M976" s="41" t="n">
        <x:v>6.802475</x:v>
      </x:c>
      <x:c r="N976" s="41" t="n">
        <x:v>-56.473669</x:v>
      </x:c>
      <x:c r="O976" s="41" t="n">
        <x:v>506.057416</x:v>
      </x:c>
      <x:c r="P976" s="41" t="n">
        <x:f>IFERROR(M976/ABS(N976),"")</x:f>
        <x:v>0.12045392340278087</x:v>
      </x:c>
      <x:c r="Q976" s="41" t="str">
        <x:f>IF(L976&gt;=MAX(H976,P976),"Weekly",IF(H976&gt;=MAX(L976,P976),"No weekly","SPY"))</x:f>
        <x:v>Weekly</x:v>
      </x:c>
      <x:c r="R976" s="41" t="n">
        <x:f>IFERROR(L976-P976,"")</x:f>
        <x:v>0.36601701818295806</x:v>
      </x:c>
      <x:c r="S976" s="41" t="n">
        <x:f>IFERROR(H976-P976,"")</x:f>
        <x:v>0.2733506778135715</x:v>
      </x:c>
      <x:c r="T976" s="41" t="n">
        <x:f>IFERROR(I976-M976,"")</x:f>
        <x:v>7.714821</x:v>
      </x:c>
      <x:c r="U976" s="41" t="n">
        <x:f>IFERROR(E976-M976,"")</x:f>
        <x:v>6.490343</x:v>
      </x:c>
      <x:c r="V976" s="41" t="str">
        <x:f>IF(AND(I976&gt;M976,J976&gt;N976),"Sí","No")</x:f>
        <x:v>Sí</x:v>
      </x:c>
      <x:c r="W976" s="41" t="str">
        <x:f>IF(AND(E976&gt;M976,F976&gt;N976),"Sí","No")</x:f>
        <x:v>Sí</x:v>
      </x:c>
      <x:c r="X976" s="41" t="str">
        <x:f>IF(L976&gt;=H976,"Weekly","No weekly")</x:f>
        <x:v>Weekly</x:v>
      </x:c>
      <x:c r="Y976" s="41" t="n">
        <x:f>IFERROR(I976-E976,"")</x:f>
        <x:v>1.2244779999999995</x:v>
      </x:c>
      <x:c r="Z976" s="41" t="n">
        <x:f>IFERROR(J976-F976,"")</x:f>
        <x:v>3.9127950000000027</x:v>
      </x:c>
      <x:c r="AA976" s="41" t="n">
        <x:v>11057</x:v>
      </x:c>
      <x:c r="AB976" s="41" t="n">
        <x:v>5625</x:v>
      </x:c>
    </x:row>
    <x:row r="977">
      <x:c r="A977" s="41" t="str">
        <x:v>HYP_REFINE_AUTO002_TOPN_6_V1_DDGRID_LONG_R13_C22_E75_CR45_REDD_RECOVERED_DD8_SL22</x:v>
      </x:c>
      <x:c r="B977" s="41" t="str">
        <x:v>dd_guard_grid</x:v>
      </x:c>
      <x:c r="C977" s="41" t="str">
        <x:v>1999-01-04</x:v>
      </x:c>
      <x:c r="D977" s="41" t="str">
        <x:v>2026-05-22</x:v>
      </x:c>
      <x:c r="E977" s="41" t="n">
        <x:v>13.285811</x:v>
      </x:c>
      <x:c r="F977" s="41" t="n">
        <x:v>-34.278714</x:v>
      </x:c>
      <x:c r="G977" s="41" t="n">
        <x:v>2942.599754</x:v>
      </x:c>
      <x:c r="H977" s="41" t="n">
        <x:f>IFERROR(E977/ABS(F977),"")</x:f>
        <x:v>0.38758195537907286</x:v>
      </x:c>
      <x:c r="I977" s="41" t="n">
        <x:v>14.183116</x:v>
      </x:c>
      <x:c r="J977" s="41" t="n">
        <x:v>-29.714556</x:v>
      </x:c>
      <x:c r="K977" s="41" t="n">
        <x:v>3676.189386</x:v>
      </x:c>
      <x:c r="L977" s="41" t="n">
        <x:f>IFERROR(I977/ABS(J977),"")</x:f>
        <x:v>0.47731206214220395</x:v>
      </x:c>
      <x:c r="M977" s="41" t="n">
        <x:v>6.802475</x:v>
      </x:c>
      <x:c r="N977" s="41" t="n">
        <x:v>-56.473669</x:v>
      </x:c>
      <x:c r="O977" s="41" t="n">
        <x:v>506.057416</x:v>
      </x:c>
      <x:c r="P977" s="41" t="n">
        <x:f>IFERROR(M977/ABS(N977),"")</x:f>
        <x:v>0.12045392340278087</x:v>
      </x:c>
      <x:c r="Q977" s="41" t="str">
        <x:f>IF(L977&gt;=MAX(H977,P977),"Weekly",IF(H977&gt;=MAX(L977,P977),"No weekly","SPY"))</x:f>
        <x:v>Weekly</x:v>
      </x:c>
      <x:c r="R977" s="41" t="n">
        <x:f>IFERROR(L977-P977,"")</x:f>
        <x:v>0.35685813873942307</x:v>
      </x:c>
      <x:c r="S977" s="41" t="n">
        <x:f>IFERROR(H977-P977,"")</x:f>
        <x:v>0.267128031976292</x:v>
      </x:c>
      <x:c r="T977" s="41" t="n">
        <x:f>IFERROR(I977-M977,"")</x:f>
        <x:v>7.380641</x:v>
      </x:c>
      <x:c r="U977" s="41" t="n">
        <x:f>IFERROR(E977-M977,"")</x:f>
        <x:v>6.483336</x:v>
      </x:c>
      <x:c r="V977" s="41" t="str">
        <x:f>IF(AND(I977&gt;M977,J977&gt;N977),"Sí","No")</x:f>
        <x:v>Sí</x:v>
      </x:c>
      <x:c r="W977" s="41" t="str">
        <x:f>IF(AND(E977&gt;M977,F977&gt;N977),"Sí","No")</x:f>
        <x:v>Sí</x:v>
      </x:c>
      <x:c r="X977" s="41" t="str">
        <x:f>IF(L977&gt;=H977,"Weekly","No weekly")</x:f>
        <x:v>Weekly</x:v>
      </x:c>
      <x:c r="Y977" s="41" t="n">
        <x:f>IFERROR(I977-E977,"")</x:f>
        <x:v>0.8973049999999994</x:v>
      </x:c>
      <x:c r="Z977" s="41" t="n">
        <x:f>IFERROR(J977-F977,"")</x:f>
        <x:v>4.564157999999999</x:v>
      </x:c>
      <x:c r="AA977" s="41" t="n">
        <x:v>11256</x:v>
      </x:c>
      <x:c r="AB977" s="41" t="n">
        <x:v>5699</x:v>
      </x:c>
    </x:row>
    <x:row r="978">
      <x:c r="A978" s="41" t="str">
        <x:v>HYP_REFINE_AUTO002_TOPN_6_V1_DDGRID_LONG_R13_C22_E75_CR45_REDD_RECOVERED_DD9_SL20</x:v>
      </x:c>
      <x:c r="B978" s="41" t="str">
        <x:v>dd_guard_grid</x:v>
      </x:c>
      <x:c r="C978" s="41" t="str">
        <x:v>1999-01-04</x:v>
      </x:c>
      <x:c r="D978" s="41" t="str">
        <x:v>2026-05-22</x:v>
      </x:c>
      <x:c r="E978" s="41" t="n">
        <x:v>13.374387</x:v>
      </x:c>
      <x:c r="F978" s="41" t="n">
        <x:v>-33.754857</x:v>
      </x:c>
      <x:c r="G978" s="41" t="n">
        <x:v>3008.408217</x:v>
      </x:c>
      <x:c r="H978" s="41" t="n">
        <x:f>IFERROR(E978/ABS(F978),"")</x:f>
        <x:v>0.3962211127127572</x:v>
      </x:c>
      <x:c r="I978" s="41" t="n">
        <x:v>13.507998</x:v>
      </x:c>
      <x:c r="J978" s="41" t="n">
        <x:v>-29.842062</x:v>
      </x:c>
      <x:c r="K978" s="41" t="n">
        <x:v>3110.276954</x:v>
      </x:c>
      <x:c r="L978" s="41" t="n">
        <x:f>IFERROR(I978/ABS(J978),"")</x:f>
        <x:v>0.4526496191851622</x:v>
      </x:c>
      <x:c r="M978" s="41" t="n">
        <x:v>6.802475</x:v>
      </x:c>
      <x:c r="N978" s="41" t="n">
        <x:v>-56.473669</x:v>
      </x:c>
      <x:c r="O978" s="41" t="n">
        <x:v>506.057416</x:v>
      </x:c>
      <x:c r="P978" s="41" t="n">
        <x:f>IFERROR(M978/ABS(N978),"")</x:f>
        <x:v>0.12045392340278087</x:v>
      </x:c>
      <x:c r="Q978" s="41" t="str">
        <x:f>IF(L978&gt;=MAX(H978,P978),"Weekly",IF(H978&gt;=MAX(L978,P978),"No weekly","SPY"))</x:f>
        <x:v>Weekly</x:v>
      </x:c>
      <x:c r="R978" s="41" t="n">
        <x:f>IFERROR(L978-P978,"")</x:f>
        <x:v>0.33219569578238134</x:v>
      </x:c>
      <x:c r="S978" s="41" t="n">
        <x:f>IFERROR(H978-P978,"")</x:f>
        <x:v>0.2757671893099763</x:v>
      </x:c>
      <x:c r="T978" s="41" t="n">
        <x:f>IFERROR(I978-M978,"")</x:f>
        <x:v>6.705523</x:v>
      </x:c>
      <x:c r="U978" s="41" t="n">
        <x:f>IFERROR(E978-M978,"")</x:f>
        <x:v>6.571912</x:v>
      </x:c>
      <x:c r="V978" s="41" t="str">
        <x:f>IF(AND(I978&gt;M978,J978&gt;N978),"Sí","No")</x:f>
        <x:v>Sí</x:v>
      </x:c>
      <x:c r="W978" s="41" t="str">
        <x:f>IF(AND(E978&gt;M978,F978&gt;N978),"Sí","No")</x:f>
        <x:v>Sí</x:v>
      </x:c>
      <x:c r="X978" s="41" t="str">
        <x:f>IF(L978&gt;=H978,"Weekly","No weekly")</x:f>
        <x:v>Weekly</x:v>
      </x:c>
      <x:c r="Y978" s="41" t="n">
        <x:f>IFERROR(I978-E978,"")</x:f>
        <x:v>0.13361100000000015</x:v>
      </x:c>
      <x:c r="Z978" s="41" t="n">
        <x:f>IFERROR(J978-F978,"")</x:f>
        <x:v>3.9127950000000027</x:v>
      </x:c>
      <x:c r="AA978" s="41" t="n">
        <x:v>11416</x:v>
      </x:c>
      <x:c r="AB978" s="41" t="n">
        <x:v>5465</x:v>
      </x:c>
    </x:row>
    <x:row r="979">
      <x:c r="A979" s="41" t="str">
        <x:v>HYP_REFINE_AUTO002_TOPN_6_V1_DDGRID_LONG_R13_C22_E78_CR40_REDD_RECOVERED_DD7_SL18</x:v>
      </x:c>
      <x:c r="B979" s="41" t="str">
        <x:v>dd_guard_grid</x:v>
      </x:c>
      <x:c r="C979" s="41" t="str">
        <x:v>1999-01-04</x:v>
      </x:c>
      <x:c r="D979" s="41" t="str">
        <x:v>2026-05-22</x:v>
      </x:c>
      <x:c r="E979" s="41" t="n">
        <x:v>11.41431</x:v>
      </x:c>
      <x:c r="F979" s="41" t="n">
        <x:v>-31.850591</x:v>
      </x:c>
      <x:c r="G979" s="41" t="n">
        <x:v>1828.296769</x:v>
      </x:c>
      <x:c r="H979" s="41" t="n">
        <x:f>IFERROR(E979/ABS(F979),"")</x:f>
        <x:v>0.3583704302378565</x:v>
      </x:c>
      <x:c r="I979" s="41" t="n">
        <x:v>12.512172</x:v>
      </x:c>
      <x:c r="J979" s="41" t="n">
        <x:v>-29.985068</x:v>
      </x:c>
      <x:c r="K979" s="41" t="n">
        <x:v>2422.122257</x:v>
      </x:c>
      <x:c r="L979" s="41" t="n">
        <x:f>IFERROR(I979/ABS(J979),"")</x:f>
        <x:v>0.4172800942122259</x:v>
      </x:c>
      <x:c r="M979" s="41" t="n">
        <x:v>6.802475</x:v>
      </x:c>
      <x:c r="N979" s="41" t="n">
        <x:v>-56.473669</x:v>
      </x:c>
      <x:c r="O979" s="41" t="n">
        <x:v>506.057416</x:v>
      </x:c>
      <x:c r="P979" s="41" t="n">
        <x:f>IFERROR(M979/ABS(N979),"")</x:f>
        <x:v>0.12045392340278087</x:v>
      </x:c>
      <x:c r="Q979" s="41" t="str">
        <x:f>IF(L979&gt;=MAX(H979,P979),"Weekly",IF(H979&gt;=MAX(L979,P979),"No weekly","SPY"))</x:f>
        <x:v>Weekly</x:v>
      </x:c>
      <x:c r="R979" s="41" t="n">
        <x:f>IFERROR(L979-P979,"")</x:f>
        <x:v>0.296826170809445</x:v>
      </x:c>
      <x:c r="S979" s="41" t="n">
        <x:f>IFERROR(H979-P979,"")</x:f>
        <x:v>0.2379165068350756</x:v>
      </x:c>
      <x:c r="T979" s="41" t="n">
        <x:f>IFERROR(I979-M979,"")</x:f>
        <x:v>5.709696999999999</x:v>
      </x:c>
      <x:c r="U979" s="41" t="n">
        <x:f>IFERROR(E979-M979,"")</x:f>
        <x:v>4.611835</x:v>
      </x:c>
      <x:c r="V979" s="41" t="str">
        <x:f>IF(AND(I979&gt;M979,J979&gt;N979),"Sí","No")</x:f>
        <x:v>Sí</x:v>
      </x:c>
      <x:c r="W979" s="41" t="str">
        <x:f>IF(AND(E979&gt;M979,F979&gt;N979),"Sí","No")</x:f>
        <x:v>Sí</x:v>
      </x:c>
      <x:c r="X979" s="41" t="str">
        <x:f>IF(L979&gt;=H979,"Weekly","No weekly")</x:f>
        <x:v>Weekly</x:v>
      </x:c>
      <x:c r="Y979" s="41" t="n">
        <x:f>IFERROR(I979-E979,"")</x:f>
        <x:v>1.0978619999999992</x:v>
      </x:c>
      <x:c r="Z979" s="41" t="n">
        <x:f>IFERROR(J979-F979,"")</x:f>
        <x:v>1.8655230000000032</x:v>
      </x:c>
      <x:c r="AA979" s="41" t="n">
        <x:v>11860</x:v>
      </x:c>
      <x:c r="AB979" s="41" t="n">
        <x:v>6342</x:v>
      </x:c>
    </x:row>
    <x:row r="980">
      <x:c r="A980" s="41" t="str">
        <x:v>HYP_REFINE_AUTO002_TOPN_6_V1_DDGRID_LONG_R13_C22_E78_CR40_REDD_RECOVERED_DD8_SL20</x:v>
      </x:c>
      <x:c r="B980" s="41" t="str">
        <x:v>dd_guard_grid</x:v>
      </x:c>
      <x:c r="C980" s="41" t="str">
        <x:v>1999-01-04</x:v>
      </x:c>
      <x:c r="D980" s="41" t="str">
        <x:v>2026-05-22</x:v>
      </x:c>
      <x:c r="E980" s="41" t="n">
        <x:v>12.187541</x:v>
      </x:c>
      <x:c r="F980" s="41" t="n">
        <x:v>-33.055814</x:v>
      </x:c>
      <x:c r="G980" s="41" t="n">
        <x:v>2230.286923</x:v>
      </x:c>
      <x:c r="H980" s="41" t="n">
        <x:f>IFERROR(E980/ABS(F980),"")</x:f>
        <x:v>0.3686958366839794</x:v>
      </x:c>
      <x:c r="I980" s="41" t="n">
        <x:v>12.911723</x:v>
      </x:c>
      <x:c r="J980" s="41" t="n">
        <x:v>-29.481704</x:v>
      </x:c>
      <x:c r="K980" s="41" t="n">
        <x:v>2679.176449</x:v>
      </x:c>
      <x:c r="L980" s="41" t="n">
        <x:f>IFERROR(I980/ABS(J980),"")</x:f>
        <x:v>0.43795714793147644</x:v>
      </x:c>
      <x:c r="M980" s="41" t="n">
        <x:v>6.802475</x:v>
      </x:c>
      <x:c r="N980" s="41" t="n">
        <x:v>-56.473669</x:v>
      </x:c>
      <x:c r="O980" s="41" t="n">
        <x:v>506.057416</x:v>
      </x:c>
      <x:c r="P980" s="41" t="n">
        <x:f>IFERROR(M980/ABS(N980),"")</x:f>
        <x:v>0.12045392340278087</x:v>
      </x:c>
      <x:c r="Q980" s="41" t="str">
        <x:f>IF(L980&gt;=MAX(H980,P980),"Weekly",IF(H980&gt;=MAX(L980,P980),"No weekly","SPY"))</x:f>
        <x:v>Weekly</x:v>
      </x:c>
      <x:c r="R980" s="41" t="n">
        <x:f>IFERROR(L980-P980,"")</x:f>
        <x:v>0.31750322452869556</x:v>
      </x:c>
      <x:c r="S980" s="41" t="n">
        <x:f>IFERROR(H980-P980,"")</x:f>
        <x:v>0.24824191328119855</x:v>
      </x:c>
      <x:c r="T980" s="41" t="n">
        <x:f>IFERROR(I980-M980,"")</x:f>
        <x:v>6.109248</x:v>
      </x:c>
      <x:c r="U980" s="41" t="n">
        <x:f>IFERROR(E980-M980,"")</x:f>
        <x:v>5.385065999999999</x:v>
      </x:c>
      <x:c r="V980" s="41" t="str">
        <x:f>IF(AND(I980&gt;M980,J980&gt;N980),"Sí","No")</x:f>
        <x:v>Sí</x:v>
      </x:c>
      <x:c r="W980" s="41" t="str">
        <x:f>IF(AND(E980&gt;M980,F980&gt;N980),"Sí","No")</x:f>
        <x:v>Sí</x:v>
      </x:c>
      <x:c r="X980" s="41" t="str">
        <x:f>IF(L980&gt;=H980,"Weekly","No weekly")</x:f>
        <x:v>Weekly</x:v>
      </x:c>
      <x:c r="Y980" s="41" t="n">
        <x:f>IFERROR(I980-E980,"")</x:f>
        <x:v>0.7241820000000008</x:v>
      </x:c>
      <x:c r="Z980" s="41" t="n">
        <x:f>IFERROR(J980-F980,"")</x:f>
        <x:v>3.5741099999999975</x:v>
      </x:c>
      <x:c r="AA980" s="41" t="n">
        <x:v>11678</x:v>
      </x:c>
      <x:c r="AB980" s="41" t="n">
        <x:v>6047</x:v>
      </x:c>
    </x:row>
    <x:row r="981">
      <x:c r="A981" s="41" t="str">
        <x:v>HYP_REFINE_AUTO002_TOPN_6_V1_DDGRID_LONG_R13_C22_E80_CR40_REDD_RECOVERED_DD8_SL20</x:v>
      </x:c>
      <x:c r="B981" s="41" t="str">
        <x:v>dd_guard_grid</x:v>
      </x:c>
      <x:c r="C981" s="41" t="str">
        <x:v>1999-01-04</x:v>
      </x:c>
      <x:c r="D981" s="41" t="str">
        <x:v>2026-05-22</x:v>
      </x:c>
      <x:c r="E981" s="41" t="n">
        <x:v>11.93739</x:v>
      </x:c>
      <x:c r="F981" s="41" t="n">
        <x:v>-33.329993</x:v>
      </x:c>
      <x:c r="G981" s="41" t="n">
        <x:v>2092.134898</x:v>
      </x:c>
      <x:c r="H981" s="41" t="n">
        <x:f>IFERROR(E981/ABS(F981),"")</x:f>
        <x:v>0.3581575909721913</x:v>
      </x:c>
      <x:c r="I981" s="41" t="n">
        <x:v>12.745854</x:v>
      </x:c>
      <x:c r="J981" s="41" t="n">
        <x:v>-29.600381</x:v>
      </x:c>
      <x:c r="K981" s="41" t="n">
        <x:v>2569.538304</x:v>
      </x:c>
      <x:c r="L981" s="41" t="n">
        <x:f>IFERROR(I981/ABS(J981),"")</x:f>
        <x:v>0.43059763318587013</x:v>
      </x:c>
      <x:c r="M981" s="41" t="n">
        <x:v>6.802475</x:v>
      </x:c>
      <x:c r="N981" s="41" t="n">
        <x:v>-56.473669</x:v>
      </x:c>
      <x:c r="O981" s="41" t="n">
        <x:v>506.057416</x:v>
      </x:c>
      <x:c r="P981" s="41" t="n">
        <x:f>IFERROR(M981/ABS(N981),"")</x:f>
        <x:v>0.12045392340278087</x:v>
      </x:c>
      <x:c r="Q981" s="41" t="str">
        <x:f>IF(L981&gt;=MAX(H981,P981),"Weekly",IF(H981&gt;=MAX(L981,P981),"No weekly","SPY"))</x:f>
        <x:v>Weekly</x:v>
      </x:c>
      <x:c r="R981" s="41" t="n">
        <x:f>IFERROR(L981-P981,"")</x:f>
        <x:v>0.31014370978308925</x:v>
      </x:c>
      <x:c r="S981" s="41" t="n">
        <x:f>IFERROR(H981-P981,"")</x:f>
        <x:v>0.23770366756941042</x:v>
      </x:c>
      <x:c r="T981" s="41" t="n">
        <x:f>IFERROR(I981-M981,"")</x:f>
        <x:v>5.943378999999999</x:v>
      </x:c>
      <x:c r="U981" s="41" t="n">
        <x:f>IFERROR(E981-M981,"")</x:f>
        <x:v>5.134915</x:v>
      </x:c>
      <x:c r="V981" s="41" t="str">
        <x:f>IF(AND(I981&gt;M981,J981&gt;N981),"Sí","No")</x:f>
        <x:v>Sí</x:v>
      </x:c>
      <x:c r="W981" s="41" t="str">
        <x:f>IF(AND(E981&gt;M981,F981&gt;N981),"Sí","No")</x:f>
        <x:v>Sí</x:v>
      </x:c>
      <x:c r="X981" s="41" t="str">
        <x:f>IF(L981&gt;=H981,"Weekly","No weekly")</x:f>
        <x:v>Weekly</x:v>
      </x:c>
      <x:c r="Y981" s="41" t="n">
        <x:f>IFERROR(I981-E981,"")</x:f>
        <x:v>0.808463999999999</x:v>
      </x:c>
      <x:c r="Z981" s="41" t="n">
        <x:f>IFERROR(J981-F981,"")</x:f>
        <x:v>3.729612000000003</x:v>
      </x:c>
      <x:c r="AA981" s="41" t="n">
        <x:v>11729</x:v>
      </x:c>
      <x:c r="AB981" s="41" t="n">
        <x:v>6035</x:v>
      </x:c>
    </x:row>
    <x:row r="982">
      <x:c r="A982" s="41" t="str">
        <x:v>HYP_REFINE_AUTO002_TOPN_6_V1_DDGRID_LONG_R13_C23_E72_CR40_REDD_RECOVERED_DD8_SL22</x:v>
      </x:c>
      <x:c r="B982" s="41" t="str">
        <x:v>dd_guard_grid</x:v>
      </x:c>
      <x:c r="C982" s="41" t="str">
        <x:v>1999-01-04</x:v>
      </x:c>
      <x:c r="D982" s="41" t="str">
        <x:v>2026-05-22</x:v>
      </x:c>
      <x:c r="E982" s="41" t="n">
        <x:v>11.918589</x:v>
      </x:c>
      <x:c r="F982" s="41" t="n">
        <x:v>-33.796834</x:v>
      </x:c>
      <x:c r="G982" s="41" t="n">
        <x:v>2082.076582</x:v>
      </x:c>
      <x:c r="H982" s="41" t="n">
        <x:f>IFERROR(E982/ABS(F982),"")</x:f>
        <x:v>0.35265400895243626</x:v>
      </x:c>
      <x:c r="I982" s="41" t="n">
        <x:v>12.666349</x:v>
      </x:c>
      <x:c r="J982" s="41" t="n">
        <x:v>-27.832392</x:v>
      </x:c>
      <x:c r="K982" s="41" t="n">
        <x:v>2518.475457</x:v>
      </x:c>
      <x:c r="L982" s="41" t="n">
        <x:f>IFERROR(I982/ABS(J982),"")</x:f>
        <x:v>0.4550937986214049</x:v>
      </x:c>
      <x:c r="M982" s="41" t="n">
        <x:v>6.802475</x:v>
      </x:c>
      <x:c r="N982" s="41" t="n">
        <x:v>-56.473669</x:v>
      </x:c>
      <x:c r="O982" s="41" t="n">
        <x:v>506.057416</x:v>
      </x:c>
      <x:c r="P982" s="41" t="n">
        <x:f>IFERROR(M982/ABS(N982),"")</x:f>
        <x:v>0.12045392340278087</x:v>
      </x:c>
      <x:c r="Q982" s="41" t="str">
        <x:f>IF(L982&gt;=MAX(H982,P982),"Weekly",IF(H982&gt;=MAX(L982,P982),"No weekly","SPY"))</x:f>
        <x:v>Weekly</x:v>
      </x:c>
      <x:c r="R982" s="41" t="n">
        <x:f>IFERROR(L982-P982,"")</x:f>
        <x:v>0.33463987521862404</x:v>
      </x:c>
      <x:c r="S982" s="41" t="n">
        <x:f>IFERROR(H982-P982,"")</x:f>
        <x:v>0.23220008554965538</x:v>
      </x:c>
      <x:c r="T982" s="41" t="n">
        <x:f>IFERROR(I982-M982,"")</x:f>
        <x:v>5.863874</x:v>
      </x:c>
      <x:c r="U982" s="41" t="n">
        <x:f>IFERROR(E982-M982,"")</x:f>
        <x:v>5.1161140000000005</x:v>
      </x:c>
      <x:c r="V982" s="41" t="str">
        <x:f>IF(AND(I982&gt;M982,J982&gt;N982),"Sí","No")</x:f>
        <x:v>Sí</x:v>
      </x:c>
      <x:c r="W982" s="41" t="str">
        <x:f>IF(AND(E982&gt;M982,F982&gt;N982),"Sí","No")</x:f>
        <x:v>Sí</x:v>
      </x:c>
      <x:c r="X982" s="41" t="str">
        <x:f>IF(L982&gt;=H982,"Weekly","No weekly")</x:f>
        <x:v>Weekly</x:v>
      </x:c>
      <x:c r="Y982" s="41" t="n">
        <x:f>IFERROR(I982-E982,"")</x:f>
        <x:v>0.7477599999999995</x:v>
      </x:c>
      <x:c r="Z982" s="41" t="n">
        <x:f>IFERROR(J982-F982,"")</x:f>
        <x:v>5.964441999999998</x:v>
      </x:c>
      <x:c r="AA982" s="41" t="n">
        <x:v>11474</x:v>
      </x:c>
      <x:c r="AB982" s="41" t="n">
        <x:v>5794</x:v>
      </x:c>
    </x:row>
    <x:row r="983">
      <x:c r="A983" s="41" t="str">
        <x:v>HYP_REFINE_AUTO002_TOPN_6_V1_DDGRID_LONG_R13_C23_E75_CR40_REDD_RECOVERED_DD7_SL18</x:v>
      </x:c>
      <x:c r="B983" s="41" t="str">
        <x:v>dd_guard_grid</x:v>
      </x:c>
      <x:c r="C983" s="41" t="str">
        <x:v>1999-01-04</x:v>
      </x:c>
      <x:c r="D983" s="41" t="str">
        <x:v>2026-05-22</x:v>
      </x:c>
      <x:c r="E983" s="41" t="n">
        <x:v>12.739385</x:v>
      </x:c>
      <x:c r="F983" s="41" t="n">
        <x:v>-33.120684</x:v>
      </x:c>
      <x:c r="G983" s="41" t="n">
        <x:v>2565.347923</x:v>
      </x:c>
      <x:c r="H983" s="41" t="n">
        <x:f>IFERROR(E983/ABS(F983),"")</x:f>
        <x:v>0.3846353233526216</x:v>
      </x:c>
      <x:c r="I983" s="41" t="n">
        <x:v>11.895723</x:v>
      </x:c>
      <x:c r="J983" s="41" t="n">
        <x:v>-30.389067</x:v>
      </x:c>
      <x:c r="K983" s="41" t="n">
        <x:v>2069.903676</x:v>
      </x:c>
      <x:c r="L983" s="41" t="n">
        <x:f>IFERROR(I983/ABS(J983),"")</x:f>
        <x:v>0.3914474570739536</x:v>
      </x:c>
      <x:c r="M983" s="41" t="n">
        <x:v>6.802475</x:v>
      </x:c>
      <x:c r="N983" s="41" t="n">
        <x:v>-56.473669</x:v>
      </x:c>
      <x:c r="O983" s="41" t="n">
        <x:v>506.057416</x:v>
      </x:c>
      <x:c r="P983" s="41" t="n">
        <x:f>IFERROR(M983/ABS(N983),"")</x:f>
        <x:v>0.12045392340278087</x:v>
      </x:c>
      <x:c r="Q983" s="41" t="str">
        <x:f>IF(L983&gt;=MAX(H983,P983),"Weekly",IF(H983&gt;=MAX(L983,P983),"No weekly","SPY"))</x:f>
        <x:v>Weekly</x:v>
      </x:c>
      <x:c r="R983" s="41" t="n">
        <x:f>IFERROR(L983-P983,"")</x:f>
        <x:v>0.27099353367117274</x:v>
      </x:c>
      <x:c r="S983" s="41" t="n">
        <x:f>IFERROR(H983-P983,"")</x:f>
        <x:v>0.26418139994984075</x:v>
      </x:c>
      <x:c r="T983" s="41" t="n">
        <x:f>IFERROR(I983-M983,"")</x:f>
        <x:v>5.093248</x:v>
      </x:c>
      <x:c r="U983" s="41" t="n">
        <x:f>IFERROR(E983-M983,"")</x:f>
        <x:v>5.93691</x:v>
      </x:c>
      <x:c r="V983" s="41" t="str">
        <x:f>IF(AND(I983&gt;M983,J983&gt;N983),"Sí","No")</x:f>
        <x:v>Sí</x:v>
      </x:c>
      <x:c r="W983" s="41" t="str">
        <x:f>IF(AND(E983&gt;M983,F983&gt;N983),"Sí","No")</x:f>
        <x:v>Sí</x:v>
      </x:c>
      <x:c r="X983" s="41" t="str">
        <x:f>IF(L983&gt;=H983,"Weekly","No weekly")</x:f>
        <x:v>Weekly</x:v>
      </x:c>
      <x:c r="Y983" s="41" t="n">
        <x:f>IFERROR(I983-E983,"")</x:f>
        <x:v>-0.8436620000000001</x:v>
      </x:c>
      <x:c r="Z983" s="41" t="n">
        <x:f>IFERROR(J983-F983,"")</x:f>
        <x:v>2.7316169999999964</x:v>
      </x:c>
      <x:c r="AA983" s="41" t="n">
        <x:v>12084</x:v>
      </x:c>
      <x:c r="AB983" s="41" t="n">
        <x:v>5406</x:v>
      </x:c>
    </x:row>
    <x:row r="984">
      <x:c r="A984" s="41" t="str">
        <x:v>HYP_REFINE_AUTO002_TOPN_6_V1_DDGRID_LONG_R13_C23_E75_CR40_REDD_RECOVERED_DD7_SL22</x:v>
      </x:c>
      <x:c r="B984" s="41" t="str">
        <x:v>dd_guard_grid</x:v>
      </x:c>
      <x:c r="C984" s="41" t="str">
        <x:v>1999-01-04</x:v>
      </x:c>
      <x:c r="D984" s="41" t="str">
        <x:v>2026-05-22</x:v>
      </x:c>
      <x:c r="E984" s="41" t="n">
        <x:v>12.321498</x:v>
      </x:c>
      <x:c r="F984" s="41" t="n">
        <x:v>-34.327584</x:v>
      </x:c>
      <x:c r="G984" s="41" t="n">
        <x:v>2307.679035</x:v>
      </x:c>
      <x:c r="H984" s="41" t="n">
        <x:f>IFERROR(E984/ABS(F984),"")</x:f>
        <x:v>0.35893868907290416</x:v>
      </x:c>
      <x:c r="I984" s="41" t="n">
        <x:v>13.019165</x:v>
      </x:c>
      <x:c r="J984" s="41" t="n">
        <x:v>-28.108438</x:v>
      </x:c>
      <x:c r="K984" s="41" t="n">
        <x:v>2752.495751</x:v>
      </x:c>
      <x:c r="L984" s="41" t="n">
        <x:f>IFERROR(I984/ABS(J984),"")</x:f>
        <x:v>0.46317639564318724</x:v>
      </x:c>
      <x:c r="M984" s="41" t="n">
        <x:v>6.802475</x:v>
      </x:c>
      <x:c r="N984" s="41" t="n">
        <x:v>-56.473669</x:v>
      </x:c>
      <x:c r="O984" s="41" t="n">
        <x:v>506.057416</x:v>
      </x:c>
      <x:c r="P984" s="41" t="n">
        <x:f>IFERROR(M984/ABS(N984),"")</x:f>
        <x:v>0.12045392340278087</x:v>
      </x:c>
      <x:c r="Q984" s="41" t="str">
        <x:f>IF(L984&gt;=MAX(H984,P984),"Weekly",IF(H984&gt;=MAX(L984,P984),"No weekly","SPY"))</x:f>
        <x:v>Weekly</x:v>
      </x:c>
      <x:c r="R984" s="41" t="n">
        <x:f>IFERROR(L984-P984,"")</x:f>
        <x:v>0.34272247224040636</x:v>
      </x:c>
      <x:c r="S984" s="41" t="n">
        <x:f>IFERROR(H984-P984,"")</x:f>
        <x:v>0.23848476567012328</x:v>
      </x:c>
      <x:c r="T984" s="41" t="n">
        <x:f>IFERROR(I984-M984,"")</x:f>
        <x:v>6.216689999999999</x:v>
      </x:c>
      <x:c r="U984" s="41" t="n">
        <x:f>IFERROR(E984-M984,"")</x:f>
        <x:v>5.519023</x:v>
      </x:c>
      <x:c r="V984" s="41" t="str">
        <x:f>IF(AND(I984&gt;M984,J984&gt;N984),"Sí","No")</x:f>
        <x:v>Sí</x:v>
      </x:c>
      <x:c r="W984" s="41" t="str">
        <x:f>IF(AND(E984&gt;M984,F984&gt;N984),"Sí","No")</x:f>
        <x:v>Sí</x:v>
      </x:c>
      <x:c r="X984" s="41" t="str">
        <x:f>IF(L984&gt;=H984,"Weekly","No weekly")</x:f>
        <x:v>Weekly</x:v>
      </x:c>
      <x:c r="Y984" s="41" t="n">
        <x:f>IFERROR(I984-E984,"")</x:f>
        <x:v>0.6976669999999991</x:v>
      </x:c>
      <x:c r="Z984" s="41" t="n">
        <x:f>IFERROR(J984-F984,"")</x:f>
        <x:v>6.219146000000002</x:v>
      </x:c>
      <x:c r="AA984" s="41" t="n">
        <x:v>11491</x:v>
      </x:c>
      <x:c r="AB984" s="41" t="n">
        <x:v>5959</x:v>
      </x:c>
    </x:row>
    <x:row r="985">
      <x:c r="A985" s="41" t="str">
        <x:v>HYP_REFINE_AUTO002_TOPN_6_V1_DDGRID_LONG_R13_C23_E75_CR40_REDD_RECOVERED_DD8_SL18</x:v>
      </x:c>
      <x:c r="B985" s="41" t="str">
        <x:v>dd_guard_grid</x:v>
      </x:c>
      <x:c r="C985" s="41" t="str">
        <x:v>1999-01-04</x:v>
      </x:c>
      <x:c r="D985" s="41" t="str">
        <x:v>2026-05-22</x:v>
      </x:c>
      <x:c r="E985" s="41" t="n">
        <x:v>10.872292</x:v>
      </x:c>
      <x:c r="F985" s="41" t="n">
        <x:v>-33.120684</x:v>
      </x:c>
      <x:c r="G985" s="41" t="n">
        <x:v>1587.281606</x:v>
      </x:c>
      <x:c r="H985" s="41" t="n">
        <x:f>IFERROR(E985/ABS(F985),"")</x:f>
        <x:v>0.3282629066477009</x:v>
      </x:c>
      <x:c r="I985" s="41" t="n">
        <x:v>12.435052</x:v>
      </x:c>
      <x:c r="J985" s="41" t="n">
        <x:v>-30.389067</x:v>
      </x:c>
      <x:c r="K985" s="41" t="n">
        <x:v>2375.217025</x:v>
      </x:c>
      <x:c r="L985" s="41" t="n">
        <x:f>IFERROR(I985/ABS(J985),"")</x:f>
        <x:v>0.40919492526703766</x:v>
      </x:c>
      <x:c r="M985" s="41" t="n">
        <x:v>6.802475</x:v>
      </x:c>
      <x:c r="N985" s="41" t="n">
        <x:v>-56.473669</x:v>
      </x:c>
      <x:c r="O985" s="41" t="n">
        <x:v>506.057416</x:v>
      </x:c>
      <x:c r="P985" s="41" t="n">
        <x:f>IFERROR(M985/ABS(N985),"")</x:f>
        <x:v>0.12045392340278087</x:v>
      </x:c>
      <x:c r="Q985" s="41" t="str">
        <x:f>IF(L985&gt;=MAX(H985,P985),"Weekly",IF(H985&gt;=MAX(L985,P985),"No weekly","SPY"))</x:f>
        <x:v>Weekly</x:v>
      </x:c>
      <x:c r="R985" s="41" t="n">
        <x:f>IFERROR(L985-P985,"")</x:f>
        <x:v>0.2887410018642568</x:v>
      </x:c>
      <x:c r="S985" s="41" t="n">
        <x:f>IFERROR(H985-P985,"")</x:f>
        <x:v>0.20780898324492003</x:v>
      </x:c>
      <x:c r="T985" s="41" t="n">
        <x:f>IFERROR(I985-M985,"")</x:f>
        <x:v>5.632577</x:v>
      </x:c>
      <x:c r="U985" s="41" t="n">
        <x:f>IFERROR(E985-M985,"")</x:f>
        <x:v>4.069817</x:v>
      </x:c>
      <x:c r="V985" s="41" t="str">
        <x:f>IF(AND(I985&gt;M985,J985&gt;N985),"Sí","No")</x:f>
        <x:v>Sí</x:v>
      </x:c>
      <x:c r="W985" s="41" t="str">
        <x:f>IF(AND(E985&gt;M985,F985&gt;N985),"Sí","No")</x:f>
        <x:v>Sí</x:v>
      </x:c>
      <x:c r="X985" s="41" t="str">
        <x:f>IF(L985&gt;=H985,"Weekly","No weekly")</x:f>
        <x:v>Weekly</x:v>
      </x:c>
      <x:c r="Y985" s="41" t="n">
        <x:f>IFERROR(I985-E985,"")</x:f>
        <x:v>1.5627600000000008</x:v>
      </x:c>
      <x:c r="Z985" s="41" t="n">
        <x:f>IFERROR(J985-F985,"")</x:f>
        <x:v>2.7316169999999964</x:v>
      </x:c>
      <x:c r="AA985" s="41" t="n">
        <x:v>11769</x:v>
      </x:c>
      <x:c r="AB985" s="41" t="n">
        <x:v>5819</x:v>
      </x:c>
    </x:row>
    <x:row r="986">
      <x:c r="A986" s="41" t="str">
        <x:v>HYP_REFINE_AUTO002_TOPN_6_V1_DDGRID_LONG_R13_C23_E75_CR40_REDD_RECOVERED_DD8_SL20</x:v>
      </x:c>
      <x:c r="B986" s="41" t="str">
        <x:v>dd_guard_grid</x:v>
      </x:c>
      <x:c r="C986" s="41" t="str">
        <x:v>1999-01-04</x:v>
      </x:c>
      <x:c r="D986" s="41" t="str">
        <x:v>2026-05-22</x:v>
      </x:c>
      <x:c r="E986" s="41" t="n">
        <x:v>12.339667</x:v>
      </x:c>
      <x:c r="F986" s="41" t="n">
        <x:v>-33.768143</x:v>
      </x:c>
      <x:c r="G986" s="41" t="n">
        <x:v>2318.364261</x:v>
      </x:c>
      <x:c r="H986" s="41" t="n">
        <x:f>IFERROR(E986/ABS(F986),"")</x:f>
        <x:v>0.36542332221229934</x:v>
      </x:c>
      <x:c r="I986" s="41" t="n">
        <x:v>13.366354</x:v>
      </x:c>
      <x:c r="J986" s="41" t="n">
        <x:v>-30.056923</x:v>
      </x:c>
      <x:c r="K986" s="41" t="n">
        <x:v>3002.383769</x:v>
      </x:c>
      <x:c r="L986" s="41" t="n">
        <x:f>IFERROR(I986/ABS(J986),"")</x:f>
        <x:v>0.44470134218329666</x:v>
      </x:c>
      <x:c r="M986" s="41" t="n">
        <x:v>6.802475</x:v>
      </x:c>
      <x:c r="N986" s="41" t="n">
        <x:v>-56.473669</x:v>
      </x:c>
      <x:c r="O986" s="41" t="n">
        <x:v>506.057416</x:v>
      </x:c>
      <x:c r="P986" s="41" t="n">
        <x:f>IFERROR(M986/ABS(N986),"")</x:f>
        <x:v>0.12045392340278087</x:v>
      </x:c>
      <x:c r="Q986" s="41" t="str">
        <x:f>IF(L986&gt;=MAX(H986,P986),"Weekly",IF(H986&gt;=MAX(L986,P986),"No weekly","SPY"))</x:f>
        <x:v>Weekly</x:v>
      </x:c>
      <x:c r="R986" s="41" t="n">
        <x:f>IFERROR(L986-P986,"")</x:f>
        <x:v>0.3242474187805158</x:v>
      </x:c>
      <x:c r="S986" s="41" t="n">
        <x:f>IFERROR(H986-P986,"")</x:f>
        <x:v>0.24496939880951846</x:v>
      </x:c>
      <x:c r="T986" s="41" t="n">
        <x:f>IFERROR(I986-M986,"")</x:f>
        <x:v>6.563878999999999</x:v>
      </x:c>
      <x:c r="U986" s="41" t="n">
        <x:f>IFERROR(E986-M986,"")</x:f>
        <x:v>5.537192</x:v>
      </x:c>
      <x:c r="V986" s="41" t="str">
        <x:f>IF(AND(I986&gt;M986,J986&gt;N986),"Sí","No")</x:f>
        <x:v>Sí</x:v>
      </x:c>
      <x:c r="W986" s="41" t="str">
        <x:f>IF(AND(E986&gt;M986,F986&gt;N986),"Sí","No")</x:f>
        <x:v>Sí</x:v>
      </x:c>
      <x:c r="X986" s="41" t="str">
        <x:f>IF(L986&gt;=H986,"Weekly","No weekly")</x:f>
        <x:v>Weekly</x:v>
      </x:c>
      <x:c r="Y986" s="41" t="n">
        <x:f>IFERROR(I986-E986,"")</x:f>
        <x:v>1.026686999999999</x:v>
      </x:c>
      <x:c r="Z986" s="41" t="n">
        <x:f>IFERROR(J986-F986,"")</x:f>
        <x:v>3.711220000000001</x:v>
      </x:c>
      <x:c r="AA986" s="41" t="n">
        <x:v>11334</x:v>
      </x:c>
      <x:c r="AB986" s="41" t="n">
        <x:v>5740</x:v>
      </x:c>
    </x:row>
    <x:row r="987">
      <x:c r="A987" s="41" t="str">
        <x:v>HYP_REFINE_AUTO002_TOPN_6_V1_DDGRID_LONG_R13_C23_E75_CR40_REDD_RECOVERED_DD8_SL22</x:v>
      </x:c>
      <x:c r="B987" s="41" t="str">
        <x:v>dd_guard_grid</x:v>
      </x:c>
      <x:c r="C987" s="41" t="str">
        <x:v>1999-01-04</x:v>
      </x:c>
      <x:c r="D987" s="41" t="str">
        <x:v>2026-05-22</x:v>
      </x:c>
      <x:c r="E987" s="41" t="n">
        <x:v>12.394506</x:v>
      </x:c>
      <x:c r="F987" s="41" t="n">
        <x:v>-34.327584</x:v>
      </x:c>
      <x:c r="G987" s="41" t="n">
        <x:v>2350.894722</x:v>
      </x:c>
      <x:c r="H987" s="41" t="n">
        <x:f>IFERROR(E987/ABS(F987),"")</x:f>
        <x:v>0.3610654918213877</x:v>
      </x:c>
      <x:c r="I987" s="41" t="n">
        <x:v>13.213188</x:v>
      </x:c>
      <x:c r="J987" s="41" t="n">
        <x:v>-28.108438</x:v>
      </x:c>
      <x:c r="K987" s="41" t="n">
        <x:v>2889.647302</x:v>
      </x:c>
      <x:c r="L987" s="41" t="n">
        <x:f>IFERROR(I987/ABS(J987),"")</x:f>
        <x:v>0.4700790559760027</x:v>
      </x:c>
      <x:c r="M987" s="41" t="n">
        <x:v>6.802475</x:v>
      </x:c>
      <x:c r="N987" s="41" t="n">
        <x:v>-56.473669</x:v>
      </x:c>
      <x:c r="O987" s="41" t="n">
        <x:v>506.057416</x:v>
      </x:c>
      <x:c r="P987" s="41" t="n">
        <x:f>IFERROR(M987/ABS(N987),"")</x:f>
        <x:v>0.12045392340278087</x:v>
      </x:c>
      <x:c r="Q987" s="41" t="str">
        <x:f>IF(L987&gt;=MAX(H987,P987),"Weekly",IF(H987&gt;=MAX(L987,P987),"No weekly","SPY"))</x:f>
        <x:v>Weekly</x:v>
      </x:c>
      <x:c r="R987" s="41" t="n">
        <x:f>IFERROR(L987-P987,"")</x:f>
        <x:v>0.3496251325732218</x:v>
      </x:c>
      <x:c r="S987" s="41" t="n">
        <x:f>IFERROR(H987-P987,"")</x:f>
        <x:v>0.2406115684186068</x:v>
      </x:c>
      <x:c r="T987" s="41" t="n">
        <x:f>IFERROR(I987-M987,"")</x:f>
        <x:v>6.410713</x:v>
      </x:c>
      <x:c r="U987" s="41" t="n">
        <x:f>IFERROR(E987-M987,"")</x:f>
        <x:v>5.5920309999999995</x:v>
      </x:c>
      <x:c r="V987" s="41" t="str">
        <x:f>IF(AND(I987&gt;M987,J987&gt;N987),"Sí","No")</x:f>
        <x:v>Sí</x:v>
      </x:c>
      <x:c r="W987" s="41" t="str">
        <x:f>IF(AND(E987&gt;M987,F987&gt;N987),"Sí","No")</x:f>
        <x:v>Sí</x:v>
      </x:c>
      <x:c r="X987" s="41" t="str">
        <x:f>IF(L987&gt;=H987,"Weekly","No weekly")</x:f>
        <x:v>Weekly</x:v>
      </x:c>
      <x:c r="Y987" s="41" t="n">
        <x:f>IFERROR(I987-E987,"")</x:f>
        <x:v>0.8186820000000008</x:v>
      </x:c>
      <x:c r="Z987" s="41" t="n">
        <x:f>IFERROR(J987-F987,"")</x:f>
        <x:v>6.219146000000002</x:v>
      </x:c>
      <x:c r="AA987" s="41" t="n">
        <x:v>11400</x:v>
      </x:c>
      <x:c r="AB987" s="41" t="n">
        <x:v>5753</x:v>
      </x:c>
    </x:row>
    <x:row r="988">
      <x:c r="A988" s="41" t="str">
        <x:v>HYP_REFINE_AUTO002_TOPN_6_V1_DDGRID_LONG_R13_C23_E75_CR40_REDD_RECOVERED_DD8_SL24</x:v>
      </x:c>
      <x:c r="B988" s="41" t="str">
        <x:v>dd_guard_grid</x:v>
      </x:c>
      <x:c r="C988" s="41" t="str">
        <x:v>1999-01-04</x:v>
      </x:c>
      <x:c r="D988" s="41" t="str">
        <x:v>2026-05-22</x:v>
      </x:c>
      <x:c r="E988" s="41" t="n">
        <x:v>12.169088</x:v>
      </x:c>
      <x:c r="F988" s="41" t="n">
        <x:v>-34.139571</x:v>
      </x:c>
      <x:c r="G988" s="41" t="n">
        <x:v>2219.815765</x:v>
      </x:c>
      <x:c r="H988" s="41" t="n">
        <x:f>IFERROR(E988/ABS(F988),"")</x:f>
        <x:v>0.3564511106481098</x:v>
      </x:c>
      <x:c r="I988" s="41" t="n">
        <x:v>13.554684</x:v>
      </x:c>
      <x:c r="J988" s="41" t="n">
        <x:v>-30.385878</x:v>
      </x:c>
      <x:c r="K988" s="41" t="n">
        <x:v>3146.623797</x:v>
      </x:c>
      <x:c r="L988" s="41" t="n">
        <x:f>IFERROR(I988/ABS(J988),"")</x:f>
        <x:v>0.44608498724308704</x:v>
      </x:c>
      <x:c r="M988" s="41" t="n">
        <x:v>6.802475</x:v>
      </x:c>
      <x:c r="N988" s="41" t="n">
        <x:v>-56.473669</x:v>
      </x:c>
      <x:c r="O988" s="41" t="n">
        <x:v>506.057416</x:v>
      </x:c>
      <x:c r="P988" s="41" t="n">
        <x:f>IFERROR(M988/ABS(N988),"")</x:f>
        <x:v>0.12045392340278087</x:v>
      </x:c>
      <x:c r="Q988" s="41" t="str">
        <x:f>IF(L988&gt;=MAX(H988,P988),"Weekly",IF(H988&gt;=MAX(L988,P988),"No weekly","SPY"))</x:f>
        <x:v>Weekly</x:v>
      </x:c>
      <x:c r="R988" s="41" t="n">
        <x:f>IFERROR(L988-P988,"")</x:f>
        <x:v>0.32563106384030616</x:v>
      </x:c>
      <x:c r="S988" s="41" t="n">
        <x:f>IFERROR(H988-P988,"")</x:f>
        <x:v>0.23599718724532892</x:v>
      </x:c>
      <x:c r="T988" s="41" t="n">
        <x:f>IFERROR(I988-M988,"")</x:f>
        <x:v>6.752209</x:v>
      </x:c>
      <x:c r="U988" s="41" t="n">
        <x:f>IFERROR(E988-M988,"")</x:f>
        <x:v>5.366613</x:v>
      </x:c>
      <x:c r="V988" s="41" t="str">
        <x:f>IF(AND(I988&gt;M988,J988&gt;N988),"Sí","No")</x:f>
        <x:v>Sí</x:v>
      </x:c>
      <x:c r="W988" s="41" t="str">
        <x:f>IF(AND(E988&gt;M988,F988&gt;N988),"Sí","No")</x:f>
        <x:v>Sí</x:v>
      </x:c>
      <x:c r="X988" s="41" t="str">
        <x:f>IF(L988&gt;=H988,"Weekly","No weekly")</x:f>
        <x:v>Weekly</x:v>
      </x:c>
      <x:c r="Y988" s="41" t="n">
        <x:f>IFERROR(I988-E988,"")</x:f>
        <x:v>1.3855959999999996</x:v>
      </x:c>
      <x:c r="Z988" s="41" t="n">
        <x:f>IFERROR(J988-F988,"")</x:f>
        <x:v>3.753692999999995</x:v>
      </x:c>
      <x:c r="AA988" s="41" t="n">
        <x:v>11714</x:v>
      </x:c>
      <x:c r="AB988" s="41" t="n">
        <x:v>6000</x:v>
      </x:c>
    </x:row>
    <x:row r="989">
      <x:c r="A989" s="41" t="str">
        <x:v>HYP_REFINE_AUTO002_TOPN_6_V1_DDGRID_LONG_R13_C23_E75_CR40_REDD_RECOVERED_DD8_SLNONE</x:v>
      </x:c>
      <x:c r="B989" s="41" t="str">
        <x:v>dd_guard_grid</x:v>
      </x:c>
      <x:c r="C989" s="41" t="str">
        <x:v>1999-01-04</x:v>
      </x:c>
      <x:c r="D989" s="41" t="str">
        <x:v>2026-05-22</x:v>
      </x:c>
      <x:c r="E989" s="41" t="n">
        <x:v>12.513665</x:v>
      </x:c>
      <x:c r="F989" s="41" t="n">
        <x:v>-34.428645</x:v>
      </x:c>
      <x:c r="G989" s="41" t="n">
        <x:v>2423.038734</x:v>
      </x:c>
      <x:c r="H989" s="41" t="n">
        <x:f>IFERROR(E989/ABS(F989),"")</x:f>
        <x:v>0.36346667143014194</x:v>
      </x:c>
      <x:c r="I989" s="41" t="n">
        <x:v>13.911103</x:v>
      </x:c>
      <x:c r="J989" s="41" t="n">
        <x:v>-30.377743</x:v>
      </x:c>
      <x:c r="K989" s="41" t="n">
        <x:v>3437.481763</x:v>
      </x:c>
      <x:c r="L989" s="41" t="n">
        <x:f>IFERROR(I989/ABS(J989),"")</x:f>
        <x:v>0.4579373457731867</x:v>
      </x:c>
      <x:c r="M989" s="41" t="n">
        <x:v>6.802475</x:v>
      </x:c>
      <x:c r="N989" s="41" t="n">
        <x:v>-56.473669</x:v>
      </x:c>
      <x:c r="O989" s="41" t="n">
        <x:v>506.057416</x:v>
      </x:c>
      <x:c r="P989" s="41" t="n">
        <x:f>IFERROR(M989/ABS(N989),"")</x:f>
        <x:v>0.12045392340278087</x:v>
      </x:c>
      <x:c r="Q989" s="41" t="str">
        <x:f>IF(L989&gt;=MAX(H989,P989),"Weekly",IF(H989&gt;=MAX(L989,P989),"No weekly","SPY"))</x:f>
        <x:v>Weekly</x:v>
      </x:c>
      <x:c r="R989" s="41" t="n">
        <x:f>IFERROR(L989-P989,"")</x:f>
        <x:v>0.3374834223704058</x:v>
      </x:c>
      <x:c r="S989" s="41" t="n">
        <x:f>IFERROR(H989-P989,"")</x:f>
        <x:v>0.24301274802736106</x:v>
      </x:c>
      <x:c r="T989" s="41" t="n">
        <x:f>IFERROR(I989-M989,"")</x:f>
        <x:v>7.108628</x:v>
      </x:c>
      <x:c r="U989" s="41" t="n">
        <x:f>IFERROR(E989-M989,"")</x:f>
        <x:v>5.711189999999999</x:v>
      </x:c>
      <x:c r="V989" s="41" t="str">
        <x:f>IF(AND(I989&gt;M989,J989&gt;N989),"Sí","No")</x:f>
        <x:v>Sí</x:v>
      </x:c>
      <x:c r="W989" s="41" t="str">
        <x:f>IF(AND(E989&gt;M989,F989&gt;N989),"Sí","No")</x:f>
        <x:v>Sí</x:v>
      </x:c>
      <x:c r="X989" s="41" t="str">
        <x:f>IF(L989&gt;=H989,"Weekly","No weekly")</x:f>
        <x:v>Weekly</x:v>
      </x:c>
      <x:c r="Y989" s="41" t="n">
        <x:f>IFERROR(I989-E989,"")</x:f>
        <x:v>1.397438000000001</x:v>
      </x:c>
      <x:c r="Z989" s="41" t="n">
        <x:f>IFERROR(J989-F989,"")</x:f>
        <x:v>4.050902000000004</x:v>
      </x:c>
      <x:c r="AA989" s="41" t="n">
        <x:v>11802</x:v>
      </x:c>
      <x:c r="AB989" s="41" t="n">
        <x:v>6193</x:v>
      </x:c>
    </x:row>
    <x:row r="990">
      <x:c r="A990" s="41" t="str">
        <x:v>HYP_REFINE_AUTO002_TOPN_6_V1_DDGRID_LONG_R13_C23_E75_CR40_REDD_RECOVERED_DD9_SL22</x:v>
      </x:c>
      <x:c r="B990" s="41" t="str">
        <x:v>dd_guard_grid</x:v>
      </x:c>
      <x:c r="C990" s="41" t="str">
        <x:v>1999-01-04</x:v>
      </x:c>
      <x:c r="D990" s="41" t="str">
        <x:v>2026-05-22</x:v>
      </x:c>
      <x:c r="E990" s="41" t="n">
        <x:v>13.532286</x:v>
      </x:c>
      <x:c r="F990" s="41" t="n">
        <x:v>-34.327584</x:v>
      </x:c>
      <x:c r="G990" s="41" t="n">
        <x:v>3129.136978</x:v>
      </x:c>
      <x:c r="H990" s="41" t="n">
        <x:f>IFERROR(E990/ABS(F990),"")</x:f>
        <x:v>0.39421026542386434</x:v>
      </x:c>
      <x:c r="I990" s="41" t="n">
        <x:v>12.991113</x:v>
      </x:c>
      <x:c r="J990" s="41" t="n">
        <x:v>-28.108438</x:v>
      </x:c>
      <x:c r="K990" s="41" t="n">
        <x:v>2733.175134</x:v>
      </x:c>
      <x:c r="L990" s="41" t="n">
        <x:f>IFERROR(I990/ABS(J990),"")</x:f>
        <x:v>0.4621784035100065</x:v>
      </x:c>
      <x:c r="M990" s="41" t="n">
        <x:v>6.802475</x:v>
      </x:c>
      <x:c r="N990" s="41" t="n">
        <x:v>-56.473669</x:v>
      </x:c>
      <x:c r="O990" s="41" t="n">
        <x:v>506.057416</x:v>
      </x:c>
      <x:c r="P990" s="41" t="n">
        <x:f>IFERROR(M990/ABS(N990),"")</x:f>
        <x:v>0.12045392340278087</x:v>
      </x:c>
      <x:c r="Q990" s="41" t="str">
        <x:f>IF(L990&gt;=MAX(H990,P990),"Weekly",IF(H990&gt;=MAX(L990,P990),"No weekly","SPY"))</x:f>
        <x:v>Weekly</x:v>
      </x:c>
      <x:c r="R990" s="41" t="n">
        <x:f>IFERROR(L990-P990,"")</x:f>
        <x:v>0.3417244801072256</x:v>
      </x:c>
      <x:c r="S990" s="41" t="n">
        <x:f>IFERROR(H990-P990,"")</x:f>
        <x:v>0.27375634202108345</x:v>
      </x:c>
      <x:c r="T990" s="41" t="n">
        <x:f>IFERROR(I990-M990,"")</x:f>
        <x:v>6.188638</x:v>
      </x:c>
      <x:c r="U990" s="41" t="n">
        <x:f>IFERROR(E990-M990,"")</x:f>
        <x:v>6.729810999999999</x:v>
      </x:c>
      <x:c r="V990" s="41" t="str">
        <x:f>IF(AND(I990&gt;M990,J990&gt;N990),"Sí","No")</x:f>
        <x:v>Sí</x:v>
      </x:c>
      <x:c r="W990" s="41" t="str">
        <x:f>IF(AND(E990&gt;M990,F990&gt;N990),"Sí","No")</x:f>
        <x:v>Sí</x:v>
      </x:c>
      <x:c r="X990" s="41" t="str">
        <x:f>IF(L990&gt;=H990,"Weekly","No weekly")</x:f>
        <x:v>Weekly</x:v>
      </x:c>
      <x:c r="Y990" s="41" t="n">
        <x:f>IFERROR(I990-E990,"")</x:f>
        <x:v>-0.5411729999999988</x:v>
      </x:c>
      <x:c r="Z990" s="41" t="n">
        <x:f>IFERROR(J990-F990,"")</x:f>
        <x:v>6.219146000000002</x:v>
      </x:c>
      <x:c r="AA990" s="41" t="n">
        <x:v>11330</x:v>
      </x:c>
      <x:c r="AB990" s="41" t="n">
        <x:v>5439</x:v>
      </x:c>
    </x:row>
    <x:row r="991">
      <x:c r="A991" s="41" t="str">
        <x:v>HYP_REFINE_AUTO002_TOPN_6_V1_DDGRID_LONG_R13_C23_E75_CR42_REDD_RECOVERED_DD8_SL22</x:v>
      </x:c>
      <x:c r="B991" s="41" t="str">
        <x:v>dd_guard_grid</x:v>
      </x:c>
      <x:c r="C991" s="41" t="str">
        <x:v>1999-01-04</x:v>
      </x:c>
      <x:c r="D991" s="41" t="str">
        <x:v>2026-05-22</x:v>
      </x:c>
      <x:c r="E991" s="41" t="n">
        <x:v>12.476981</x:v>
      </x:c>
      <x:c r="F991" s="41" t="n">
        <x:v>-34.588702</x:v>
      </x:c>
      <x:c r="G991" s="41" t="n">
        <x:v>2400.613691</x:v>
      </x:c>
      <x:c r="H991" s="41" t="n">
        <x:f>IFERROR(E991/ABS(F991),"")</x:f>
        <x:v>0.36072417519454764</x:v>
      </x:c>
      <x:c r="I991" s="41" t="n">
        <x:v>13.407014</x:v>
      </x:c>
      <x:c r="J991" s="41" t="n">
        <x:v>-30.641357</x:v>
      </x:c>
      <x:c r="K991" s="41" t="n">
        <x:v>3032.99285</x:v>
      </x:c>
      <x:c r="L991" s="41" t="n">
        <x:f>IFERROR(I991/ABS(J991),"")</x:f>
        <x:v>0.4375463527937095</x:v>
      </x:c>
      <x:c r="M991" s="41" t="n">
        <x:v>6.802475</x:v>
      </x:c>
      <x:c r="N991" s="41" t="n">
        <x:v>-56.473669</x:v>
      </x:c>
      <x:c r="O991" s="41" t="n">
        <x:v>506.057416</x:v>
      </x:c>
      <x:c r="P991" s="41" t="n">
        <x:f>IFERROR(M991/ABS(N991),"")</x:f>
        <x:v>0.12045392340278087</x:v>
      </x:c>
      <x:c r="Q991" s="41" t="str">
        <x:f>IF(L991&gt;=MAX(H991,P991),"Weekly",IF(H991&gt;=MAX(L991,P991),"No weekly","SPY"))</x:f>
        <x:v>Weekly</x:v>
      </x:c>
      <x:c r="R991" s="41" t="n">
        <x:f>IFERROR(L991-P991,"")</x:f>
        <x:v>0.31709242939092863</x:v>
      </x:c>
      <x:c r="S991" s="41" t="n">
        <x:f>IFERROR(H991-P991,"")</x:f>
        <x:v>0.24027025179176675</x:v>
      </x:c>
      <x:c r="T991" s="41" t="n">
        <x:f>IFERROR(I991-M991,"")</x:f>
        <x:v>6.604539</x:v>
      </x:c>
      <x:c r="U991" s="41" t="n">
        <x:f>IFERROR(E991-M991,"")</x:f>
        <x:v>5.674506</x:v>
      </x:c>
      <x:c r="V991" s="41" t="str">
        <x:f>IF(AND(I991&gt;M991,J991&gt;N991),"Sí","No")</x:f>
        <x:v>Sí</x:v>
      </x:c>
      <x:c r="W991" s="41" t="str">
        <x:f>IF(AND(E991&gt;M991,F991&gt;N991),"Sí","No")</x:f>
        <x:v>Sí</x:v>
      </x:c>
      <x:c r="X991" s="41" t="str">
        <x:f>IF(L991&gt;=H991,"Weekly","No weekly")</x:f>
        <x:v>Weekly</x:v>
      </x:c>
      <x:c r="Y991" s="41" t="n">
        <x:f>IFERROR(I991-E991,"")</x:f>
        <x:v>0.9300329999999999</x:v>
      </x:c>
      <x:c r="Z991" s="41" t="n">
        <x:f>IFERROR(J991-F991,"")</x:f>
        <x:v>3.9473449999999985</x:v>
      </x:c>
      <x:c r="AA991" s="41" t="n">
        <x:v>11627</x:v>
      </x:c>
      <x:c r="AB991" s="41" t="n">
        <x:v>5748</x:v>
      </x:c>
    </x:row>
    <x:row r="992">
      <x:c r="A992" s="41" t="str">
        <x:v>HYP_REFINE_AUTO002_TOPN_6_V1_DDGRID_LONG_R13_C23_E75_CR45_REDD_RECOVERED_DD8_SL20</x:v>
      </x:c>
      <x:c r="B992" s="41" t="str">
        <x:v>dd_guard_grid</x:v>
      </x:c>
      <x:c r="C992" s="41" t="str">
        <x:v>1999-01-04</x:v>
      </x:c>
      <x:c r="D992" s="41" t="str">
        <x:v>2026-05-22</x:v>
      </x:c>
      <x:c r="E992" s="41" t="n">
        <x:v>12.628937</x:v>
      </x:c>
      <x:c r="F992" s="41" t="n">
        <x:v>-34.417137</x:v>
      </x:c>
      <x:c r="G992" s="41" t="n">
        <x:v>2494.774122</x:v>
      </x:c>
      <x:c r="H992" s="41" t="n">
        <x:f>IFERROR(E992/ABS(F992),"")</x:f>
        <x:v>0.36693746490302204</x:v>
      </x:c>
      <x:c r="I992" s="41" t="n">
        <x:v>14.074866</x:v>
      </x:c>
      <x:c r="J992" s="41" t="n">
        <x:v>-28.821215</x:v>
      </x:c>
      <x:c r="K992" s="41" t="n">
        <x:v>3579.391327</x:v>
      </x:c>
      <x:c r="L992" s="41" t="n">
        <x:f>IFERROR(I992/ABS(J992),"")</x:f>
        <x:v>0.4883508901342293</x:v>
      </x:c>
      <x:c r="M992" s="41" t="n">
        <x:v>6.802475</x:v>
      </x:c>
      <x:c r="N992" s="41" t="n">
        <x:v>-56.473669</x:v>
      </x:c>
      <x:c r="O992" s="41" t="n">
        <x:v>506.057416</x:v>
      </x:c>
      <x:c r="P992" s="41" t="n">
        <x:f>IFERROR(M992/ABS(N992),"")</x:f>
        <x:v>0.12045392340278087</x:v>
      </x:c>
      <x:c r="Q992" s="41" t="str">
        <x:f>IF(L992&gt;=MAX(H992,P992),"Weekly",IF(H992&gt;=MAX(L992,P992),"No weekly","SPY"))</x:f>
        <x:v>Weekly</x:v>
      </x:c>
      <x:c r="R992" s="41" t="n">
        <x:f>IFERROR(L992-P992,"")</x:f>
        <x:v>0.3678969667314484</x:v>
      </x:c>
      <x:c r="S992" s="41" t="n">
        <x:f>IFERROR(H992-P992,"")</x:f>
        <x:v>0.24648354150024115</x:v>
      </x:c>
      <x:c r="T992" s="41" t="n">
        <x:f>IFERROR(I992-M992,"")</x:f>
        <x:v>7.272391</x:v>
      </x:c>
      <x:c r="U992" s="41" t="n">
        <x:f>IFERROR(E992-M992,"")</x:f>
        <x:v>5.826462</x:v>
      </x:c>
      <x:c r="V992" s="41" t="str">
        <x:f>IF(AND(I992&gt;M992,J992&gt;N992),"Sí","No")</x:f>
        <x:v>Sí</x:v>
      </x:c>
      <x:c r="W992" s="41" t="str">
        <x:f>IF(AND(E992&gt;M992,F992&gt;N992),"Sí","No")</x:f>
        <x:v>Sí</x:v>
      </x:c>
      <x:c r="X992" s="41" t="str">
        <x:f>IF(L992&gt;=H992,"Weekly","No weekly")</x:f>
        <x:v>Weekly</x:v>
      </x:c>
      <x:c r="Y992" s="41" t="n">
        <x:f>IFERROR(I992-E992,"")</x:f>
        <x:v>1.4459289999999996</x:v>
      </x:c>
      <x:c r="Z992" s="41" t="n">
        <x:f>IFERROR(J992-F992,"")</x:f>
        <x:v>5.595921999999998</x:v>
      </x:c>
      <x:c r="AA992" s="41" t="n">
        <x:v>11212</x:v>
      </x:c>
      <x:c r="AB992" s="41" t="n">
        <x:v>5645</x:v>
      </x:c>
    </x:row>
    <x:row r="993">
      <x:c r="A993" s="41" t="str">
        <x:v>HYP_REFINE_AUTO002_TOPN_6_V1_DDGRID_LONG_R13_C23_E78_CR40_REDD_RECOVERED_DD8_SL22</x:v>
      </x:c>
      <x:c r="B993" s="41" t="str">
        <x:v>dd_guard_grid</x:v>
      </x:c>
      <x:c r="C993" s="41" t="str">
        <x:v>1999-01-04</x:v>
      </x:c>
      <x:c r="D993" s="41" t="str">
        <x:v>2026-05-22</x:v>
      </x:c>
      <x:c r="E993" s="41" t="n">
        <x:v>12.399995</x:v>
      </x:c>
      <x:c r="F993" s="41" t="n">
        <x:v>-33.193524</x:v>
      </x:c>
      <x:c r="G993" s="41" t="n">
        <x:v>2354.17409</x:v>
      </x:c>
      <x:c r="H993" s="41" t="n">
        <x:f>IFERROR(E993/ABS(F993),"")</x:f>
        <x:v>0.3735666933104181</x:v>
      </x:c>
      <x:c r="I993" s="41" t="n">
        <x:v>12.864616</x:v>
      </x:c>
      <x:c r="J993" s="41" t="n">
        <x:v>-30.628532</x:v>
      </x:c>
      <x:c r="K993" s="41" t="n">
        <x:v>2647.60522</x:v>
      </x:c>
      <x:c r="L993" s="41" t="n">
        <x:f>IFERROR(I993/ABS(J993),"")</x:f>
        <x:v>0.4200206526385267</x:v>
      </x:c>
      <x:c r="M993" s="41" t="n">
        <x:v>6.802475</x:v>
      </x:c>
      <x:c r="N993" s="41" t="n">
        <x:v>-56.473669</x:v>
      </x:c>
      <x:c r="O993" s="41" t="n">
        <x:v>506.057416</x:v>
      </x:c>
      <x:c r="P993" s="41" t="n">
        <x:f>IFERROR(M993/ABS(N993),"")</x:f>
        <x:v>0.12045392340278087</x:v>
      </x:c>
      <x:c r="Q993" s="41" t="str">
        <x:f>IF(L993&gt;=MAX(H993,P993),"Weekly",IF(H993&gt;=MAX(L993,P993),"No weekly","SPY"))</x:f>
        <x:v>Weekly</x:v>
      </x:c>
      <x:c r="R993" s="41" t="n">
        <x:f>IFERROR(L993-P993,"")</x:f>
        <x:v>0.29956672923574584</x:v>
      </x:c>
      <x:c r="S993" s="41" t="n">
        <x:f>IFERROR(H993-P993,"")</x:f>
        <x:v>0.2531127699076372</x:v>
      </x:c>
      <x:c r="T993" s="41" t="n">
        <x:f>IFERROR(I993-M993,"")</x:f>
        <x:v>6.062141</x:v>
      </x:c>
      <x:c r="U993" s="41" t="n">
        <x:f>IFERROR(E993-M993,"")</x:f>
        <x:v>5.59752</x:v>
      </x:c>
      <x:c r="V993" s="41" t="str">
        <x:f>IF(AND(I993&gt;M993,J993&gt;N993),"Sí","No")</x:f>
        <x:v>Sí</x:v>
      </x:c>
      <x:c r="W993" s="41" t="str">
        <x:f>IF(AND(E993&gt;M993,F993&gt;N993),"Sí","No")</x:f>
        <x:v>Sí</x:v>
      </x:c>
      <x:c r="X993" s="41" t="str">
        <x:f>IF(L993&gt;=H993,"Weekly","No weekly")</x:f>
        <x:v>Weekly</x:v>
      </x:c>
      <x:c r="Y993" s="41" t="n">
        <x:f>IFERROR(I993-E993,"")</x:f>
        <x:v>0.4646209999999993</x:v>
      </x:c>
      <x:c r="Z993" s="41" t="n">
        <x:f>IFERROR(J993-F993,"")</x:f>
        <x:v>2.5649919999999966</x:v>
      </x:c>
      <x:c r="AA993" s="41" t="n">
        <x:v>11985</x:v>
      </x:c>
      <x:c r="AB993" s="41" t="n">
        <x:v>5852</x:v>
      </x:c>
    </x:row>
    <x:row r="994">
      <x:c r="A994" s="41" t="str">
        <x:v>HYP_REFINE_AUTO002_TOPN_6_V1_DDGRID_LONG_R13_C24_E75_CR40_REDD_RECOVERED_DD8_SL20</x:v>
      </x:c>
      <x:c r="B994" s="41" t="str">
        <x:v>dd_guard_grid</x:v>
      </x:c>
      <x:c r="C994" s="41" t="str">
        <x:v>1999-01-04</x:v>
      </x:c>
      <x:c r="D994" s="41" t="str">
        <x:v>2026-05-22</x:v>
      </x:c>
      <x:c r="E994" s="41" t="n">
        <x:v>12.40571</x:v>
      </x:c>
      <x:c r="F994" s="41" t="n">
        <x:v>-33.937267</x:v>
      </x:c>
      <x:c r="G994" s="41" t="n">
        <x:v>2357.592221</x:v>
      </x:c>
      <x:c r="H994" s="41" t="n">
        <x:f>IFERROR(E994/ABS(F994),"")</x:f>
        <x:v>0.3655482923831197</x:v>
      </x:c>
      <x:c r="I994" s="41" t="n">
        <x:v>12.869552</x:v>
      </x:c>
      <x:c r="J994" s="41" t="n">
        <x:v>-29.150912</x:v>
      </x:c>
      <x:c r="K994" s="41" t="n">
        <x:v>2650.897356</x:v>
      </x:c>
      <x:c r="L994" s="41" t="n">
        <x:f>IFERROR(I994/ABS(J994),"")</x:f>
        <x:v>0.4414802528305118</x:v>
      </x:c>
      <x:c r="M994" s="41" t="n">
        <x:v>6.802475</x:v>
      </x:c>
      <x:c r="N994" s="41" t="n">
        <x:v>-56.473669</x:v>
      </x:c>
      <x:c r="O994" s="41" t="n">
        <x:v>506.057416</x:v>
      </x:c>
      <x:c r="P994" s="41" t="n">
        <x:f>IFERROR(M994/ABS(N994),"")</x:f>
        <x:v>0.12045392340278087</x:v>
      </x:c>
      <x:c r="Q994" s="41" t="str">
        <x:f>IF(L994&gt;=MAX(H994,P994),"Weekly",IF(H994&gt;=MAX(L994,P994),"No weekly","SPY"))</x:f>
        <x:v>Weekly</x:v>
      </x:c>
      <x:c r="R994" s="41" t="n">
        <x:f>IFERROR(L994-P994,"")</x:f>
        <x:v>0.3210263294277309</x:v>
      </x:c>
      <x:c r="S994" s="41" t="n">
        <x:f>IFERROR(H994-P994,"")</x:f>
        <x:v>0.24509436898033882</x:v>
      </x:c>
      <x:c r="T994" s="41" t="n">
        <x:f>IFERROR(I994-M994,"")</x:f>
        <x:v>6.067077</x:v>
      </x:c>
      <x:c r="U994" s="41" t="n">
        <x:f>IFERROR(E994-M994,"")</x:f>
        <x:v>5.603234999999999</x:v>
      </x:c>
      <x:c r="V994" s="41" t="str">
        <x:f>IF(AND(I994&gt;M994,J994&gt;N994),"Sí","No")</x:f>
        <x:v>Sí</x:v>
      </x:c>
      <x:c r="W994" s="41" t="str">
        <x:f>IF(AND(E994&gt;M994,F994&gt;N994),"Sí","No")</x:f>
        <x:v>Sí</x:v>
      </x:c>
      <x:c r="X994" s="41" t="str">
        <x:f>IF(L994&gt;=H994,"Weekly","No weekly")</x:f>
        <x:v>Weekly</x:v>
      </x:c>
      <x:c r="Y994" s="41" t="n">
        <x:f>IFERROR(I994-E994,"")</x:f>
        <x:v>0.4638420000000014</x:v>
      </x:c>
      <x:c r="Z994" s="41" t="n">
        <x:f>IFERROR(J994-F994,"")</x:f>
        <x:v>4.786354999999997</x:v>
      </x:c>
      <x:c r="AA994" s="41" t="n">
        <x:v>11438</x:v>
      </x:c>
      <x:c r="AB994" s="41" t="n">
        <x:v>5536</x:v>
      </x:c>
    </x:row>
    <x:row r="995">
      <x:c r="A995" s="41" t="str">
        <x:v>HYP_REFINE_AUTO002_TOPN_6_V1_DDGRID_LONG_R13_C24_E75_CR40_REDD_RECOVERED_DD8_SL22</x:v>
      </x:c>
      <x:c r="B995" s="41" t="str">
        <x:v>dd_guard_grid</x:v>
      </x:c>
      <x:c r="C995" s="41" t="str">
        <x:v>1999-01-04</x:v>
      </x:c>
      <x:c r="D995" s="41" t="str">
        <x:v>2026-05-22</x:v>
      </x:c>
      <x:c r="E995" s="41" t="n">
        <x:v>12.836935</x:v>
      </x:c>
      <x:c r="F995" s="41" t="n">
        <x:v>-34.388897</x:v>
      </x:c>
      <x:c r="G995" s="41" t="n">
        <x:v>2629.215119</x:v>
      </x:c>
      <x:c r="H995" s="41" t="n">
        <x:f>IFERROR(E995/ABS(F995),"")</x:f>
        <x:v>0.37328719789995013</x:v>
      </x:c>
      <x:c r="I995" s="41" t="n">
        <x:v>13.002107</x:v>
      </x:c>
      <x:c r="J995" s="41" t="n">
        <x:v>-29.00038</x:v>
      </x:c>
      <x:c r="K995" s="41" t="n">
        <x:v>2740.73239</x:v>
      </x:c>
      <x:c r="L995" s="41" t="n">
        <x:f>IFERROR(I995/ABS(J995),"")</x:f>
        <x:v>0.4483426424067547</x:v>
      </x:c>
      <x:c r="M995" s="41" t="n">
        <x:v>6.802475</x:v>
      </x:c>
      <x:c r="N995" s="41" t="n">
        <x:v>-56.473669</x:v>
      </x:c>
      <x:c r="O995" s="41" t="n">
        <x:v>506.057416</x:v>
      </x:c>
      <x:c r="P995" s="41" t="n">
        <x:f>IFERROR(M995/ABS(N995),"")</x:f>
        <x:v>0.12045392340278087</x:v>
      </x:c>
      <x:c r="Q995" s="41" t="str">
        <x:f>IF(L995&gt;=MAX(H995,P995),"Weekly",IF(H995&gt;=MAX(L995,P995),"No weekly","SPY"))</x:f>
        <x:v>Weekly</x:v>
      </x:c>
      <x:c r="R995" s="41" t="n">
        <x:f>IFERROR(L995-P995,"")</x:f>
        <x:v>0.3278887190039738</x:v>
      </x:c>
      <x:c r="S995" s="41" t="n">
        <x:f>IFERROR(H995-P995,"")</x:f>
        <x:v>0.25283327449716925</x:v>
      </x:c>
      <x:c r="T995" s="41" t="n">
        <x:f>IFERROR(I995-M995,"")</x:f>
        <x:v>6.199632</x:v>
      </x:c>
      <x:c r="U995" s="41" t="n">
        <x:f>IFERROR(E995-M995,"")</x:f>
        <x:v>6.03446</x:v>
      </x:c>
      <x:c r="V995" s="41" t="str">
        <x:f>IF(AND(I995&gt;M995,J995&gt;N995),"Sí","No")</x:f>
        <x:v>Sí</x:v>
      </x:c>
      <x:c r="W995" s="41" t="str">
        <x:f>IF(AND(E995&gt;M995,F995&gt;N995),"Sí","No")</x:f>
        <x:v>Sí</x:v>
      </x:c>
      <x:c r="X995" s="41" t="str">
        <x:f>IF(L995&gt;=H995,"Weekly","No weekly")</x:f>
        <x:v>Weekly</x:v>
      </x:c>
      <x:c r="Y995" s="41" t="n">
        <x:f>IFERROR(I995-E995,"")</x:f>
        <x:v>0.1651720000000001</x:v>
      </x:c>
      <x:c r="Z995" s="41" t="n">
        <x:f>IFERROR(J995-F995,"")</x:f>
        <x:v>5.388517</x:v>
      </x:c>
      <x:c r="AA995" s="41" t="n">
        <x:v>11452</x:v>
      </x:c>
      <x:c r="AB995" s="41" t="n">
        <x:v>5657</x:v>
      </x:c>
    </x:row>
    <x:row r="996">
      <x:c r="A996" s="41" t="str">
        <x:v>HYP_REFINE_AUTO002_TOPN_6_V1_DDGRID_LONG_R13_C25_E75_CR40_REDD_RECOVERED_DD8_SL20</x:v>
      </x:c>
      <x:c r="B996" s="41" t="str">
        <x:v>dd_guard_grid</x:v>
      </x:c>
      <x:c r="C996" s="41" t="str">
        <x:v>1999-01-04</x:v>
      </x:c>
      <x:c r="D996" s="41" t="str">
        <x:v>2026-05-22</x:v>
      </x:c>
      <x:c r="E996" s="41" t="n">
        <x:v>12.840923</x:v>
      </x:c>
      <x:c r="F996" s="41" t="n">
        <x:v>-34.568769</x:v>
      </x:c>
      <x:c r="G996" s="41" t="n">
        <x:v>2631.857438</x:v>
      </x:c>
      <x:c r="H996" s="41" t="n">
        <x:f>IFERROR(E996/ABS(F996),"")</x:f>
        <x:v>0.3714602333684488</x:v>
      </x:c>
      <x:c r="I996" s="41" t="n">
        <x:v>12.978145</x:v>
      </x:c>
      <x:c r="J996" s="41" t="n">
        <x:v>-32.201421</x:v>
      </x:c>
      <x:c r="K996" s="41" t="n">
        <x:v>2724.285851</x:v>
      </x:c>
      <x:c r="L996" s="41" t="n">
        <x:f>IFERROR(I996/ABS(J996),"")</x:f>
        <x:v>0.403030195468703</x:v>
      </x:c>
      <x:c r="M996" s="41" t="n">
        <x:v>6.802475</x:v>
      </x:c>
      <x:c r="N996" s="41" t="n">
        <x:v>-56.473669</x:v>
      </x:c>
      <x:c r="O996" s="41" t="n">
        <x:v>506.057416</x:v>
      </x:c>
      <x:c r="P996" s="41" t="n">
        <x:f>IFERROR(M996/ABS(N996),"")</x:f>
        <x:v>0.12045392340278087</x:v>
      </x:c>
      <x:c r="Q996" s="41" t="str">
        <x:f>IF(L996&gt;=MAX(H996,P996),"Weekly",IF(H996&gt;=MAX(L996,P996),"No weekly","SPY"))</x:f>
        <x:v>Weekly</x:v>
      </x:c>
      <x:c r="R996" s="41" t="n">
        <x:f>IFERROR(L996-P996,"")</x:f>
        <x:v>0.2825762720659221</x:v>
      </x:c>
      <x:c r="S996" s="41" t="n">
        <x:f>IFERROR(H996-P996,"")</x:f>
        <x:v>0.2510063099656679</x:v>
      </x:c>
      <x:c r="T996" s="41" t="n">
        <x:f>IFERROR(I996-M996,"")</x:f>
        <x:v>6.175669999999999</x:v>
      </x:c>
      <x:c r="U996" s="41" t="n">
        <x:f>IFERROR(E996-M996,"")</x:f>
        <x:v>6.038448</x:v>
      </x:c>
      <x:c r="V996" s="41" t="str">
        <x:f>IF(AND(I996&gt;M996,J996&gt;N996),"Sí","No")</x:f>
        <x:v>Sí</x:v>
      </x:c>
      <x:c r="W996" s="41" t="str">
        <x:f>IF(AND(E996&gt;M996,F996&gt;N996),"Sí","No")</x:f>
        <x:v>Sí</x:v>
      </x:c>
      <x:c r="X996" s="41" t="str">
        <x:f>IF(L996&gt;=H996,"Weekly","No weekly")</x:f>
        <x:v>Weekly</x:v>
      </x:c>
      <x:c r="Y996" s="41" t="n">
        <x:f>IFERROR(I996-E996,"")</x:f>
        <x:v>0.1372219999999995</x:v>
      </x:c>
      <x:c r="Z996" s="41" t="n">
        <x:f>IFERROR(J996-F996,"")</x:f>
        <x:v>2.367348</x:v>
      </x:c>
      <x:c r="AA996" s="41" t="n">
        <x:v>11950</x:v>
      </x:c>
      <x:c r="AB996" s="41" t="n">
        <x:v>5498</x:v>
      </x:c>
    </x:row>
    <x:row r="997">
      <x:c r="A997" s="41" t="str">
        <x:v>HYP_REFINE_AUTO002_TOPN_6_V1_DDGRID_LONG_R14_C20_E75_CR40_REDD_RECOVERED_DD8_SL20</x:v>
      </x:c>
      <x:c r="B997" s="41" t="str">
        <x:v>dd_guard_grid</x:v>
      </x:c>
      <x:c r="C997" s="41" t="str">
        <x:v>1999-01-04</x:v>
      </x:c>
      <x:c r="D997" s="41" t="str">
        <x:v>2026-05-22</x:v>
      </x:c>
      <x:c r="E997" s="41" t="n">
        <x:v>11.905809</x:v>
      </x:c>
      <x:c r="F997" s="41" t="n">
        <x:v>-31.383734</x:v>
      </x:c>
      <x:c r="G997" s="41" t="n">
        <x:v>2075.26501</x:v>
      </x:c>
      <x:c r="H997" s="41" t="n">
        <x:f>IFERROR(E997/ABS(F997),"")</x:f>
        <x:v>0.3793624111139866</x:v>
      </x:c>
      <x:c r="I997" s="41" t="n">
        <x:v>13.032441</x:v>
      </x:c>
      <x:c r="J997" s="41" t="n">
        <x:v>-29.218455</x:v>
      </x:c>
      <x:c r="K997" s="41" t="n">
        <x:v>2761.683691</x:v>
      </x:c>
      <x:c r="L997" s="41" t="n">
        <x:f>IFERROR(I997/ABS(J997),"")</x:f>
        <x:v>0.4460345695896652</x:v>
      </x:c>
      <x:c r="M997" s="41" t="n">
        <x:v>6.802475</x:v>
      </x:c>
      <x:c r="N997" s="41" t="n">
        <x:v>-56.473669</x:v>
      </x:c>
      <x:c r="O997" s="41" t="n">
        <x:v>506.057416</x:v>
      </x:c>
      <x:c r="P997" s="41" t="n">
        <x:f>IFERROR(M997/ABS(N997),"")</x:f>
        <x:v>0.12045392340278087</x:v>
      </x:c>
      <x:c r="Q997" s="41" t="str">
        <x:f>IF(L997&gt;=MAX(H997,P997),"Weekly",IF(H997&gt;=MAX(L997,P997),"No weekly","SPY"))</x:f>
        <x:v>Weekly</x:v>
      </x:c>
      <x:c r="R997" s="41" t="n">
        <x:f>IFERROR(L997-P997,"")</x:f>
        <x:v>0.3255806461868843</x:v>
      </x:c>
      <x:c r="S997" s="41" t="n">
        <x:f>IFERROR(H997-P997,"")</x:f>
        <x:v>0.2589084877112057</x:v>
      </x:c>
      <x:c r="T997" s="41" t="n">
        <x:f>IFERROR(I997-M997,"")</x:f>
        <x:v>6.229966</x:v>
      </x:c>
      <x:c r="U997" s="41" t="n">
        <x:f>IFERROR(E997-M997,"")</x:f>
        <x:v>5.103333999999999</x:v>
      </x:c>
      <x:c r="V997" s="41" t="str">
        <x:f>IF(AND(I997&gt;M997,J997&gt;N997),"Sí","No")</x:f>
        <x:v>Sí</x:v>
      </x:c>
      <x:c r="W997" s="41" t="str">
        <x:f>IF(AND(E997&gt;M997,F997&gt;N997),"Sí","No")</x:f>
        <x:v>Sí</x:v>
      </x:c>
      <x:c r="X997" s="41" t="str">
        <x:f>IF(L997&gt;=H997,"Weekly","No weekly")</x:f>
        <x:v>Weekly</x:v>
      </x:c>
      <x:c r="Y997" s="41" t="n">
        <x:f>IFERROR(I997-E997,"")</x:f>
        <x:v>1.1266320000000007</x:v>
      </x:c>
      <x:c r="Z997" s="41" t="n">
        <x:f>IFERROR(J997-F997,"")</x:f>
        <x:v>2.1652790000000017</x:v>
      </x:c>
      <x:c r="AA997" s="41" t="n">
        <x:v>11588</x:v>
      </x:c>
      <x:c r="AB997" s="41" t="n">
        <x:v>5620</x:v>
      </x:c>
    </x:row>
    <x:row r="998">
      <x:c r="A998" s="41" t="str">
        <x:v>HYP_REFINE_AUTO002_TOPN_6_V1_DDGRID_LONG_R14_C21_E75_CR40_REDD_RECOVERED_DD8_SL20</x:v>
      </x:c>
      <x:c r="B998" s="41" t="str">
        <x:v>dd_guard_grid</x:v>
      </x:c>
      <x:c r="C998" s="41" t="str">
        <x:v>1999-01-04</x:v>
      </x:c>
      <x:c r="D998" s="41" t="str">
        <x:v>2026-05-22</x:v>
      </x:c>
      <x:c r="E998" s="41" t="n">
        <x:v>12.077692</x:v>
      </x:c>
      <x:c r="F998" s="41" t="n">
        <x:v>-33.333117</x:v>
      </x:c>
      <x:c r="G998" s="41" t="n">
        <x:v>2168.617105</x:v>
      </x:c>
      <x:c r="H998" s="41" t="n">
        <x:f>IFERROR(E998/ABS(F998),"")</x:f>
        <x:v>0.3623331115418939</x:v>
      </x:c>
      <x:c r="I998" s="41" t="n">
        <x:v>13.234903</x:v>
      </x:c>
      <x:c r="J998" s="41" t="n">
        <x:v>-29.537559</x:v>
      </x:c>
      <x:c r="K998" s="41" t="n">
        <x:v>2905.387029</x:v>
      </x:c>
      <x:c r="L998" s="41" t="n">
        <x:f>IFERROR(I998/ABS(J998),"")</x:f>
        <x:v>0.4480703026272414</x:v>
      </x:c>
      <x:c r="M998" s="41" t="n">
        <x:v>6.802475</x:v>
      </x:c>
      <x:c r="N998" s="41" t="n">
        <x:v>-56.473669</x:v>
      </x:c>
      <x:c r="O998" s="41" t="n">
        <x:v>506.057416</x:v>
      </x:c>
      <x:c r="P998" s="41" t="n">
        <x:f>IFERROR(M998/ABS(N998),"")</x:f>
        <x:v>0.12045392340278087</x:v>
      </x:c>
      <x:c r="Q998" s="41" t="str">
        <x:f>IF(L998&gt;=MAX(H998,P998),"Weekly",IF(H998&gt;=MAX(L998,P998),"No weekly","SPY"))</x:f>
        <x:v>Weekly</x:v>
      </x:c>
      <x:c r="R998" s="41" t="n">
        <x:f>IFERROR(L998-P998,"")</x:f>
        <x:v>0.3276163792244605</x:v>
      </x:c>
      <x:c r="S998" s="41" t="n">
        <x:f>IFERROR(H998-P998,"")</x:f>
        <x:v>0.24187918813911302</x:v>
      </x:c>
      <x:c r="T998" s="41" t="n">
        <x:f>IFERROR(I998-M998,"")</x:f>
        <x:v>6.432427999999999</x:v>
      </x:c>
      <x:c r="U998" s="41" t="n">
        <x:f>IFERROR(E998-M998,"")</x:f>
        <x:v>5.2752170000000005</x:v>
      </x:c>
      <x:c r="V998" s="41" t="str">
        <x:f>IF(AND(I998&gt;M998,J998&gt;N998),"Sí","No")</x:f>
        <x:v>Sí</x:v>
      </x:c>
      <x:c r="W998" s="41" t="str">
        <x:f>IF(AND(E998&gt;M998,F998&gt;N998),"Sí","No")</x:f>
        <x:v>Sí</x:v>
      </x:c>
      <x:c r="X998" s="41" t="str">
        <x:f>IF(L998&gt;=H998,"Weekly","No weekly")</x:f>
        <x:v>Weekly</x:v>
      </x:c>
      <x:c r="Y998" s="41" t="n">
        <x:f>IFERROR(I998-E998,"")</x:f>
        <x:v>1.1572109999999984</x:v>
      </x:c>
      <x:c r="Z998" s="41" t="n">
        <x:f>IFERROR(J998-F998,"")</x:f>
        <x:v>3.7955579999999998</x:v>
      </x:c>
      <x:c r="AA998" s="41" t="n">
        <x:v>11189</x:v>
      </x:c>
      <x:c r="AB998" s="41" t="n">
        <x:v>5746</x:v>
      </x:c>
    </x:row>
    <x:row r="999">
      <x:c r="A999" s="41" t="str">
        <x:v>HYP_REFINE_AUTO002_TOPN_6_V1_DDGRID_LONG_R14_C21_E75_CR40_REDD_RECOVERED_DD8_SL22</x:v>
      </x:c>
      <x:c r="B999" s="41" t="str">
        <x:v>dd_guard_grid</x:v>
      </x:c>
      <x:c r="C999" s="41" t="str">
        <x:v>1999-01-04</x:v>
      </x:c>
      <x:c r="D999" s="41" t="str">
        <x:v>2026-05-22</x:v>
      </x:c>
      <x:c r="E999" s="41" t="n">
        <x:v>11.393428</x:v>
      </x:c>
      <x:c r="F999" s="41" t="n">
        <x:v>-32.285309</x:v>
      </x:c>
      <x:c r="G999" s="41" t="n">
        <x:v>1818.426265</x:v>
      </x:c>
      <x:c r="H999" s="41" t="n">
        <x:f>IFERROR(E999/ABS(F999),"")</x:f>
        <x:v>0.35289821757629763</x:v>
      </x:c>
      <x:c r="I999" s="41" t="n">
        <x:v>12.866197</x:v>
      </x:c>
      <x:c r="J999" s="41" t="n">
        <x:v>-29.423631</x:v>
      </x:c>
      <x:c r="K999" s="41" t="n">
        <x:v>2648.659623</x:v>
      </x:c>
      <x:c r="L999" s="41" t="n">
        <x:f>IFERROR(I999/ABS(J999),"")</x:f>
        <x:v>0.43727427794346657</x:v>
      </x:c>
      <x:c r="M999" s="41" t="n">
        <x:v>6.802475</x:v>
      </x:c>
      <x:c r="N999" s="41" t="n">
        <x:v>-56.473669</x:v>
      </x:c>
      <x:c r="O999" s="41" t="n">
        <x:v>506.057416</x:v>
      </x:c>
      <x:c r="P999" s="41" t="n">
        <x:f>IFERROR(M999/ABS(N999),"")</x:f>
        <x:v>0.12045392340278087</x:v>
      </x:c>
      <x:c r="Q999" s="41" t="str">
        <x:f>IF(L999&gt;=MAX(H999,P999),"Weekly",IF(H999&gt;=MAX(L999,P999),"No weekly","SPY"))</x:f>
        <x:v>Weekly</x:v>
      </x:c>
      <x:c r="R999" s="41" t="n">
        <x:f>IFERROR(L999-P999,"")</x:f>
        <x:v>0.3168203545406857</x:v>
      </x:c>
      <x:c r="S999" s="41" t="n">
        <x:f>IFERROR(H999-P999,"")</x:f>
        <x:v>0.23244429417351675</x:v>
      </x:c>
      <x:c r="T999" s="41" t="n">
        <x:f>IFERROR(I999-M999,"")</x:f>
        <x:v>6.063721999999999</x:v>
      </x:c>
      <x:c r="U999" s="41" t="n">
        <x:f>IFERROR(E999-M999,"")</x:f>
        <x:v>4.590953</x:v>
      </x:c>
      <x:c r="V999" s="41" t="str">
        <x:f>IF(AND(I999&gt;M999,J999&gt;N999),"Sí","No")</x:f>
        <x:v>Sí</x:v>
      </x:c>
      <x:c r="W999" s="41" t="str">
        <x:f>IF(AND(E999&gt;M999,F999&gt;N999),"Sí","No")</x:f>
        <x:v>Sí</x:v>
      </x:c>
      <x:c r="X999" s="41" t="str">
        <x:f>IF(L999&gt;=H999,"Weekly","No weekly")</x:f>
        <x:v>Weekly</x:v>
      </x:c>
      <x:c r="Y999" s="41" t="n">
        <x:f>IFERROR(I999-E999,"")</x:f>
        <x:v>1.4727689999999996</x:v>
      </x:c>
      <x:c r="Z999" s="41" t="n">
        <x:f>IFERROR(J999-F999,"")</x:f>
        <x:v>2.8616779999999977</x:v>
      </x:c>
      <x:c r="AA999" s="41" t="n">
        <x:v>11639</x:v>
      </x:c>
      <x:c r="AB999" s="41" t="n">
        <x:v>6112</x:v>
      </x:c>
    </x:row>
    <x:row r="1000">
      <x:c r="A1000" s="41" t="str">
        <x:v>HYP_REFINE_AUTO002_TOPN_6_V1_DDGRID_LONG_R14_C22_E72_CR40_REDD_RECOVERED_DD8_SL20</x:v>
      </x:c>
      <x:c r="B1000" s="41" t="str">
        <x:v>dd_guard_grid</x:v>
      </x:c>
      <x:c r="C1000" s="41" t="str">
        <x:v>1999-01-04</x:v>
      </x:c>
      <x:c r="D1000" s="41" t="str">
        <x:v>2026-05-22</x:v>
      </x:c>
      <x:c r="E1000" s="41" t="n">
        <x:v>12.137586</x:v>
      </x:c>
      <x:c r="F1000" s="41" t="n">
        <x:v>-32.780246</x:v>
      </x:c>
      <x:c r="G1000" s="41" t="n">
        <x:v>2202.044257</x:v>
      </x:c>
      <x:c r="H1000" s="41" t="n">
        <x:f>IFERROR(E1000/ABS(F1000),"")</x:f>
        <x:v>0.3702713518379332</x:v>
      </x:c>
      <x:c r="I1000" s="41" t="n">
        <x:v>12.863463</x:v>
      </x:c>
      <x:c r="J1000" s="41" t="n">
        <x:v>-30.451827</x:v>
      </x:c>
      <x:c r="K1000" s="41" t="n">
        <x:v>2646.837119</x:v>
      </x:c>
      <x:c r="L1000" s="41" t="n">
        <x:f>IFERROR(I1000/ABS(J1000),"")</x:f>
        <x:v>0.4224200735148009</x:v>
      </x:c>
      <x:c r="M1000" s="41" t="n">
        <x:v>6.802475</x:v>
      </x:c>
      <x:c r="N1000" s="41" t="n">
        <x:v>-56.473669</x:v>
      </x:c>
      <x:c r="O1000" s="41" t="n">
        <x:v>506.057416</x:v>
      </x:c>
      <x:c r="P1000" s="41" t="n">
        <x:f>IFERROR(M1000/ABS(N1000),"")</x:f>
        <x:v>0.12045392340278087</x:v>
      </x:c>
      <x:c r="Q1000" s="41" t="str">
        <x:f>IF(L1000&gt;=MAX(H1000,P1000),"Weekly",IF(H1000&gt;=MAX(L1000,P1000),"No weekly","SPY"))</x:f>
        <x:v>Weekly</x:v>
      </x:c>
      <x:c r="R1000" s="41" t="n">
        <x:f>IFERROR(L1000-P1000,"")</x:f>
        <x:v>0.30196615011202</x:v>
      </x:c>
      <x:c r="S1000" s="41" t="n">
        <x:f>IFERROR(H1000-P1000,"")</x:f>
        <x:v>0.2498174284351523</x:v>
      </x:c>
      <x:c r="T1000" s="41" t="n">
        <x:f>IFERROR(I1000-M1000,"")</x:f>
        <x:v>6.060987999999999</x:v>
      </x:c>
      <x:c r="U1000" s="41" t="n">
        <x:f>IFERROR(E1000-M1000,"")</x:f>
        <x:v>5.335111</x:v>
      </x:c>
      <x:c r="V1000" s="41" t="str">
        <x:f>IF(AND(I1000&gt;M1000,J1000&gt;N1000),"Sí","No")</x:f>
        <x:v>Sí</x:v>
      </x:c>
      <x:c r="W1000" s="41" t="str">
        <x:f>IF(AND(E1000&gt;M1000,F1000&gt;N1000),"Sí","No")</x:f>
        <x:v>Sí</x:v>
      </x:c>
      <x:c r="X1000" s="41" t="str">
        <x:f>IF(L1000&gt;=H1000,"Weekly","No weekly")</x:f>
        <x:v>Weekly</x:v>
      </x:c>
      <x:c r="Y1000" s="41" t="n">
        <x:f>IFERROR(I1000-E1000,"")</x:f>
        <x:v>0.7258769999999988</x:v>
      </x:c>
      <x:c r="Z1000" s="41" t="n">
        <x:f>IFERROR(J1000-F1000,"")</x:f>
        <x:v>2.3284189999999967</x:v>
      </x:c>
      <x:c r="AA1000" s="41" t="n">
        <x:v>11464</x:v>
      </x:c>
      <x:c r="AB1000" s="41" t="n">
        <x:v>5869</x:v>
      </x:c>
    </x:row>
    <x:row r="1001">
      <x:c r="A1001" s="41" t="str">
        <x:v>HYP_REFINE_AUTO002_TOPN_6_V1_DDGRID_LONG_R14_C22_E75_CR36_REDD_RECOVERED_DD8_SL20</x:v>
      </x:c>
      <x:c r="B1001" s="41" t="str">
        <x:v>dd_guard_grid</x:v>
      </x:c>
      <x:c r="C1001" s="41" t="str">
        <x:v>1999-01-04</x:v>
      </x:c>
      <x:c r="D1001" s="41" t="str">
        <x:v>2026-05-22</x:v>
      </x:c>
      <x:c r="E1001" s="41" t="n">
        <x:v>11.543008</x:v>
      </x:c>
      <x:c r="F1001" s="41" t="n">
        <x:v>-32.32034</x:v>
      </x:c>
      <x:c r="G1001" s="41" t="n">
        <x:v>1890.218679</x:v>
      </x:c>
      <x:c r="H1001" s="41" t="n">
        <x:f>IFERROR(E1001/ABS(F1001),"")</x:f>
        <x:v>0.3571437676707609</x:v>
      </x:c>
      <x:c r="I1001" s="41" t="n">
        <x:v>12.865299</x:v>
      </x:c>
      <x:c r="J1001" s="41" t="n">
        <x:v>-30.141224</x:v>
      </x:c>
      <x:c r="K1001" s="41" t="n">
        <x:v>2648.060589</x:v>
      </x:c>
      <x:c r="L1001" s="41" t="n">
        <x:f>IFERROR(I1001/ABS(J1001),"")</x:f>
        <x:v>0.4268339932047882</x:v>
      </x:c>
      <x:c r="M1001" s="41" t="n">
        <x:v>6.802475</x:v>
      </x:c>
      <x:c r="N1001" s="41" t="n">
        <x:v>-56.473669</x:v>
      </x:c>
      <x:c r="O1001" s="41" t="n">
        <x:v>506.057416</x:v>
      </x:c>
      <x:c r="P1001" s="41" t="n">
        <x:f>IFERROR(M1001/ABS(N1001),"")</x:f>
        <x:v>0.12045392340278087</x:v>
      </x:c>
      <x:c r="Q1001" s="41" t="str">
        <x:f>IF(L1001&gt;=MAX(H1001,P1001),"Weekly",IF(H1001&gt;=MAX(L1001,P1001),"No weekly","SPY"))</x:f>
        <x:v>Weekly</x:v>
      </x:c>
      <x:c r="R1001" s="41" t="n">
        <x:f>IFERROR(L1001-P1001,"")</x:f>
        <x:v>0.3063800698020073</x:v>
      </x:c>
      <x:c r="S1001" s="41" t="n">
        <x:f>IFERROR(H1001-P1001,"")</x:f>
        <x:v>0.23668984426798</x:v>
      </x:c>
      <x:c r="T1001" s="41" t="n">
        <x:f>IFERROR(I1001-M1001,"")</x:f>
        <x:v>6.062824</x:v>
      </x:c>
      <x:c r="U1001" s="41" t="n">
        <x:f>IFERROR(E1001-M1001,"")</x:f>
        <x:v>4.740533</x:v>
      </x:c>
      <x:c r="V1001" s="41" t="str">
        <x:f>IF(AND(I1001&gt;M1001,J1001&gt;N1001),"Sí","No")</x:f>
        <x:v>Sí</x:v>
      </x:c>
      <x:c r="W1001" s="41" t="str">
        <x:f>IF(AND(E1001&gt;M1001,F1001&gt;N1001),"Sí","No")</x:f>
        <x:v>Sí</x:v>
      </x:c>
      <x:c r="X1001" s="41" t="str">
        <x:f>IF(L1001&gt;=H1001,"Weekly","No weekly")</x:f>
        <x:v>Weekly</x:v>
      </x:c>
      <x:c r="Y1001" s="41" t="n">
        <x:f>IFERROR(I1001-E1001,"")</x:f>
        <x:v>1.3222909999999999</x:v>
      </x:c>
      <x:c r="Z1001" s="41" t="n">
        <x:f>IFERROR(J1001-F1001,"")</x:f>
        <x:v>2.1791160000000005</x:v>
      </x:c>
      <x:c r="AA1001" s="41" t="n">
        <x:v>11564</x:v>
      </x:c>
      <x:c r="AB1001" s="41" t="n">
        <x:v>6317</x:v>
      </x:c>
    </x:row>
    <x:row r="1002">
      <x:c r="A1002" s="41" t="str">
        <x:v>HYP_REFINE_AUTO002_TOPN_6_V1_DDGRID_LONG_R14_C22_E75_CR40_REDD_RECOVERED_DD10_SL20</x:v>
      </x:c>
      <x:c r="B1002" s="41" t="str">
        <x:v>dd_guard_grid</x:v>
      </x:c>
      <x:c r="C1002" s="41" t="str">
        <x:v>1999-01-04</x:v>
      </x:c>
      <x:c r="D1002" s="41" t="str">
        <x:v>2026-05-22</x:v>
      </x:c>
      <x:c r="E1002" s="41" t="n">
        <x:v>12.982366</x:v>
      </x:c>
      <x:c r="F1002" s="41" t="n">
        <x:v>-32.994581</x:v>
      </x:c>
      <x:c r="G1002" s="41" t="n">
        <x:v>2727.176477</x:v>
      </x:c>
      <x:c r="H1002" s="41" t="n">
        <x:f>IFERROR(E1002/ABS(F1002),"")</x:f>
        <x:v>0.39346964278770513</x:v>
      </x:c>
      <x:c r="I1002" s="41" t="n">
        <x:v>12.811165</x:v>
      </x:c>
      <x:c r="J1002" s="41" t="n">
        <x:v>-30.077289</x:v>
      </x:c>
      <x:c r="K1002" s="41" t="n">
        <x:v>2612.201376</x:v>
      </x:c>
      <x:c r="L1002" s="41" t="n">
        <x:f>IFERROR(I1002/ABS(J1002),"")</x:f>
        <x:v>0.42594148029764256</x:v>
      </x:c>
      <x:c r="M1002" s="41" t="n">
        <x:v>6.802475</x:v>
      </x:c>
      <x:c r="N1002" s="41" t="n">
        <x:v>-56.473669</x:v>
      </x:c>
      <x:c r="O1002" s="41" t="n">
        <x:v>506.057416</x:v>
      </x:c>
      <x:c r="P1002" s="41" t="n">
        <x:f>IFERROR(M1002/ABS(N1002),"")</x:f>
        <x:v>0.12045392340278087</x:v>
      </x:c>
      <x:c r="Q1002" s="41" t="str">
        <x:f>IF(L1002&gt;=MAX(H1002,P1002),"Weekly",IF(H1002&gt;=MAX(L1002,P1002),"No weekly","SPY"))</x:f>
        <x:v>Weekly</x:v>
      </x:c>
      <x:c r="R1002" s="41" t="n">
        <x:f>IFERROR(L1002-P1002,"")</x:f>
        <x:v>0.3054875568948617</x:v>
      </x:c>
      <x:c r="S1002" s="41" t="n">
        <x:f>IFERROR(H1002-P1002,"")</x:f>
        <x:v>0.27301571938492425</x:v>
      </x:c>
      <x:c r="T1002" s="41" t="n">
        <x:f>IFERROR(I1002-M1002,"")</x:f>
        <x:v>6.0086900000000005</x:v>
      </x:c>
      <x:c r="U1002" s="41" t="n">
        <x:f>IFERROR(E1002-M1002,"")</x:f>
        <x:v>6.1798910000000005</x:v>
      </x:c>
      <x:c r="V1002" s="41" t="str">
        <x:f>IF(AND(I1002&gt;M1002,J1002&gt;N1002),"Sí","No")</x:f>
        <x:v>Sí</x:v>
      </x:c>
      <x:c r="W1002" s="41" t="str">
        <x:f>IF(AND(E1002&gt;M1002,F1002&gt;N1002),"Sí","No")</x:f>
        <x:v>Sí</x:v>
      </x:c>
      <x:c r="X1002" s="41" t="str">
        <x:f>IF(L1002&gt;=H1002,"Weekly","No weekly")</x:f>
        <x:v>Weekly</x:v>
      </x:c>
      <x:c r="Y1002" s="41" t="n">
        <x:f>IFERROR(I1002-E1002,"")</x:f>
        <x:v>-0.17120099999999994</x:v>
      </x:c>
      <x:c r="Z1002" s="41" t="n">
        <x:f>IFERROR(J1002-F1002,"")</x:f>
        <x:v>2.917291999999996</x:v>
      </x:c>
      <x:c r="AA1002" s="41" t="n">
        <x:v>11497</x:v>
      </x:c>
      <x:c r="AB1002" s="41" t="n">
        <x:v>5625</x:v>
      </x:c>
    </x:row>
    <x:row r="1003">
      <x:c r="A1003" s="41" t="str">
        <x:v>HYP_REFINE_AUTO002_TOPN_6_V1_DDGRID_LONG_R14_C22_E75_CR40_REDD_RECOVERED_DD6_SL20</x:v>
      </x:c>
      <x:c r="B1003" s="41" t="str">
        <x:v>dd_guard_grid</x:v>
      </x:c>
      <x:c r="C1003" s="41" t="str">
        <x:v>1999-01-04</x:v>
      </x:c>
      <x:c r="D1003" s="41" t="str">
        <x:v>2026-05-22</x:v>
      </x:c>
      <x:c r="E1003" s="41" t="n">
        <x:v>12.302515</x:v>
      </x:c>
      <x:c r="F1003" s="41" t="n">
        <x:v>-32.994581</x:v>
      </x:c>
      <x:c r="G1003" s="41" t="n">
        <x:v>2296.562886</x:v>
      </x:c>
      <x:c r="H1003" s="41" t="n">
        <x:f>IFERROR(E1003/ABS(F1003),"")</x:f>
        <x:v>0.37286471375405555</x:v>
      </x:c>
      <x:c r="I1003" s="41" t="n">
        <x:v>12.377567</x:v>
      </x:c>
      <x:c r="J1003" s="41" t="n">
        <x:v>-30.077289</x:v>
      </x:c>
      <x:c r="K1003" s="41" t="n">
        <x:v>2340.801687</x:v>
      </x:c>
      <x:c r="L1003" s="41" t="n">
        <x:f>IFERROR(I1003/ABS(J1003),"")</x:f>
        <x:v>0.4115253538974208</x:v>
      </x:c>
      <x:c r="M1003" s="41" t="n">
        <x:v>6.802475</x:v>
      </x:c>
      <x:c r="N1003" s="41" t="n">
        <x:v>-56.473669</x:v>
      </x:c>
      <x:c r="O1003" s="41" t="n">
        <x:v>506.057416</x:v>
      </x:c>
      <x:c r="P1003" s="41" t="n">
        <x:f>IFERROR(M1003/ABS(N1003),"")</x:f>
        <x:v>0.12045392340278087</x:v>
      </x:c>
      <x:c r="Q1003" s="41" t="str">
        <x:f>IF(L1003&gt;=MAX(H1003,P1003),"Weekly",IF(H1003&gt;=MAX(L1003,P1003),"No weekly","SPY"))</x:f>
        <x:v>Weekly</x:v>
      </x:c>
      <x:c r="R1003" s="41" t="n">
        <x:f>IFERROR(L1003-P1003,"")</x:f>
        <x:v>0.2910714304946399</x:v>
      </x:c>
      <x:c r="S1003" s="41" t="n">
        <x:f>IFERROR(H1003-P1003,"")</x:f>
        <x:v>0.25241079035127467</x:v>
      </x:c>
      <x:c r="T1003" s="41" t="n">
        <x:f>IFERROR(I1003-M1003,"")</x:f>
        <x:v>5.575092000000001</x:v>
      </x:c>
      <x:c r="U1003" s="41" t="n">
        <x:f>IFERROR(E1003-M1003,"")</x:f>
        <x:v>5.500039999999999</x:v>
      </x:c>
      <x:c r="V1003" s="41" t="str">
        <x:f>IF(AND(I1003&gt;M1003,J1003&gt;N1003),"Sí","No")</x:f>
        <x:v>Sí</x:v>
      </x:c>
      <x:c r="W1003" s="41" t="str">
        <x:f>IF(AND(E1003&gt;M1003,F1003&gt;N1003),"Sí","No")</x:f>
        <x:v>Sí</x:v>
      </x:c>
      <x:c r="X1003" s="41" t="str">
        <x:f>IF(L1003&gt;=H1003,"Weekly","No weekly")</x:f>
        <x:v>Weekly</x:v>
      </x:c>
      <x:c r="Y1003" s="41" t="n">
        <x:f>IFERROR(I1003-E1003,"")</x:f>
        <x:v>0.07505200000000123</x:v>
      </x:c>
      <x:c r="Z1003" s="41" t="n">
        <x:f>IFERROR(J1003-F1003,"")</x:f>
        <x:v>2.917291999999996</x:v>
      </x:c>
      <x:c r="AA1003" s="41" t="n">
        <x:v>12062</x:v>
      </x:c>
      <x:c r="AB1003" s="41" t="n">
        <x:v>6401</x:v>
      </x:c>
    </x:row>
    <x:row r="1004">
      <x:c r="A1004" s="41" t="str">
        <x:v>HYP_REFINE_AUTO002_TOPN_6_V1_DDGRID_LONG_R14_C22_E75_CR40_REDD_RECOVERED_DD7_SL18</x:v>
      </x:c>
      <x:c r="B1004" s="41" t="str">
        <x:v>dd_guard_grid</x:v>
      </x:c>
      <x:c r="C1004" s="41" t="str">
        <x:v>1999-01-04</x:v>
      </x:c>
      <x:c r="D1004" s="41" t="str">
        <x:v>2026-05-22</x:v>
      </x:c>
      <x:c r="E1004" s="41" t="n">
        <x:v>12.992218</x:v>
      </x:c>
      <x:c r="F1004" s="41" t="n">
        <x:v>-31.821108</x:v>
      </x:c>
      <x:c r="G1004" s="41" t="n">
        <x:v>2733.93358</x:v>
      </x:c>
      <x:c r="H1004" s="41" t="n">
        <x:f>IFERROR(E1004/ABS(F1004),"")</x:f>
        <x:v>0.4082893028112032</x:v>
      </x:c>
      <x:c r="I1004" s="41" t="n">
        <x:v>12.550786</x:v>
      </x:c>
      <x:c r="J1004" s="41" t="n">
        <x:v>-30.233485</x:v>
      </x:c>
      <x:c r="K1004" s="41" t="n">
        <x:v>2445.928749</x:v>
      </x:c>
      <x:c r="L1004" s="41" t="n">
        <x:f>IFERROR(I1004/ABS(J1004),"")</x:f>
        <x:v>0.41512865619031347</x:v>
      </x:c>
      <x:c r="M1004" s="41" t="n">
        <x:v>6.802475</x:v>
      </x:c>
      <x:c r="N1004" s="41" t="n">
        <x:v>-56.473669</x:v>
      </x:c>
      <x:c r="O1004" s="41" t="n">
        <x:v>506.057416</x:v>
      </x:c>
      <x:c r="P1004" s="41" t="n">
        <x:f>IFERROR(M1004/ABS(N1004),"")</x:f>
        <x:v>0.12045392340278087</x:v>
      </x:c>
      <x:c r="Q1004" s="41" t="str">
        <x:f>IF(L1004&gt;=MAX(H1004,P1004),"Weekly",IF(H1004&gt;=MAX(L1004,P1004),"No weekly","SPY"))</x:f>
        <x:v>Weekly</x:v>
      </x:c>
      <x:c r="R1004" s="41" t="n">
        <x:f>IFERROR(L1004-P1004,"")</x:f>
        <x:v>0.2946747327875326</x:v>
      </x:c>
      <x:c r="S1004" s="41" t="n">
        <x:f>IFERROR(H1004-P1004,"")</x:f>
        <x:v>0.2878353794084223</x:v>
      </x:c>
      <x:c r="T1004" s="41" t="n">
        <x:f>IFERROR(I1004-M1004,"")</x:f>
        <x:v>5.748311</x:v>
      </x:c>
      <x:c r="U1004" s="41" t="n">
        <x:f>IFERROR(E1004-M1004,"")</x:f>
        <x:v>6.189742999999999</x:v>
      </x:c>
      <x:c r="V1004" s="41" t="str">
        <x:f>IF(AND(I1004&gt;M1004,J1004&gt;N1004),"Sí","No")</x:f>
        <x:v>Sí</x:v>
      </x:c>
      <x:c r="W1004" s="41" t="str">
        <x:f>IF(AND(E1004&gt;M1004,F1004&gt;N1004),"Sí","No")</x:f>
        <x:v>Sí</x:v>
      </x:c>
      <x:c r="X1004" s="41" t="str">
        <x:f>IF(L1004&gt;=H1004,"Weekly","No weekly")</x:f>
        <x:v>Weekly</x:v>
      </x:c>
      <x:c r="Y1004" s="41" t="n">
        <x:f>IFERROR(I1004-E1004,"")</x:f>
        <x:v>-0.44143199999999894</x:v>
      </x:c>
      <x:c r="Z1004" s="41" t="n">
        <x:f>IFERROR(J1004-F1004,"")</x:f>
        <x:v>1.5876229999999971</x:v>
      </x:c>
      <x:c r="AA1004" s="41" t="n">
        <x:v>11499</x:v>
      </x:c>
      <x:c r="AB1004" s="41" t="n">
        <x:v>5908</x:v>
      </x:c>
    </x:row>
    <x:row r="1005">
      <x:c r="A1005" s="41" t="str">
        <x:v>HYP_REFINE_AUTO002_TOPN_6_V1_DDGRID_LONG_R14_C22_E75_CR40_REDD_RECOVERED_DD7_SL20</x:v>
      </x:c>
      <x:c r="B1005" s="41" t="str">
        <x:v>dd_guard_grid</x:v>
      </x:c>
      <x:c r="C1005" s="41" t="str">
        <x:v>1999-01-04</x:v>
      </x:c>
      <x:c r="D1005" s="41" t="str">
        <x:v>2026-05-22</x:v>
      </x:c>
      <x:c r="E1005" s="41" t="n">
        <x:v>12.266719</x:v>
      </x:c>
      <x:c r="F1005" s="41" t="n">
        <x:v>-32.994581</x:v>
      </x:c>
      <x:c r="G1005" s="41" t="n">
        <x:v>2275.73623</x:v>
      </x:c>
      <x:c r="H1005" s="41" t="n">
        <x:f>IFERROR(E1005/ABS(F1005),"")</x:f>
        <x:v>0.37177980832670676</x:v>
      </x:c>
      <x:c r="I1005" s="41" t="n">
        <x:v>12.669089</x:v>
      </x:c>
      <x:c r="J1005" s="41" t="n">
        <x:v>-30.077289</x:v>
      </x:c>
      <x:c r="K1005" s="41" t="n">
        <x:v>2520.219229</x:v>
      </x:c>
      <x:c r="L1005" s="41" t="n">
        <x:f>IFERROR(I1005/ABS(J1005),"")</x:f>
        <x:v>0.42121778329157256</x:v>
      </x:c>
      <x:c r="M1005" s="41" t="n">
        <x:v>6.802475</x:v>
      </x:c>
      <x:c r="N1005" s="41" t="n">
        <x:v>-56.473669</x:v>
      </x:c>
      <x:c r="O1005" s="41" t="n">
        <x:v>506.057416</x:v>
      </x:c>
      <x:c r="P1005" s="41" t="n">
        <x:f>IFERROR(M1005/ABS(N1005),"")</x:f>
        <x:v>0.12045392340278087</x:v>
      </x:c>
      <x:c r="Q1005" s="41" t="str">
        <x:f>IF(L1005&gt;=MAX(H1005,P1005),"Weekly",IF(H1005&gt;=MAX(L1005,P1005),"No weekly","SPY"))</x:f>
        <x:v>Weekly</x:v>
      </x:c>
      <x:c r="R1005" s="41" t="n">
        <x:f>IFERROR(L1005-P1005,"")</x:f>
        <x:v>0.3007638598887917</x:v>
      </x:c>
      <x:c r="S1005" s="41" t="n">
        <x:f>IFERROR(H1005-P1005,"")</x:f>
        <x:v>0.2513258849239259</x:v>
      </x:c>
      <x:c r="T1005" s="41" t="n">
        <x:f>IFERROR(I1005-M1005,"")</x:f>
        <x:v>5.866613999999999</x:v>
      </x:c>
      <x:c r="U1005" s="41" t="n">
        <x:f>IFERROR(E1005-M1005,"")</x:f>
        <x:v>5.464244</x:v>
      </x:c>
      <x:c r="V1005" s="41" t="str">
        <x:f>IF(AND(I1005&gt;M1005,J1005&gt;N1005),"Sí","No")</x:f>
        <x:v>Sí</x:v>
      </x:c>
      <x:c r="W1005" s="41" t="str">
        <x:f>IF(AND(E1005&gt;M1005,F1005&gt;N1005),"Sí","No")</x:f>
        <x:v>Sí</x:v>
      </x:c>
      <x:c r="X1005" s="41" t="str">
        <x:f>IF(L1005&gt;=H1005,"Weekly","No weekly")</x:f>
        <x:v>Weekly</x:v>
      </x:c>
      <x:c r="Y1005" s="41" t="n">
        <x:f>IFERROR(I1005-E1005,"")</x:f>
        <x:v>0.40236999999999945</x:v>
      </x:c>
      <x:c r="Z1005" s="41" t="n">
        <x:f>IFERROR(J1005-F1005,"")</x:f>
        <x:v>2.917291999999996</x:v>
      </x:c>
      <x:c r="AA1005" s="41" t="n">
        <x:v>11893</x:v>
      </x:c>
      <x:c r="AB1005" s="41" t="n">
        <x:v>6282</x:v>
      </x:c>
    </x:row>
    <x:row r="1006">
      <x:c r="A1006" s="41" t="str">
        <x:v>HYP_REFINE_AUTO002_TOPN_6_V1_DDGRID_LONG_R14_C22_E75_CR40_REDD_RECOVERED_DD7_SL22</x:v>
      </x:c>
      <x:c r="B1006" s="41" t="str">
        <x:v>dd_guard_grid</x:v>
      </x:c>
      <x:c r="C1006" s="41" t="str">
        <x:v>1999-01-04</x:v>
      </x:c>
      <x:c r="D1006" s="41" t="str">
        <x:v>2026-05-22</x:v>
      </x:c>
      <x:c r="E1006" s="41" t="n">
        <x:v>12.182804</x:v>
      </x:c>
      <x:c r="F1006" s="41" t="n">
        <x:v>-33.580677</x:v>
      </x:c>
      <x:c r="G1006" s="41" t="n">
        <x:v>2227.59474</x:v>
      </x:c>
      <x:c r="H1006" s="41" t="n">
        <x:f>IFERROR(E1006/ABS(F1006),"")</x:f>
        <x:v>0.36279209022498266</x:v>
      </x:c>
      <x:c r="I1006" s="41" t="n">
        <x:v>12.682709</x:v>
      </x:c>
      <x:c r="J1006" s="41" t="n">
        <x:v>-29.964233</x:v>
      </x:c>
      <x:c r="K1006" s="41" t="n">
        <x:v>2528.905259</x:v>
      </x:c>
      <x:c r="L1006" s="41" t="n">
        <x:f>IFERROR(I1006/ABS(J1006),"")</x:f>
        <x:v>0.4232615932468553</x:v>
      </x:c>
      <x:c r="M1006" s="41" t="n">
        <x:v>6.802475</x:v>
      </x:c>
      <x:c r="N1006" s="41" t="n">
        <x:v>-56.473669</x:v>
      </x:c>
      <x:c r="O1006" s="41" t="n">
        <x:v>506.057416</x:v>
      </x:c>
      <x:c r="P1006" s="41" t="n">
        <x:f>IFERROR(M1006/ABS(N1006),"")</x:f>
        <x:v>0.12045392340278087</x:v>
      </x:c>
      <x:c r="Q1006" s="41" t="str">
        <x:f>IF(L1006&gt;=MAX(H1006,P1006),"Weekly",IF(H1006&gt;=MAX(L1006,P1006),"No weekly","SPY"))</x:f>
        <x:v>Weekly</x:v>
      </x:c>
      <x:c r="R1006" s="41" t="n">
        <x:f>IFERROR(L1006-P1006,"")</x:f>
        <x:v>0.3028076698440744</x:v>
      </x:c>
      <x:c r="S1006" s="41" t="n">
        <x:f>IFERROR(H1006-P1006,"")</x:f>
        <x:v>0.24233816682220177</x:v>
      </x:c>
      <x:c r="T1006" s="41" t="n">
        <x:f>IFERROR(I1006-M1006,"")</x:f>
        <x:v>5.880233999999999</x:v>
      </x:c>
      <x:c r="U1006" s="41" t="n">
        <x:f>IFERROR(E1006-M1006,"")</x:f>
        <x:v>5.380329000000001</x:v>
      </x:c>
      <x:c r="V1006" s="41" t="str">
        <x:f>IF(AND(I1006&gt;M1006,J1006&gt;N1006),"Sí","No")</x:f>
        <x:v>Sí</x:v>
      </x:c>
      <x:c r="W1006" s="41" t="str">
        <x:f>IF(AND(E1006&gt;M1006,F1006&gt;N1006),"Sí","No")</x:f>
        <x:v>Sí</x:v>
      </x:c>
      <x:c r="X1006" s="41" t="str">
        <x:f>IF(L1006&gt;=H1006,"Weekly","No weekly")</x:f>
        <x:v>Weekly</x:v>
      </x:c>
      <x:c r="Y1006" s="41" t="n">
        <x:f>IFERROR(I1006-E1006,"")</x:f>
        <x:v>0.49990499999999827</x:v>
      </x:c>
      <x:c r="Z1006" s="41" t="n">
        <x:f>IFERROR(J1006-F1006,"")</x:f>
        <x:v>3.6164440000000013</x:v>
      </x:c>
      <x:c r="AA1006" s="41" t="n">
        <x:v>11909</x:v>
      </x:c>
      <x:c r="AB1006" s="41" t="n">
        <x:v>6459</x:v>
      </x:c>
    </x:row>
    <x:row r="1007">
      <x:c r="A1007" s="41" t="str">
        <x:v>HYP_REFINE_AUTO002_TOPN_6_V1_DDGRID_LONG_R14_C22_E75_CR40_REDD_RECOVERED_DD8_SL18</x:v>
      </x:c>
      <x:c r="B1007" s="41" t="str">
        <x:v>dd_guard_grid</x:v>
      </x:c>
      <x:c r="C1007" s="41" t="str">
        <x:v>1999-01-04</x:v>
      </x:c>
      <x:c r="D1007" s="41" t="str">
        <x:v>2026-05-22</x:v>
      </x:c>
      <x:c r="E1007" s="41" t="n">
        <x:v>12.484551</x:v>
      </x:c>
      <x:c r="F1007" s="41" t="n">
        <x:v>-31.740465</x:v>
      </x:c>
      <x:c r="G1007" s="41" t="n">
        <x:v>2405.225285</x:v>
      </x:c>
      <x:c r="H1007" s="41" t="n">
        <x:f>IFERROR(E1007/ABS(F1007),"")</x:f>
        <x:v>0.39333232830709947</x:v>
      </x:c>
      <x:c r="I1007" s="41" t="n">
        <x:v>12.798411</x:v>
      </x:c>
      <x:c r="J1007" s="41" t="n">
        <x:v>-30.233485</x:v>
      </x:c>
      <x:c r="K1007" s="41" t="n">
        <x:v>2603.819141</x:v>
      </x:c>
      <x:c r="L1007" s="41" t="n">
        <x:f>IFERROR(I1007/ABS(J1007),"")</x:f>
        <x:v>0.4233190781677997</x:v>
      </x:c>
      <x:c r="M1007" s="41" t="n">
        <x:v>6.802475</x:v>
      </x:c>
      <x:c r="N1007" s="41" t="n">
        <x:v>-56.473669</x:v>
      </x:c>
      <x:c r="O1007" s="41" t="n">
        <x:v>506.057416</x:v>
      </x:c>
      <x:c r="P1007" s="41" t="n">
        <x:f>IFERROR(M1007/ABS(N1007),"")</x:f>
        <x:v>0.12045392340278087</x:v>
      </x:c>
      <x:c r="Q1007" s="41" t="str">
        <x:f>IF(L1007&gt;=MAX(H1007,P1007),"Weekly",IF(H1007&gt;=MAX(L1007,P1007),"No weekly","SPY"))</x:f>
        <x:v>Weekly</x:v>
      </x:c>
      <x:c r="R1007" s="41" t="n">
        <x:f>IFERROR(L1007-P1007,"")</x:f>
        <x:v>0.3028651547650188</x:v>
      </x:c>
      <x:c r="S1007" s="41" t="n">
        <x:f>IFERROR(H1007-P1007,"")</x:f>
        <x:v>0.2728784049043186</x:v>
      </x:c>
      <x:c r="T1007" s="41" t="n">
        <x:f>IFERROR(I1007-M1007,"")</x:f>
        <x:v>5.9959359999999995</x:v>
      </x:c>
      <x:c r="U1007" s="41" t="n">
        <x:f>IFERROR(E1007-M1007,"")</x:f>
        <x:v>5.6820759999999995</x:v>
      </x:c>
      <x:c r="V1007" s="41" t="str">
        <x:f>IF(AND(I1007&gt;M1007,J1007&gt;N1007),"Sí","No")</x:f>
        <x:v>Sí</x:v>
      </x:c>
      <x:c r="W1007" s="41" t="str">
        <x:f>IF(AND(E1007&gt;M1007,F1007&gt;N1007),"Sí","No")</x:f>
        <x:v>Sí</x:v>
      </x:c>
      <x:c r="X1007" s="41" t="str">
        <x:f>IF(L1007&gt;=H1007,"Weekly","No weekly")</x:f>
        <x:v>Weekly</x:v>
      </x:c>
      <x:c r="Y1007" s="41" t="n">
        <x:f>IFERROR(I1007-E1007,"")</x:f>
        <x:v>0.31386000000000003</x:v>
      </x:c>
      <x:c r="Z1007" s="41" t="n">
        <x:f>IFERROR(J1007-F1007,"")</x:f>
        <x:v>1.5069799999999987</x:v>
      </x:c>
      <x:c r="AA1007" s="41" t="n">
        <x:v>11249</x:v>
      </x:c>
      <x:c r="AB1007" s="41" t="n">
        <x:v>5596</x:v>
      </x:c>
    </x:row>
    <x:row r="1008">
      <x:c r="A1008" s="41" t="str">
        <x:v>HYP_REFINE_AUTO002_TOPN_6_V1_DDGRID_LONG_R14_C22_E75_CR40_REDD_RECOVERED_DD8_SL20</x:v>
      </x:c>
      <x:c r="B1008" s="41" t="str">
        <x:v>dd_guard_grid</x:v>
      </x:c>
      <x:c r="C1008" s="41" t="str">
        <x:v>1999-01-04</x:v>
      </x:c>
      <x:c r="D1008" s="41" t="str">
        <x:v>2026-05-22</x:v>
      </x:c>
      <x:c r="E1008" s="41" t="n">
        <x:v>13.268422</x:v>
      </x:c>
      <x:c r="F1008" s="41" t="n">
        <x:v>-32.994581</x:v>
      </x:c>
      <x:c r="G1008" s="41" t="n">
        <x:v>2929.839179</x:v>
      </x:c>
      <x:c r="H1008" s="41" t="n">
        <x:f>IFERROR(E1008/ABS(F1008),"")</x:f>
        <x:v>0.40213943010823505</x:v>
      </x:c>
      <x:c r="I1008" s="41" t="n">
        <x:v>13.0332</x:v>
      </x:c>
      <x:c r="J1008" s="41" t="n">
        <x:v>-30.077289</x:v>
      </x:c>
      <x:c r="K1008" s="41" t="n">
        <x:v>2762.210462</x:v>
      </x:c>
      <x:c r="L1008" s="41" t="n">
        <x:f>IFERROR(I1008/ABS(J1008),"")</x:f>
        <x:v>0.43332362833631716</x:v>
      </x:c>
      <x:c r="M1008" s="41" t="n">
        <x:v>6.802475</x:v>
      </x:c>
      <x:c r="N1008" s="41" t="n">
        <x:v>-56.473669</x:v>
      </x:c>
      <x:c r="O1008" s="41" t="n">
        <x:v>506.057416</x:v>
      </x:c>
      <x:c r="P1008" s="41" t="n">
        <x:f>IFERROR(M1008/ABS(N1008),"")</x:f>
        <x:v>0.12045392340278087</x:v>
      </x:c>
      <x:c r="Q1008" s="41" t="str">
        <x:f>IF(L1008&gt;=MAX(H1008,P1008),"Weekly",IF(H1008&gt;=MAX(L1008,P1008),"No weekly","SPY"))</x:f>
        <x:v>Weekly</x:v>
      </x:c>
      <x:c r="R1008" s="41" t="n">
        <x:f>IFERROR(L1008-P1008,"")</x:f>
        <x:v>0.3128697049335363</x:v>
      </x:c>
      <x:c r="S1008" s="41" t="n">
        <x:f>IFERROR(H1008-P1008,"")</x:f>
        <x:v>0.28168550670545417</x:v>
      </x:c>
      <x:c r="T1008" s="41" t="n">
        <x:f>IFERROR(I1008-M1008,"")</x:f>
        <x:v>6.2307250000000005</x:v>
      </x:c>
      <x:c r="U1008" s="41" t="n">
        <x:f>IFERROR(E1008-M1008,"")</x:f>
        <x:v>6.465946999999999</x:v>
      </x:c>
      <x:c r="V1008" s="41" t="str">
        <x:f>IF(AND(I1008&gt;M1008,J1008&gt;N1008),"Sí","No")</x:f>
        <x:v>Sí</x:v>
      </x:c>
      <x:c r="W1008" s="41" t="str">
        <x:f>IF(AND(E1008&gt;M1008,F1008&gt;N1008),"Sí","No")</x:f>
        <x:v>Sí</x:v>
      </x:c>
      <x:c r="X1008" s="41" t="str">
        <x:f>IF(L1008&gt;=H1008,"Weekly","No weekly")</x:f>
        <x:v>Weekly</x:v>
      </x:c>
      <x:c r="Y1008" s="41" t="n">
        <x:f>IFERROR(I1008-E1008,"")</x:f>
        <x:v>-0.2352219999999985</x:v>
      </x:c>
      <x:c r="Z1008" s="41" t="n">
        <x:f>IFERROR(J1008-F1008,"")</x:f>
        <x:v>2.917291999999996</x:v>
      </x:c>
      <x:c r="AA1008" s="41" t="n">
        <x:v>11554</x:v>
      </x:c>
      <x:c r="AB1008" s="41" t="n">
        <x:v>6010</x:v>
      </x:c>
    </x:row>
    <x:row r="1009">
      <x:c r="A1009" s="41" t="str">
        <x:v>HYP_REFINE_AUTO002_TOPN_6_V1_DDGRID_LONG_R14_C22_E75_CR40_REDD_RECOVERED_DD8_SL22</x:v>
      </x:c>
      <x:c r="B1009" s="41" t="str">
        <x:v>dd_guard_grid</x:v>
      </x:c>
      <x:c r="C1009" s="41" t="str">
        <x:v>1999-01-04</x:v>
      </x:c>
      <x:c r="D1009" s="41" t="str">
        <x:v>2026-05-22</x:v>
      </x:c>
      <x:c r="E1009" s="41" t="n">
        <x:v>12.212946</x:v>
      </x:c>
      <x:c r="F1009" s="41" t="n">
        <x:v>-33.580677</x:v>
      </x:c>
      <x:c r="G1009" s="41" t="n">
        <x:v>2244.777884</x:v>
      </x:c>
      <x:c r="H1009" s="41" t="n">
        <x:f>IFERROR(E1009/ABS(F1009),"")</x:f>
        <x:v>0.3636896897581904</x:v>
      </x:c>
      <x:c r="I1009" s="41" t="n">
        <x:v>12.985107</x:v>
      </x:c>
      <x:c r="J1009" s="41" t="n">
        <x:v>-29.964233</x:v>
      </x:c>
      <x:c r="K1009" s="41" t="n">
        <x:v>2729.054615</x:v>
      </x:c>
      <x:c r="L1009" s="41" t="n">
        <x:f>IFERROR(I1009/ABS(J1009),"")</x:f>
        <x:v>0.433353558557631</x:v>
      </x:c>
      <x:c r="M1009" s="41" t="n">
        <x:v>6.802475</x:v>
      </x:c>
      <x:c r="N1009" s="41" t="n">
        <x:v>-56.473669</x:v>
      </x:c>
      <x:c r="O1009" s="41" t="n">
        <x:v>506.057416</x:v>
      </x:c>
      <x:c r="P1009" s="41" t="n">
        <x:f>IFERROR(M1009/ABS(N1009),"")</x:f>
        <x:v>0.12045392340278087</x:v>
      </x:c>
      <x:c r="Q1009" s="41" t="str">
        <x:f>IF(L1009&gt;=MAX(H1009,P1009),"Weekly",IF(H1009&gt;=MAX(L1009,P1009),"No weekly","SPY"))</x:f>
        <x:v>Weekly</x:v>
      </x:c>
      <x:c r="R1009" s="41" t="n">
        <x:f>IFERROR(L1009-P1009,"")</x:f>
        <x:v>0.31289963515485014</x:v>
      </x:c>
      <x:c r="S1009" s="41" t="n">
        <x:f>IFERROR(H1009-P1009,"")</x:f>
        <x:v>0.2432357663554095</x:v>
      </x:c>
      <x:c r="T1009" s="41" t="n">
        <x:f>IFERROR(I1009-M1009,"")</x:f>
        <x:v>6.182631999999999</x:v>
      </x:c>
      <x:c r="U1009" s="41" t="n">
        <x:f>IFERROR(E1009-M1009,"")</x:f>
        <x:v>5.410471</x:v>
      </x:c>
      <x:c r="V1009" s="41" t="str">
        <x:f>IF(AND(I1009&gt;M1009,J1009&gt;N1009),"Sí","No")</x:f>
        <x:v>Sí</x:v>
      </x:c>
      <x:c r="W1009" s="41" t="str">
        <x:f>IF(AND(E1009&gt;M1009,F1009&gt;N1009),"Sí","No")</x:f>
        <x:v>Sí</x:v>
      </x:c>
      <x:c r="X1009" s="41" t="str">
        <x:f>IF(L1009&gt;=H1009,"Weekly","No weekly")</x:f>
        <x:v>Weekly</x:v>
      </x:c>
      <x:c r="Y1009" s="41" t="n">
        <x:f>IFERROR(I1009-E1009,"")</x:f>
        <x:v>0.7721609999999988</x:v>
      </x:c>
      <x:c r="Z1009" s="41" t="n">
        <x:f>IFERROR(J1009-F1009,"")</x:f>
        <x:v>3.6164440000000013</x:v>
      </x:c>
      <x:c r="AA1009" s="41" t="n">
        <x:v>11629</x:v>
      </x:c>
      <x:c r="AB1009" s="41" t="n">
        <x:v>6251</x:v>
      </x:c>
    </x:row>
    <x:row r="1010">
      <x:c r="A1010" s="41" t="str">
        <x:v>HYP_REFINE_AUTO002_TOPN_6_V1_DDGRID_LONG_R14_C22_E75_CR40_REDD_RECOVERED_DD8_SL24</x:v>
      </x:c>
      <x:c r="B1010" s="41" t="str">
        <x:v>dd_guard_grid</x:v>
      </x:c>
      <x:c r="C1010" s="41" t="str">
        <x:v>1999-01-04</x:v>
      </x:c>
      <x:c r="D1010" s="41" t="str">
        <x:v>2026-05-22</x:v>
      </x:c>
      <x:c r="E1010" s="41" t="n">
        <x:v>10.83426</x:v>
      </x:c>
      <x:c r="F1010" s="41" t="n">
        <x:v>-34.386623</x:v>
      </x:c>
      <x:c r="G1010" s="41" t="n">
        <x:v>1571.50674</x:v>
      </x:c>
      <x:c r="H1010" s="41" t="n">
        <x:f>IFERROR(E1010/ABS(F1010),"")</x:f>
        <x:v>0.31507193945738726</x:v>
      </x:c>
      <x:c r="I1010" s="41" t="n">
        <x:v>13.626128</x:v>
      </x:c>
      <x:c r="J1010" s="41" t="n">
        <x:v>-30.099288</x:v>
      </x:c>
      <x:c r="K1010" s="41" t="n">
        <x:v>3203.014748</x:v>
      </x:c>
      <x:c r="L1010" s="41" t="n">
        <x:f>IFERROR(I1010/ABS(J1010),"")</x:f>
        <x:v>0.4527059909191207</x:v>
      </x:c>
      <x:c r="M1010" s="41" t="n">
        <x:v>6.802475</x:v>
      </x:c>
      <x:c r="N1010" s="41" t="n">
        <x:v>-56.473669</x:v>
      </x:c>
      <x:c r="O1010" s="41" t="n">
        <x:v>506.057416</x:v>
      </x:c>
      <x:c r="P1010" s="41" t="n">
        <x:f>IFERROR(M1010/ABS(N1010),"")</x:f>
        <x:v>0.12045392340278087</x:v>
      </x:c>
      <x:c r="Q1010" s="41" t="str">
        <x:f>IF(L1010&gt;=MAX(H1010,P1010),"Weekly",IF(H1010&gt;=MAX(L1010,P1010),"No weekly","SPY"))</x:f>
        <x:v>Weekly</x:v>
      </x:c>
      <x:c r="R1010" s="41" t="n">
        <x:f>IFERROR(L1010-P1010,"")</x:f>
        <x:v>0.33225206751633984</x:v>
      </x:c>
      <x:c r="S1010" s="41" t="n">
        <x:f>IFERROR(H1010-P1010,"")</x:f>
        <x:v>0.19461801605460638</x:v>
      </x:c>
      <x:c r="T1010" s="41" t="n">
        <x:f>IFERROR(I1010-M1010,"")</x:f>
        <x:v>6.823652999999999</x:v>
      </x:c>
      <x:c r="U1010" s="41" t="n">
        <x:f>IFERROR(E1010-M1010,"")</x:f>
        <x:v>4.031785</x:v>
      </x:c>
      <x:c r="V1010" s="41" t="str">
        <x:f>IF(AND(I1010&gt;M1010,J1010&gt;N1010),"Sí","No")</x:f>
        <x:v>Sí</x:v>
      </x:c>
      <x:c r="W1010" s="41" t="str">
        <x:f>IF(AND(E1010&gt;M1010,F1010&gt;N1010),"Sí","No")</x:f>
        <x:v>Sí</x:v>
      </x:c>
      <x:c r="X1010" s="41" t="str">
        <x:f>IF(L1010&gt;=H1010,"Weekly","No weekly")</x:f>
        <x:v>Weekly</x:v>
      </x:c>
      <x:c r="Y1010" s="41" t="n">
        <x:f>IFERROR(I1010-E1010,"")</x:f>
        <x:v>2.791867999999999</x:v>
      </x:c>
      <x:c r="Z1010" s="41" t="n">
        <x:f>IFERROR(J1010-F1010,"")</x:f>
        <x:v>4.287334999999999</x:v>
      </x:c>
      <x:c r="AA1010" s="41" t="n">
        <x:v>11729</x:v>
      </x:c>
      <x:c r="AB1010" s="41" t="n">
        <x:v>5862</x:v>
      </x:c>
    </x:row>
    <x:row r="1011">
      <x:c r="A1011" s="41" t="str">
        <x:v>HYP_REFINE_AUTO002_TOPN_6_V1_DDGRID_LONG_R14_C22_E75_CR40_REDD_RECOVERED_DD8_SLNONE</x:v>
      </x:c>
      <x:c r="B1011" s="41" t="str">
        <x:v>dd_guard_grid</x:v>
      </x:c>
      <x:c r="C1011" s="41" t="str">
        <x:v>1999-01-04</x:v>
      </x:c>
      <x:c r="D1011" s="41" t="str">
        <x:v>2026-05-22</x:v>
      </x:c>
      <x:c r="E1011" s="41" t="n">
        <x:v>11.86646</x:v>
      </x:c>
      <x:c r="F1011" s="41" t="n">
        <x:v>-33.696239</x:v>
      </x:c>
      <x:c r="G1011" s="41" t="n">
        <x:v>2054.420521</x:v>
      </x:c>
      <x:c r="H1011" s="41" t="n">
        <x:f>IFERROR(E1011/ABS(F1011),"")</x:f>
        <x:v>0.3521597766445092</x:v>
      </x:c>
      <x:c r="I1011" s="41" t="n">
        <x:v>13.734926</x:v>
      </x:c>
      <x:c r="J1011" s="41" t="n">
        <x:v>-30.16145</x:v>
      </x:c>
      <x:c r="K1011" s="41" t="n">
        <x:v>3290.706858</x:v>
      </x:c>
      <x:c r="L1011" s="41" t="n">
        <x:f>IFERROR(I1011/ABS(J1011),"")</x:f>
        <x:v>0.4553801624258781</x:v>
      </x:c>
      <x:c r="M1011" s="41" t="n">
        <x:v>6.802475</x:v>
      </x:c>
      <x:c r="N1011" s="41" t="n">
        <x:v>-56.473669</x:v>
      </x:c>
      <x:c r="O1011" s="41" t="n">
        <x:v>506.057416</x:v>
      </x:c>
      <x:c r="P1011" s="41" t="n">
        <x:f>IFERROR(M1011/ABS(N1011),"")</x:f>
        <x:v>0.12045392340278087</x:v>
      </x:c>
      <x:c r="Q1011" s="41" t="str">
        <x:f>IF(L1011&gt;=MAX(H1011,P1011),"Weekly",IF(H1011&gt;=MAX(L1011,P1011),"No weekly","SPY"))</x:f>
        <x:v>Weekly</x:v>
      </x:c>
      <x:c r="R1011" s="41" t="n">
        <x:f>IFERROR(L1011-P1011,"")</x:f>
        <x:v>0.3349262390230972</x:v>
      </x:c>
      <x:c r="S1011" s="41" t="n">
        <x:f>IFERROR(H1011-P1011,"")</x:f>
        <x:v>0.23170585324172832</x:v>
      </x:c>
      <x:c r="T1011" s="41" t="n">
        <x:f>IFERROR(I1011-M1011,"")</x:f>
        <x:v>6.9324509999999995</x:v>
      </x:c>
      <x:c r="U1011" s="41" t="n">
        <x:f>IFERROR(E1011-M1011,"")</x:f>
        <x:v>5.063985</x:v>
      </x:c>
      <x:c r="V1011" s="41" t="str">
        <x:f>IF(AND(I1011&gt;M1011,J1011&gt;N1011),"Sí","No")</x:f>
        <x:v>Sí</x:v>
      </x:c>
      <x:c r="W1011" s="41" t="str">
        <x:f>IF(AND(E1011&gt;M1011,F1011&gt;N1011),"Sí","No")</x:f>
        <x:v>Sí</x:v>
      </x:c>
      <x:c r="X1011" s="41" t="str">
        <x:f>IF(L1011&gt;=H1011,"Weekly","No weekly")</x:f>
        <x:v>Weekly</x:v>
      </x:c>
      <x:c r="Y1011" s="41" t="n">
        <x:f>IFERROR(I1011-E1011,"")</x:f>
        <x:v>1.8684659999999997</x:v>
      </x:c>
      <x:c r="Z1011" s="41" t="n">
        <x:f>IFERROR(J1011-F1011,"")</x:f>
        <x:v>3.534789</x:v>
      </x:c>
      <x:c r="AA1011" s="41" t="n">
        <x:v>11770</x:v>
      </x:c>
      <x:c r="AB1011" s="41" t="n">
        <x:v>6420</x:v>
      </x:c>
    </x:row>
    <x:row r="1012">
      <x:c r="A1012" s="41" t="str">
        <x:v>HYP_REFINE_AUTO002_TOPN_6_V1_DDGRID_LONG_R14_C22_E75_CR40_REDD_RECOVERED_DD9_SL18</x:v>
      </x:c>
      <x:c r="B1012" s="41" t="str">
        <x:v>dd_guard_grid</x:v>
      </x:c>
      <x:c r="C1012" s="41" t="str">
        <x:v>1999-01-04</x:v>
      </x:c>
      <x:c r="D1012" s="41" t="str">
        <x:v>2026-05-22</x:v>
      </x:c>
      <x:c r="E1012" s="41" t="n">
        <x:v>12.21787</x:v>
      </x:c>
      <x:c r="F1012" s="41" t="n">
        <x:v>-31.737522</x:v>
      </x:c>
      <x:c r="G1012" s="41" t="n">
        <x:v>2247.596557</x:v>
      </x:c>
      <x:c r="H1012" s="41" t="n">
        <x:f>IFERROR(E1012/ABS(F1012),"")</x:f>
        <x:v>0.38496609785729335</x:v>
      </x:c>
      <x:c r="I1012" s="41" t="n">
        <x:v>12.752152</x:v>
      </x:c>
      <x:c r="J1012" s="41" t="n">
        <x:v>-30.233485</x:v>
      </x:c>
      <x:c r="K1012" s="41" t="n">
        <x:v>2573.62392</x:v>
      </x:c>
      <x:c r="L1012" s="41" t="n">
        <x:f>IFERROR(I1012/ABS(J1012),"")</x:f>
        <x:v>0.4217890196912463</x:v>
      </x:c>
      <x:c r="M1012" s="41" t="n">
        <x:v>6.802475</x:v>
      </x:c>
      <x:c r="N1012" s="41" t="n">
        <x:v>-56.473669</x:v>
      </x:c>
      <x:c r="O1012" s="41" t="n">
        <x:v>506.057416</x:v>
      </x:c>
      <x:c r="P1012" s="41" t="n">
        <x:f>IFERROR(M1012/ABS(N1012),"")</x:f>
        <x:v>0.12045392340278087</x:v>
      </x:c>
      <x:c r="Q1012" s="41" t="str">
        <x:f>IF(L1012&gt;=MAX(H1012,P1012),"Weekly",IF(H1012&gt;=MAX(L1012,P1012),"No weekly","SPY"))</x:f>
        <x:v>Weekly</x:v>
      </x:c>
      <x:c r="R1012" s="41" t="n">
        <x:f>IFERROR(L1012-P1012,"")</x:f>
        <x:v>0.30133509628846544</x:v>
      </x:c>
      <x:c r="S1012" s="41" t="n">
        <x:f>IFERROR(H1012-P1012,"")</x:f>
        <x:v>0.26451217445451247</x:v>
      </x:c>
      <x:c r="T1012" s="41" t="n">
        <x:f>IFERROR(I1012-M1012,"")</x:f>
        <x:v>5.949677</x:v>
      </x:c>
      <x:c r="U1012" s="41" t="n">
        <x:f>IFERROR(E1012-M1012,"")</x:f>
        <x:v>5.415394999999999</x:v>
      </x:c>
      <x:c r="V1012" s="41" t="str">
        <x:f>IF(AND(I1012&gt;M1012,J1012&gt;N1012),"Sí","No")</x:f>
        <x:v>Sí</x:v>
      </x:c>
      <x:c r="W1012" s="41" t="str">
        <x:f>IF(AND(E1012&gt;M1012,F1012&gt;N1012),"Sí","No")</x:f>
        <x:v>Sí</x:v>
      </x:c>
      <x:c r="X1012" s="41" t="str">
        <x:f>IF(L1012&gt;=H1012,"Weekly","No weekly")</x:f>
        <x:v>Weekly</x:v>
      </x:c>
      <x:c r="Y1012" s="41" t="n">
        <x:f>IFERROR(I1012-E1012,"")</x:f>
        <x:v>0.534282000000001</x:v>
      </x:c>
      <x:c r="Z1012" s="41" t="n">
        <x:f>IFERROR(J1012-F1012,"")</x:f>
        <x:v>1.5040369999999967</x:v>
      </x:c>
      <x:c r="AA1012" s="41" t="n">
        <x:v>11096</x:v>
      </x:c>
      <x:c r="AB1012" s="41" t="n">
        <x:v>5360</x:v>
      </x:c>
    </x:row>
    <x:row r="1013">
      <x:c r="A1013" s="41" t="str">
        <x:v>HYP_REFINE_AUTO002_TOPN_6_V1_DDGRID_LONG_R14_C22_E75_CR40_REDD_RECOVERED_DD9_SL20</x:v>
      </x:c>
      <x:c r="B1013" s="41" t="str">
        <x:v>dd_guard_grid</x:v>
      </x:c>
      <x:c r="C1013" s="41" t="str">
        <x:v>1999-01-04</x:v>
      </x:c>
      <x:c r="D1013" s="41" t="str">
        <x:v>2026-05-22</x:v>
      </x:c>
      <x:c r="E1013" s="41" t="n">
        <x:v>12.842227</x:v>
      </x:c>
      <x:c r="F1013" s="41" t="n">
        <x:v>-32.994581</x:v>
      </x:c>
      <x:c r="G1013" s="41" t="n">
        <x:v>2632.721981</x:v>
      </x:c>
      <x:c r="H1013" s="41" t="n">
        <x:f>IFERROR(E1013/ABS(F1013),"")</x:f>
        <x:v>0.3892223089603714</x:v>
      </x:c>
      <x:c r="I1013" s="41" t="n">
        <x:v>13.015039</x:v>
      </x:c>
      <x:c r="J1013" s="41" t="n">
        <x:v>-30.077289</x:v>
      </x:c>
      <x:c r="K1013" s="41" t="n">
        <x:v>2749.646193</x:v>
      </x:c>
      <x:c r="L1013" s="41" t="n">
        <x:f>IFERROR(I1013/ABS(J1013),"")</x:f>
        <x:v>0.4327198172681055</x:v>
      </x:c>
      <x:c r="M1013" s="41" t="n">
        <x:v>6.802475</x:v>
      </x:c>
      <x:c r="N1013" s="41" t="n">
        <x:v>-56.473669</x:v>
      </x:c>
      <x:c r="O1013" s="41" t="n">
        <x:v>506.057416</x:v>
      </x:c>
      <x:c r="P1013" s="41" t="n">
        <x:f>IFERROR(M1013/ABS(N1013),"")</x:f>
        <x:v>0.12045392340278087</x:v>
      </x:c>
      <x:c r="Q1013" s="41" t="str">
        <x:f>IF(L1013&gt;=MAX(H1013,P1013),"Weekly",IF(H1013&gt;=MAX(L1013,P1013),"No weekly","SPY"))</x:f>
        <x:v>Weekly</x:v>
      </x:c>
      <x:c r="R1013" s="41" t="n">
        <x:f>IFERROR(L1013-P1013,"")</x:f>
        <x:v>0.3122658938653246</x:v>
      </x:c>
      <x:c r="S1013" s="41" t="n">
        <x:f>IFERROR(H1013-P1013,"")</x:f>
        <x:v>0.26876838555759053</x:v>
      </x:c>
      <x:c r="T1013" s="41" t="n">
        <x:f>IFERROR(I1013-M1013,"")</x:f>
        <x:v>6.2125639999999995</x:v>
      </x:c>
      <x:c r="U1013" s="41" t="n">
        <x:f>IFERROR(E1013-M1013,"")</x:f>
        <x:v>6.039751999999999</x:v>
      </x:c>
      <x:c r="V1013" s="41" t="str">
        <x:f>IF(AND(I1013&gt;M1013,J1013&gt;N1013),"Sí","No")</x:f>
        <x:v>Sí</x:v>
      </x:c>
      <x:c r="W1013" s="41" t="str">
        <x:f>IF(AND(E1013&gt;M1013,F1013&gt;N1013),"Sí","No")</x:f>
        <x:v>Sí</x:v>
      </x:c>
      <x:c r="X1013" s="41" t="str">
        <x:f>IF(L1013&gt;=H1013,"Weekly","No weekly")</x:f>
        <x:v>Weekly</x:v>
      </x:c>
      <x:c r="Y1013" s="41" t="n">
        <x:f>IFERROR(I1013-E1013,"")</x:f>
        <x:v>0.1728120000000004</x:v>
      </x:c>
      <x:c r="Z1013" s="41" t="n">
        <x:f>IFERROR(J1013-F1013,"")</x:f>
        <x:v>2.917291999999996</x:v>
      </x:c>
      <x:c r="AA1013" s="41" t="n">
        <x:v>11378</x:v>
      </x:c>
      <x:c r="AB1013" s="41" t="n">
        <x:v>5870</x:v>
      </x:c>
    </x:row>
    <x:row r="1014">
      <x:c r="A1014" s="41" t="str">
        <x:v>HYP_REFINE_AUTO002_TOPN_6_V1_DDGRID_LONG_R14_C22_E75_CR42_REDD_RECOVERED_DD8_SL20</x:v>
      </x:c>
      <x:c r="B1014" s="41" t="str">
        <x:v>dd_guard_grid</x:v>
      </x:c>
      <x:c r="C1014" s="41" t="str">
        <x:v>1999-01-04</x:v>
      </x:c>
      <x:c r="D1014" s="41" t="str">
        <x:v>2026-05-22</x:v>
      </x:c>
      <x:c r="E1014" s="41" t="n">
        <x:v>13.193352</x:v>
      </x:c>
      <x:c r="F1014" s="41" t="n">
        <x:v>-33.357152</x:v>
      </x:c>
      <x:c r="G1014" s="41" t="n">
        <x:v>2875.339689</x:v>
      </x:c>
      <x:c r="H1014" s="41" t="n">
        <x:f>IFERROR(E1014/ABS(F1014),"")</x:f>
        <x:v>0.3955179387017213</x:v>
      </x:c>
      <x:c r="I1014" s="41" t="n">
        <x:v>13.345442</x:v>
      </x:c>
      <x:c r="J1014" s="41" t="n">
        <x:v>-30.274</x:v>
      </x:c>
      <x:c r="K1014" s="41" t="n">
        <x:v>2986.753741</x:v>
      </x:c>
      <x:c r="L1014" s="41" t="n">
        <x:f>IFERROR(I1014/ABS(J1014),"")</x:f>
        <x:v>0.44082189337385214</x:v>
      </x:c>
      <x:c r="M1014" s="41" t="n">
        <x:v>6.802475</x:v>
      </x:c>
      <x:c r="N1014" s="41" t="n">
        <x:v>-56.473669</x:v>
      </x:c>
      <x:c r="O1014" s="41" t="n">
        <x:v>506.057416</x:v>
      </x:c>
      <x:c r="P1014" s="41" t="n">
        <x:f>IFERROR(M1014/ABS(N1014),"")</x:f>
        <x:v>0.12045392340278087</x:v>
      </x:c>
      <x:c r="Q1014" s="41" t="str">
        <x:f>IF(L1014&gt;=MAX(H1014,P1014),"Weekly",IF(H1014&gt;=MAX(L1014,P1014),"No weekly","SPY"))</x:f>
        <x:v>Weekly</x:v>
      </x:c>
      <x:c r="R1014" s="41" t="n">
        <x:f>IFERROR(L1014-P1014,"")</x:f>
        <x:v>0.32036796997107125</x:v>
      </x:c>
      <x:c r="S1014" s="41" t="n">
        <x:f>IFERROR(H1014-P1014,"")</x:f>
        <x:v>0.2750640152989404</x:v>
      </x:c>
      <x:c r="T1014" s="41" t="n">
        <x:f>IFERROR(I1014-M1014,"")</x:f>
        <x:v>6.542967</x:v>
      </x:c>
      <x:c r="U1014" s="41" t="n">
        <x:f>IFERROR(E1014-M1014,"")</x:f>
        <x:v>6.390877000000001</x:v>
      </x:c>
      <x:c r="V1014" s="41" t="str">
        <x:f>IF(AND(I1014&gt;M1014,J1014&gt;N1014),"Sí","No")</x:f>
        <x:v>Sí</x:v>
      </x:c>
      <x:c r="W1014" s="41" t="str">
        <x:f>IF(AND(E1014&gt;M1014,F1014&gt;N1014),"Sí","No")</x:f>
        <x:v>Sí</x:v>
      </x:c>
      <x:c r="X1014" s="41" t="str">
        <x:f>IF(L1014&gt;=H1014,"Weekly","No weekly")</x:f>
        <x:v>Weekly</x:v>
      </x:c>
      <x:c r="Y1014" s="41" t="n">
        <x:f>IFERROR(I1014-E1014,"")</x:f>
        <x:v>0.1520899999999994</x:v>
      </x:c>
      <x:c r="Z1014" s="41" t="n">
        <x:f>IFERROR(J1014-F1014,"")</x:f>
        <x:v>3.0831519999999983</x:v>
      </x:c>
      <x:c r="AA1014" s="41" t="n">
        <x:v>11336</x:v>
      </x:c>
      <x:c r="AB1014" s="41" t="n">
        <x:v>5634</x:v>
      </x:c>
    </x:row>
    <x:row r="1015">
      <x:c r="A1015" s="41" t="str">
        <x:v>HYP_REFINE_AUTO002_TOPN_6_V1_DDGRID_LONG_R14_C22_E75_CR45_REDD_RECOVERED_DD8_SL20</x:v>
      </x:c>
      <x:c r="B1015" s="41" t="str">
        <x:v>dd_guard_grid</x:v>
      </x:c>
      <x:c r="C1015" s="41" t="str">
        <x:v>1999-01-04</x:v>
      </x:c>
      <x:c r="D1015" s="41" t="str">
        <x:v>2026-05-22</x:v>
      </x:c>
      <x:c r="E1015" s="41" t="n">
        <x:v>13.61413</x:v>
      </x:c>
      <x:c r="F1015" s="41" t="n">
        <x:v>-33.838119</x:v>
      </x:c>
      <x:c r="G1015" s="41" t="n">
        <x:v>3193.479611</x:v>
      </x:c>
      <x:c r="H1015" s="41" t="n">
        <x:f>IFERROR(E1015/ABS(F1015),"")</x:f>
        <x:v>0.4023311697674448</x:v>
      </x:c>
      <x:c r="I1015" s="41" t="n">
        <x:v>14.335432</x:v>
      </x:c>
      <x:c r="J1015" s="41" t="n">
        <x:v>-31.174343</x:v>
      </x:c>
      <x:c r="K1015" s="41" t="n">
        <x:v>3816.557352</x:v>
      </x:c>
      <x:c r="L1015" s="41" t="n">
        <x:f>IFERROR(I1015/ABS(J1015),"")</x:f>
        <x:v>0.45984712492577634</x:v>
      </x:c>
      <x:c r="M1015" s="41" t="n">
        <x:v>6.802475</x:v>
      </x:c>
      <x:c r="N1015" s="41" t="n">
        <x:v>-56.473669</x:v>
      </x:c>
      <x:c r="O1015" s="41" t="n">
        <x:v>506.057416</x:v>
      </x:c>
      <x:c r="P1015" s="41" t="n">
        <x:f>IFERROR(M1015/ABS(N1015),"")</x:f>
        <x:v>0.12045392340278087</x:v>
      </x:c>
      <x:c r="Q1015" s="41" t="str">
        <x:f>IF(L1015&gt;=MAX(H1015,P1015),"Weekly",IF(H1015&gt;=MAX(L1015,P1015),"No weekly","SPY"))</x:f>
        <x:v>Weekly</x:v>
      </x:c>
      <x:c r="R1015" s="41" t="n">
        <x:f>IFERROR(L1015-P1015,"")</x:f>
        <x:v>0.33939320152299546</x:v>
      </x:c>
      <x:c r="S1015" s="41" t="n">
        <x:f>IFERROR(H1015-P1015,"")</x:f>
        <x:v>0.28187724636466394</x:v>
      </x:c>
      <x:c r="T1015" s="41" t="n">
        <x:f>IFERROR(I1015-M1015,"")</x:f>
        <x:v>7.532957000000001</x:v>
      </x:c>
      <x:c r="U1015" s="41" t="n">
        <x:f>IFERROR(E1015-M1015,"")</x:f>
        <x:v>6.811654999999999</x:v>
      </x:c>
      <x:c r="V1015" s="41" t="str">
        <x:f>IF(AND(I1015&gt;M1015,J1015&gt;N1015),"Sí","No")</x:f>
        <x:v>Sí</x:v>
      </x:c>
      <x:c r="W1015" s="41" t="str">
        <x:f>IF(AND(E1015&gt;M1015,F1015&gt;N1015),"Sí","No")</x:f>
        <x:v>Sí</x:v>
      </x:c>
      <x:c r="X1015" s="41" t="str">
        <x:f>IF(L1015&gt;=H1015,"Weekly","No weekly")</x:f>
        <x:v>Weekly</x:v>
      </x:c>
      <x:c r="Y1015" s="41" t="n">
        <x:f>IFERROR(I1015-E1015,"")</x:f>
        <x:v>0.7213020000000014</x:v>
      </x:c>
      <x:c r="Z1015" s="41" t="n">
        <x:f>IFERROR(J1015-F1015,"")</x:f>
        <x:v>2.6637759999999986</x:v>
      </x:c>
      <x:c r="AA1015" s="41" t="n">
        <x:v>11017</x:v>
      </x:c>
      <x:c r="AB1015" s="41" t="n">
        <x:v>5535</x:v>
      </x:c>
    </x:row>
    <x:row r="1016">
      <x:c r="A1016" s="41" t="str">
        <x:v>HYP_REFINE_AUTO002_TOPN_6_V1_DDGRID_LONG_R14_C22_E78_CR40_REDD_RECOVERED_DD8_SL20</x:v>
      </x:c>
      <x:c r="B1016" s="41" t="str">
        <x:v>dd_guard_grid</x:v>
      </x:c>
      <x:c r="C1016" s="41" t="str">
        <x:v>1999-01-04</x:v>
      </x:c>
      <x:c r="D1016" s="41" t="str">
        <x:v>2026-05-22</x:v>
      </x:c>
      <x:c r="E1016" s="41" t="n">
        <x:v>11.739587</x:v>
      </x:c>
      <x:c r="F1016" s="41" t="n">
        <x:v>-33.244282</x:v>
      </x:c>
      <x:c r="G1016" s="41" t="n">
        <x:v>1988.513996</x:v>
      </x:c>
      <x:c r="H1016" s="41" t="n">
        <x:f>IFERROR(E1016/ABS(F1016),"")</x:f>
        <x:v>0.3531310136281482</x:v>
      </x:c>
      <x:c r="I1016" s="41" t="n">
        <x:v>13.150115</x:v>
      </x:c>
      <x:c r="J1016" s="41" t="n">
        <x:v>-30.323345</x:v>
      </x:c>
      <x:c r="K1016" s="41" t="n">
        <x:v>2844.380079</x:v>
      </x:c>
      <x:c r="L1016" s="41" t="n">
        <x:f>IFERROR(I1016/ABS(J1016),"")</x:f>
        <x:v>0.4336630737802838</x:v>
      </x:c>
      <x:c r="M1016" s="41" t="n">
        <x:v>6.802475</x:v>
      </x:c>
      <x:c r="N1016" s="41" t="n">
        <x:v>-56.473669</x:v>
      </x:c>
      <x:c r="O1016" s="41" t="n">
        <x:v>506.057416</x:v>
      </x:c>
      <x:c r="P1016" s="41" t="n">
        <x:f>IFERROR(M1016/ABS(N1016),"")</x:f>
        <x:v>0.12045392340278087</x:v>
      </x:c>
      <x:c r="Q1016" s="41" t="str">
        <x:f>IF(L1016&gt;=MAX(H1016,P1016),"Weekly",IF(H1016&gt;=MAX(L1016,P1016),"No weekly","SPY"))</x:f>
        <x:v>Weekly</x:v>
      </x:c>
      <x:c r="R1016" s="41" t="n">
        <x:f>IFERROR(L1016-P1016,"")</x:f>
        <x:v>0.3132091503775029</x:v>
      </x:c>
      <x:c r="S1016" s="41" t="n">
        <x:f>IFERROR(H1016-P1016,"")</x:f>
        <x:v>0.2326770902253673</x:v>
      </x:c>
      <x:c r="T1016" s="41" t="n">
        <x:f>IFERROR(I1016-M1016,"")</x:f>
        <x:v>6.347639999999999</x:v>
      </x:c>
      <x:c r="U1016" s="41" t="n">
        <x:f>IFERROR(E1016-M1016,"")</x:f>
        <x:v>4.937112</x:v>
      </x:c>
      <x:c r="V1016" s="41" t="str">
        <x:f>IF(AND(I1016&gt;M1016,J1016&gt;N1016),"Sí","No")</x:f>
        <x:v>Sí</x:v>
      </x:c>
      <x:c r="W1016" s="41" t="str">
        <x:f>IF(AND(E1016&gt;M1016,F1016&gt;N1016),"Sí","No")</x:f>
        <x:v>Sí</x:v>
      </x:c>
      <x:c r="X1016" s="41" t="str">
        <x:f>IF(L1016&gt;=H1016,"Weekly","No weekly")</x:f>
        <x:v>Weekly</x:v>
      </x:c>
      <x:c r="Y1016" s="41" t="n">
        <x:f>IFERROR(I1016-E1016,"")</x:f>
        <x:v>1.4105279999999993</x:v>
      </x:c>
      <x:c r="Z1016" s="41" t="n">
        <x:f>IFERROR(J1016-F1016,"")</x:f>
        <x:v>2.9209369999999986</x:v>
      </x:c>
      <x:c r="AA1016" s="41" t="n">
        <x:v>11495</x:v>
      </x:c>
      <x:c r="AB1016" s="41" t="n">
        <x:v>6023</x:v>
      </x:c>
    </x:row>
    <x:row r="1017">
      <x:c r="A1017" s="41" t="str">
        <x:v>HYP_REFINE_AUTO002_TOPN_6_V1_DDGRID_LONG_R14_C23_E75_CR40_REDD_RECOVERED_DD8_SL18</x:v>
      </x:c>
      <x:c r="B1017" s="41" t="str">
        <x:v>dd_guard_grid</x:v>
      </x:c>
      <x:c r="C1017" s="41" t="str">
        <x:v>1999-01-04</x:v>
      </x:c>
      <x:c r="D1017" s="41" t="str">
        <x:v>2026-05-22</x:v>
      </x:c>
      <x:c r="E1017" s="41" t="n">
        <x:v>10.964004</x:v>
      </x:c>
      <x:c r="F1017" s="41" t="n">
        <x:v>-32.989453</x:v>
      </x:c>
      <x:c r="G1017" s="41" t="n">
        <x:v>1625.913323</x:v>
      </x:c>
      <x:c r="H1017" s="41" t="n">
        <x:f>IFERROR(E1017/ABS(F1017),"")</x:f>
        <x:v>0.332348766134437</x:v>
      </x:c>
      <x:c r="I1017" s="41" t="n">
        <x:v>12.324549</x:v>
      </x:c>
      <x:c r="J1017" s="41" t="n">
        <x:v>-30.834481</x:v>
      </x:c>
      <x:c r="K1017" s="41" t="n">
        <x:v>2309.470191</x:v>
      </x:c>
      <x:c r="L1017" s="41" t="n">
        <x:f>IFERROR(I1017/ABS(J1017),"")</x:f>
        <x:v>0.39970022521215776</x:v>
      </x:c>
      <x:c r="M1017" s="41" t="n">
        <x:v>6.802475</x:v>
      </x:c>
      <x:c r="N1017" s="41" t="n">
        <x:v>-56.473669</x:v>
      </x:c>
      <x:c r="O1017" s="41" t="n">
        <x:v>506.057416</x:v>
      </x:c>
      <x:c r="P1017" s="41" t="n">
        <x:f>IFERROR(M1017/ABS(N1017),"")</x:f>
        <x:v>0.12045392340278087</x:v>
      </x:c>
      <x:c r="Q1017" s="41" t="str">
        <x:f>IF(L1017&gt;=MAX(H1017,P1017),"Weekly",IF(H1017&gt;=MAX(L1017,P1017),"No weekly","SPY"))</x:f>
        <x:v>Weekly</x:v>
      </x:c>
      <x:c r="R1017" s="41" t="n">
        <x:f>IFERROR(L1017-P1017,"")</x:f>
        <x:v>0.2792463018093769</x:v>
      </x:c>
      <x:c r="S1017" s="41" t="n">
        <x:f>IFERROR(H1017-P1017,"")</x:f>
        <x:v>0.2118948427316561</x:v>
      </x:c>
      <x:c r="T1017" s="41" t="n">
        <x:f>IFERROR(I1017-M1017,"")</x:f>
        <x:v>5.522073999999999</x:v>
      </x:c>
      <x:c r="U1017" s="41" t="n">
        <x:f>IFERROR(E1017-M1017,"")</x:f>
        <x:v>4.161528999999999</x:v>
      </x:c>
      <x:c r="V1017" s="41" t="str">
        <x:f>IF(AND(I1017&gt;M1017,J1017&gt;N1017),"Sí","No")</x:f>
        <x:v>Sí</x:v>
      </x:c>
      <x:c r="W1017" s="41" t="str">
        <x:f>IF(AND(E1017&gt;M1017,F1017&gt;N1017),"Sí","No")</x:f>
        <x:v>Sí</x:v>
      </x:c>
      <x:c r="X1017" s="41" t="str">
        <x:f>IF(L1017&gt;=H1017,"Weekly","No weekly")</x:f>
        <x:v>Weekly</x:v>
      </x:c>
      <x:c r="Y1017" s="41" t="n">
        <x:f>IFERROR(I1017-E1017,"")</x:f>
        <x:v>1.3605450000000001</x:v>
      </x:c>
      <x:c r="Z1017" s="41" t="n">
        <x:f>IFERROR(J1017-F1017,"")</x:f>
        <x:v>2.1549719999999972</x:v>
      </x:c>
      <x:c r="AA1017" s="41" t="n">
        <x:v>11728</x:v>
      </x:c>
      <x:c r="AB1017" s="41" t="n">
        <x:v>5616</x:v>
      </x:c>
    </x:row>
    <x:row r="1018">
      <x:c r="A1018" s="41" t="str">
        <x:v>HYP_REFINE_AUTO002_TOPN_6_V1_DDGRID_LONG_R14_C23_E75_CR40_REDD_RECOVERED_DD8_SL20</x:v>
      </x:c>
      <x:c r="B1018" s="41" t="str">
        <x:v>dd_guard_grid</x:v>
      </x:c>
      <x:c r="C1018" s="41" t="str">
        <x:v>1999-01-04</x:v>
      </x:c>
      <x:c r="D1018" s="41" t="str">
        <x:v>2026-05-22</x:v>
      </x:c>
      <x:c r="E1018" s="41" t="n">
        <x:v>12.510539</x:v>
      </x:c>
      <x:c r="F1018" s="41" t="n">
        <x:v>-33.802773</x:v>
      </x:c>
      <x:c r="G1018" s="41" t="n">
        <x:v>2421.120536</x:v>
      </x:c>
      <x:c r="H1018" s="41" t="n">
        <x:f>IFERROR(E1018/ABS(F1018),"")</x:f>
        <x:v>0.37010392608914067</x:v>
      </x:c>
      <x:c r="I1018" s="41" t="n">
        <x:v>12.907701</x:v>
      </x:c>
      <x:c r="J1018" s="41" t="n">
        <x:v>-30.076133</x:v>
      </x:c>
      <x:c r="K1018" s="41" t="n">
        <x:v>2676.466893</x:v>
      </x:c>
      <x:c r="L1018" s="41" t="n">
        <x:f>IFERROR(I1018/ABS(J1018),"")</x:f>
        <x:v>0.42916757283923435</x:v>
      </x:c>
      <x:c r="M1018" s="41" t="n">
        <x:v>6.802475</x:v>
      </x:c>
      <x:c r="N1018" s="41" t="n">
        <x:v>-56.473669</x:v>
      </x:c>
      <x:c r="O1018" s="41" t="n">
        <x:v>506.057416</x:v>
      </x:c>
      <x:c r="P1018" s="41" t="n">
        <x:f>IFERROR(M1018/ABS(N1018),"")</x:f>
        <x:v>0.12045392340278087</x:v>
      </x:c>
      <x:c r="Q1018" s="41" t="str">
        <x:f>IF(L1018&gt;=MAX(H1018,P1018),"Weekly",IF(H1018&gt;=MAX(L1018,P1018),"No weekly","SPY"))</x:f>
        <x:v>Weekly</x:v>
      </x:c>
      <x:c r="R1018" s="41" t="n">
        <x:f>IFERROR(L1018-P1018,"")</x:f>
        <x:v>0.30871364943645346</x:v>
      </x:c>
      <x:c r="S1018" s="41" t="n">
        <x:f>IFERROR(H1018-P1018,"")</x:f>
        <x:v>0.24965000268635978</x:v>
      </x:c>
      <x:c r="T1018" s="41" t="n">
        <x:f>IFERROR(I1018-M1018,"")</x:f>
        <x:v>6.105225999999999</x:v>
      </x:c>
      <x:c r="U1018" s="41" t="n">
        <x:f>IFERROR(E1018-M1018,"")</x:f>
        <x:v>5.708063999999999</x:v>
      </x:c>
      <x:c r="V1018" s="41" t="str">
        <x:f>IF(AND(I1018&gt;M1018,J1018&gt;N1018),"Sí","No")</x:f>
        <x:v>Sí</x:v>
      </x:c>
      <x:c r="W1018" s="41" t="str">
        <x:f>IF(AND(E1018&gt;M1018,F1018&gt;N1018),"Sí","No")</x:f>
        <x:v>Sí</x:v>
      </x:c>
      <x:c r="X1018" s="41" t="str">
        <x:f>IF(L1018&gt;=H1018,"Weekly","No weekly")</x:f>
        <x:v>Weekly</x:v>
      </x:c>
      <x:c r="Y1018" s="41" t="n">
        <x:f>IFERROR(I1018-E1018,"")</x:f>
        <x:v>0.3971619999999998</x:v>
      </x:c>
      <x:c r="Z1018" s="41" t="n">
        <x:f>IFERROR(J1018-F1018,"")</x:f>
        <x:v>3.7266400000000033</x:v>
      </x:c>
      <x:c r="AA1018" s="41" t="n">
        <x:v>11493</x:v>
      </x:c>
      <x:c r="AB1018" s="41" t="n">
        <x:v>5744</x:v>
      </x:c>
    </x:row>
    <x:row r="1019">
      <x:c r="A1019" s="41" t="str">
        <x:v>HYP_REFINE_AUTO002_TOPN_6_V1_DDGRID_LONG_R14_C23_E75_CR40_REDD_RECOVERED_DD8_SL22</x:v>
      </x:c>
      <x:c r="B1019" s="41" t="str">
        <x:v>dd_guard_grid</x:v>
      </x:c>
      <x:c r="C1019" s="41" t="str">
        <x:v>1999-01-04</x:v>
      </x:c>
      <x:c r="D1019" s="41" t="str">
        <x:v>2026-05-22</x:v>
      </x:c>
      <x:c r="E1019" s="41" t="n">
        <x:v>11.864246</x:v>
      </x:c>
      <x:c r="F1019" s="41" t="n">
        <x:v>-34.701981</x:v>
      </x:c>
      <x:c r="G1019" s="41" t="n">
        <x:v>2053.253577</x:v>
      </x:c>
      <x:c r="H1019" s="41" t="n">
        <x:f>IFERROR(E1019/ABS(F1019),"")</x:f>
        <x:v>0.34188958837825423</x:v>
      </x:c>
      <x:c r="I1019" s="41" t="n">
        <x:v>12.877207</x:v>
      </x:c>
      <x:c r="J1019" s="41" t="n">
        <x:v>-30.332518</x:v>
      </x:c>
      <x:c r="K1019" s="41" t="n">
        <x:v>2656.009785</x:v>
      </x:c>
      <x:c r="L1019" s="41" t="n">
        <x:f>IFERROR(I1019/ABS(J1019),"")</x:f>
        <x:v>0.424534718812332</x:v>
      </x:c>
      <x:c r="M1019" s="41" t="n">
        <x:v>6.802475</x:v>
      </x:c>
      <x:c r="N1019" s="41" t="n">
        <x:v>-56.473669</x:v>
      </x:c>
      <x:c r="O1019" s="41" t="n">
        <x:v>506.057416</x:v>
      </x:c>
      <x:c r="P1019" s="41" t="n">
        <x:f>IFERROR(M1019/ABS(N1019),"")</x:f>
        <x:v>0.12045392340278087</x:v>
      </x:c>
      <x:c r="Q1019" s="41" t="str">
        <x:f>IF(L1019&gt;=MAX(H1019,P1019),"Weekly",IF(H1019&gt;=MAX(L1019,P1019),"No weekly","SPY"))</x:f>
        <x:v>Weekly</x:v>
      </x:c>
      <x:c r="R1019" s="41" t="n">
        <x:f>IFERROR(L1019-P1019,"")</x:f>
        <x:v>0.30408079540955113</x:v>
      </x:c>
      <x:c r="S1019" s="41" t="n">
        <x:f>IFERROR(H1019-P1019,"")</x:f>
        <x:v>0.22143566497547335</x:v>
      </x:c>
      <x:c r="T1019" s="41" t="n">
        <x:f>IFERROR(I1019-M1019,"")</x:f>
        <x:v>6.074732</x:v>
      </x:c>
      <x:c r="U1019" s="41" t="n">
        <x:f>IFERROR(E1019-M1019,"")</x:f>
        <x:v>5.061770999999999</x:v>
      </x:c>
      <x:c r="V1019" s="41" t="str">
        <x:f>IF(AND(I1019&gt;M1019,J1019&gt;N1019),"Sí","No")</x:f>
        <x:v>Sí</x:v>
      </x:c>
      <x:c r="W1019" s="41" t="str">
        <x:f>IF(AND(E1019&gt;M1019,F1019&gt;N1019),"Sí","No")</x:f>
        <x:v>Sí</x:v>
      </x:c>
      <x:c r="X1019" s="41" t="str">
        <x:f>IF(L1019&gt;=H1019,"Weekly","No weekly")</x:f>
        <x:v>Weekly</x:v>
      </x:c>
      <x:c r="Y1019" s="41" t="n">
        <x:f>IFERROR(I1019-E1019,"")</x:f>
        <x:v>1.0129610000000007</x:v>
      </x:c>
      <x:c r="Z1019" s="41" t="n">
        <x:f>IFERROR(J1019-F1019,"")</x:f>
        <x:v>4.369463000000003</x:v>
      </x:c>
      <x:c r="AA1019" s="41" t="n">
        <x:v>11724</x:v>
      </x:c>
      <x:c r="AB1019" s="41" t="n">
        <x:v>5777</x:v>
      </x:c>
    </x:row>
    <x:row r="1020">
      <x:c r="A1020" s="41" t="str">
        <x:v>HYP_REFINE_AUTO002_TOPN_6_V1_DDGRID_LONG_R14_C24_E75_CR40_REDD_RECOVERED_DD8_SL20</x:v>
      </x:c>
      <x:c r="B1020" s="41" t="str">
        <x:v>dd_guard_grid</x:v>
      </x:c>
      <x:c r="C1020" s="41" t="str">
        <x:v>1999-01-04</x:v>
      </x:c>
      <x:c r="D1020" s="41" t="str">
        <x:v>2026-05-22</x:v>
      </x:c>
      <x:c r="E1020" s="41" t="n">
        <x:v>12.504229</x:v>
      </x:c>
      <x:c r="F1020" s="41" t="n">
        <x:v>-34.950851</x:v>
      </x:c>
      <x:c r="G1020" s="41" t="n">
        <x:v>2417.252332</x:v>
      </x:c>
      <x:c r="H1020" s="41" t="n">
        <x:f>IFERROR(E1020/ABS(F1020),"")</x:f>
        <x:v>0.3577660812894084</x:v>
      </x:c>
      <x:c r="I1020" s="41" t="n">
        <x:v>13.133912</x:v>
      </x:c>
      <x:c r="J1020" s="41" t="n">
        <x:v>-29.497264</x:v>
      </x:c>
      <x:c r="K1020" s="41" t="n">
        <x:v>2832.857943</x:v>
      </x:c>
      <x:c r="L1020" s="41" t="n">
        <x:f>IFERROR(I1020/ABS(J1020),"")</x:f>
        <x:v>0.4452586517854673</x:v>
      </x:c>
      <x:c r="M1020" s="41" t="n">
        <x:v>6.802475</x:v>
      </x:c>
      <x:c r="N1020" s="41" t="n">
        <x:v>-56.473669</x:v>
      </x:c>
      <x:c r="O1020" s="41" t="n">
        <x:v>506.057416</x:v>
      </x:c>
      <x:c r="P1020" s="41" t="n">
        <x:f>IFERROR(M1020/ABS(N1020),"")</x:f>
        <x:v>0.12045392340278087</x:v>
      </x:c>
      <x:c r="Q1020" s="41" t="str">
        <x:f>IF(L1020&gt;=MAX(H1020,P1020),"Weekly",IF(H1020&gt;=MAX(L1020,P1020),"No weekly","SPY"))</x:f>
        <x:v>Weekly</x:v>
      </x:c>
      <x:c r="R1020" s="41" t="n">
        <x:f>IFERROR(L1020-P1020,"")</x:f>
        <x:v>0.3248047283826864</x:v>
      </x:c>
      <x:c r="S1020" s="41" t="n">
        <x:f>IFERROR(H1020-P1020,"")</x:f>
        <x:v>0.23731215788662752</x:v>
      </x:c>
      <x:c r="T1020" s="41" t="n">
        <x:f>IFERROR(I1020-M1020,"")</x:f>
        <x:v>6.331437</x:v>
      </x:c>
      <x:c r="U1020" s="41" t="n">
        <x:f>IFERROR(E1020-M1020,"")</x:f>
        <x:v>5.701754</x:v>
      </x:c>
      <x:c r="V1020" s="41" t="str">
        <x:f>IF(AND(I1020&gt;M1020,J1020&gt;N1020),"Sí","No")</x:f>
        <x:v>Sí</x:v>
      </x:c>
      <x:c r="W1020" s="41" t="str">
        <x:f>IF(AND(E1020&gt;M1020,F1020&gt;N1020),"Sí","No")</x:f>
        <x:v>Sí</x:v>
      </x:c>
      <x:c r="X1020" s="41" t="str">
        <x:f>IF(L1020&gt;=H1020,"Weekly","No weekly")</x:f>
        <x:v>Weekly</x:v>
      </x:c>
      <x:c r="Y1020" s="41" t="n">
        <x:f>IFERROR(I1020-E1020,"")</x:f>
        <x:v>0.629683</x:v>
      </x:c>
      <x:c r="Z1020" s="41" t="n">
        <x:f>IFERROR(J1020-F1020,"")</x:f>
        <x:v>5.453586999999999</x:v>
      </x:c>
      <x:c r="AA1020" s="41" t="n">
        <x:v>11239</x:v>
      </x:c>
      <x:c r="AB1020" s="41" t="n">
        <x:v>5577</x:v>
      </x:c>
    </x:row>
    <x:row r="1021">
      <x:c r="A1021" s="41" t="str">
        <x:v>HYP_REFINE_AUTO002_TOPN_6_V1_DDGRID_STOP30_EXT_RE180_DD10</x:v>
      </x:c>
      <x:c r="B1021" s="41" t="str">
        <x:v>dd_guard_grid</x:v>
      </x:c>
      <x:c r="C1021" s="41" t="str">
        <x:v>1999-01-04</x:v>
      </x:c>
      <x:c r="D1021" s="41" t="str">
        <x:v>2026-05-22</x:v>
      </x:c>
      <x:c r="E1021" s="41" t="n">
        <x:v>0.171529</x:v>
      </x:c>
      <x:c r="F1021" s="41" t="n">
        <x:v>-31.98195</x:v>
      </x:c>
      <x:c r="G1021" s="41" t="n">
        <x:v>4.804018</x:v>
      </x:c>
      <x:c r="H1021" s="41" t="n">
        <x:f>IFERROR(E1021/ABS(F1021),"")</x:f>
        <x:v>0.005363306490067053</x:v>
      </x:c>
      <x:c r="I1021" s="41" t="n">
        <x:v>0.301732</x:v>
      </x:c>
      <x:c r="J1021" s="41" t="n">
        <x:v>-31.5175</x:v>
      </x:c>
      <x:c r="K1021" s="41" t="n">
        <x:v>8.598269</x:v>
      </x:c>
      <x:c r="L1021" s="41" t="n">
        <x:f>IFERROR(I1021/ABS(J1021),"")</x:f>
        <x:v>0.009573475053541683</x:v>
      </x:c>
      <x:c r="M1021" s="41" t="n">
        <x:v>6.802475</x:v>
      </x:c>
      <x:c r="N1021" s="41" t="n">
        <x:v>-56.473669</x:v>
      </x:c>
      <x:c r="O1021" s="41" t="n">
        <x:v>506.057416</x:v>
      </x:c>
      <x:c r="P1021" s="41" t="n">
        <x:f>IFERROR(M1021/ABS(N1021),"")</x:f>
        <x:v>0.12045392340278087</x:v>
      </x:c>
      <x:c r="Q1021" s="41" t="str">
        <x:f>IF(L1021&gt;=MAX(H1021,P1021),"Weekly",IF(H1021&gt;=MAX(L1021,P1021),"No weekly","SPY"))</x:f>
        <x:v>SPY</x:v>
      </x:c>
      <x:c r="R1021" s="41" t="n">
        <x:f>IFERROR(L1021-P1021,"")</x:f>
        <x:v>-0.11088044834923919</x:v>
      </x:c>
      <x:c r="S1021" s="41" t="n">
        <x:f>IFERROR(H1021-P1021,"")</x:f>
        <x:v>-0.11509061691271381</x:v>
      </x:c>
      <x:c r="T1021" s="41" t="n">
        <x:f>IFERROR(I1021-M1021,"")</x:f>
        <x:v>-6.500743</x:v>
      </x:c>
      <x:c r="U1021" s="41" t="n">
        <x:f>IFERROR(E1021-M1021,"")</x:f>
        <x:v>-6.630946000000001</x:v>
      </x:c>
      <x:c r="V1021" s="41" t="str">
        <x:f>IF(AND(I1021&gt;M1021,J1021&gt;N1021),"Sí","No")</x:f>
        <x:v>No</x:v>
      </x:c>
      <x:c r="W1021" s="41" t="str">
        <x:f>IF(AND(E1021&gt;M1021,F1021&gt;N1021),"Sí","No")</x:f>
        <x:v>No</x:v>
      </x:c>
      <x:c r="X1021" s="41" t="str">
        <x:f>IF(L1021&gt;=H1021,"Weekly","No weekly")</x:f>
        <x:v>Weekly</x:v>
      </x:c>
      <x:c r="Y1021" s="41" t="n">
        <x:f>IFERROR(I1021-E1021,"")</x:f>
        <x:v>0.130203</x:v>
      </x:c>
      <x:c r="Z1021" s="41" t="n">
        <x:f>IFERROR(J1021-F1021,"")</x:f>
        <x:v>0.4644500000000029</x:v>
      </x:c>
      <x:c r="AA1021" s="41" t="n">
        <x:v>83</x:v>
      </x:c>
      <x:c r="AB1021" s="41" t="n">
        <x:v>10</x:v>
      </x:c>
    </x:row>
    <x:row r="1022">
      <x:c r="A1022" s="41" t="str">
        <x:v>HYP_REFINE_AUTO002_TOPN_6_V1_DDGRID_STOP30_EXT_RE_DD8_CR0</x:v>
      </x:c>
      <x:c r="B1022" s="41" t="str">
        <x:v>dd_guard_grid</x:v>
      </x:c>
      <x:c r="C1022" s="41" t="str">
        <x:v>1999-01-04</x:v>
      </x:c>
      <x:c r="D1022" s="41" t="str">
        <x:v>2026-05-22</x:v>
      </x:c>
      <x:c r="E1022" s="41" t="n">
        <x:v>0.171529</x:v>
      </x:c>
      <x:c r="F1022" s="41" t="n">
        <x:v>-31.98195</x:v>
      </x:c>
      <x:c r="G1022" s="41" t="n">
        <x:v>4.804018</x:v>
      </x:c>
      <x:c r="H1022" s="41" t="n">
        <x:f>IFERROR(E1022/ABS(F1022),"")</x:f>
        <x:v>0.005363306490067053</x:v>
      </x:c>
      <x:c r="I1022" s="41" t="n">
        <x:v>0.301732</x:v>
      </x:c>
      <x:c r="J1022" s="41" t="n">
        <x:v>-31.5175</x:v>
      </x:c>
      <x:c r="K1022" s="41" t="n">
        <x:v>8.598269</x:v>
      </x:c>
      <x:c r="L1022" s="41" t="n">
        <x:f>IFERROR(I1022/ABS(J1022),"")</x:f>
        <x:v>0.009573475053541683</x:v>
      </x:c>
      <x:c r="M1022" s="41" t="n">
        <x:v>6.802475</x:v>
      </x:c>
      <x:c r="N1022" s="41" t="n">
        <x:v>-56.473669</x:v>
      </x:c>
      <x:c r="O1022" s="41" t="n">
        <x:v>506.057416</x:v>
      </x:c>
      <x:c r="P1022" s="41" t="n">
        <x:f>IFERROR(M1022/ABS(N1022),"")</x:f>
        <x:v>0.12045392340278087</x:v>
      </x:c>
      <x:c r="Q1022" s="41" t="str">
        <x:f>IF(L1022&gt;=MAX(H1022,P1022),"Weekly",IF(H1022&gt;=MAX(L1022,P1022),"No weekly","SPY"))</x:f>
        <x:v>SPY</x:v>
      </x:c>
      <x:c r="R1022" s="41" t="n">
        <x:f>IFERROR(L1022-P1022,"")</x:f>
        <x:v>-0.11088044834923919</x:v>
      </x:c>
      <x:c r="S1022" s="41" t="n">
        <x:f>IFERROR(H1022-P1022,"")</x:f>
        <x:v>-0.11509061691271381</x:v>
      </x:c>
      <x:c r="T1022" s="41" t="n">
        <x:f>IFERROR(I1022-M1022,"")</x:f>
        <x:v>-6.500743</x:v>
      </x:c>
      <x:c r="U1022" s="41" t="n">
        <x:f>IFERROR(E1022-M1022,"")</x:f>
        <x:v>-6.630946000000001</x:v>
      </x:c>
      <x:c r="V1022" s="41" t="str">
        <x:f>IF(AND(I1022&gt;M1022,J1022&gt;N1022),"Sí","No")</x:f>
        <x:v>No</x:v>
      </x:c>
      <x:c r="W1022" s="41" t="str">
        <x:f>IF(AND(E1022&gt;M1022,F1022&gt;N1022),"Sí","No")</x:f>
        <x:v>No</x:v>
      </x:c>
      <x:c r="X1022" s="41" t="str">
        <x:f>IF(L1022&gt;=H1022,"Weekly","No weekly")</x:f>
        <x:v>Weekly</x:v>
      </x:c>
      <x:c r="Y1022" s="41" t="n">
        <x:f>IFERROR(I1022-E1022,"")</x:f>
        <x:v>0.130203</x:v>
      </x:c>
      <x:c r="Z1022" s="41" t="n">
        <x:f>IFERROR(J1022-F1022,"")</x:f>
        <x:v>0.4644500000000029</x:v>
      </x:c>
      <x:c r="AA1022" s="41" t="n">
        <x:v>83</x:v>
      </x:c>
      <x:c r="AB1022" s="41" t="n">
        <x:v>10</x:v>
      </x:c>
    </x:row>
    <x:row r="1023">
      <x:c r="A1023" s="41" t="str">
        <x:v>HYP_REFINE_AUTO002_TOPN_6_V1_DDGRID_STOP30_EXT_SPY200_DD10</x:v>
      </x:c>
      <x:c r="B1023" s="41" t="str">
        <x:v>dd_guard_grid</x:v>
      </x:c>
      <x:c r="C1023" s="41" t="str">
        <x:v>1999-01-04</x:v>
      </x:c>
      <x:c r="D1023" s="41" t="str">
        <x:v>2026-05-22</x:v>
      </x:c>
      <x:c r="E1023" s="41" t="n">
        <x:v>0.171529</x:v>
      </x:c>
      <x:c r="F1023" s="41" t="n">
        <x:v>-31.98195</x:v>
      </x:c>
      <x:c r="G1023" s="41" t="n">
        <x:v>4.804018</x:v>
      </x:c>
      <x:c r="H1023" s="41" t="n">
        <x:f>IFERROR(E1023/ABS(F1023),"")</x:f>
        <x:v>0.005363306490067053</x:v>
      </x:c>
      <x:c r="I1023" s="41" t="n">
        <x:v>0.301732</x:v>
      </x:c>
      <x:c r="J1023" s="41" t="n">
        <x:v>-31.5175</x:v>
      </x:c>
      <x:c r="K1023" s="41" t="n">
        <x:v>8.598269</x:v>
      </x:c>
      <x:c r="L1023" s="41" t="n">
        <x:f>IFERROR(I1023/ABS(J1023),"")</x:f>
        <x:v>0.009573475053541683</x:v>
      </x:c>
      <x:c r="M1023" s="41" t="n">
        <x:v>6.802475</x:v>
      </x:c>
      <x:c r="N1023" s="41" t="n">
        <x:v>-56.473669</x:v>
      </x:c>
      <x:c r="O1023" s="41" t="n">
        <x:v>506.057416</x:v>
      </x:c>
      <x:c r="P1023" s="41" t="n">
        <x:f>IFERROR(M1023/ABS(N1023),"")</x:f>
        <x:v>0.12045392340278087</x:v>
      </x:c>
      <x:c r="Q1023" s="41" t="str">
        <x:f>IF(L1023&gt;=MAX(H1023,P1023),"Weekly",IF(H1023&gt;=MAX(L1023,P1023),"No weekly","SPY"))</x:f>
        <x:v>SPY</x:v>
      </x:c>
      <x:c r="R1023" s="41" t="n">
        <x:f>IFERROR(L1023-P1023,"")</x:f>
        <x:v>-0.11088044834923919</x:v>
      </x:c>
      <x:c r="S1023" s="41" t="n">
        <x:f>IFERROR(H1023-P1023,"")</x:f>
        <x:v>-0.11509061691271381</x:v>
      </x:c>
      <x:c r="T1023" s="41" t="n">
        <x:f>IFERROR(I1023-M1023,"")</x:f>
        <x:v>-6.500743</x:v>
      </x:c>
      <x:c r="U1023" s="41" t="n">
        <x:f>IFERROR(E1023-M1023,"")</x:f>
        <x:v>-6.630946000000001</x:v>
      </x:c>
      <x:c r="V1023" s="41" t="str">
        <x:f>IF(AND(I1023&gt;M1023,J1023&gt;N1023),"Sí","No")</x:f>
        <x:v>No</x:v>
      </x:c>
      <x:c r="W1023" s="41" t="str">
        <x:f>IF(AND(E1023&gt;M1023,F1023&gt;N1023),"Sí","No")</x:f>
        <x:v>No</x:v>
      </x:c>
      <x:c r="X1023" s="41" t="str">
        <x:f>IF(L1023&gt;=H1023,"Weekly","No weekly")</x:f>
        <x:v>Weekly</x:v>
      </x:c>
      <x:c r="Y1023" s="41" t="n">
        <x:f>IFERROR(I1023-E1023,"")</x:f>
        <x:v>0.130203</x:v>
      </x:c>
      <x:c r="Z1023" s="41" t="n">
        <x:f>IFERROR(J1023-F1023,"")</x:f>
        <x:v>0.4644500000000029</x:v>
      </x:c>
      <x:c r="AA1023" s="41" t="n">
        <x:v>83</x:v>
      </x:c>
      <x:c r="AB1023" s="41" t="n">
        <x:v>10</x:v>
      </x:c>
    </x:row>
    <x:row r="1024">
      <x:c r="A1024" s="41" t="str">
        <x:v>HYP_REFINE_AUTO002_TOPN_6_V1_DDGRID_STOP30_EXT_SPY200_SMA50_DD10</x:v>
      </x:c>
      <x:c r="B1024" s="41" t="str">
        <x:v>dd_guard_grid</x:v>
      </x:c>
      <x:c r="C1024" s="41" t="str">
        <x:v>1999-01-04</x:v>
      </x:c>
      <x:c r="D1024" s="41" t="str">
        <x:v>2026-05-22</x:v>
      </x:c>
      <x:c r="E1024" s="41" t="n">
        <x:v>0.171529</x:v>
      </x:c>
      <x:c r="F1024" s="41" t="n">
        <x:v>-31.98195</x:v>
      </x:c>
      <x:c r="G1024" s="41" t="n">
        <x:v>4.804018</x:v>
      </x:c>
      <x:c r="H1024" s="41" t="n">
        <x:f>IFERROR(E1024/ABS(F1024),"")</x:f>
        <x:v>0.005363306490067053</x:v>
      </x:c>
      <x:c r="I1024" s="41" t="n">
        <x:v>0.301732</x:v>
      </x:c>
      <x:c r="J1024" s="41" t="n">
        <x:v>-31.5175</x:v>
      </x:c>
      <x:c r="K1024" s="41" t="n">
        <x:v>8.598269</x:v>
      </x:c>
      <x:c r="L1024" s="41" t="n">
        <x:f>IFERROR(I1024/ABS(J1024),"")</x:f>
        <x:v>0.009573475053541683</x:v>
      </x:c>
      <x:c r="M1024" s="41" t="n">
        <x:v>6.802475</x:v>
      </x:c>
      <x:c r="N1024" s="41" t="n">
        <x:v>-56.473669</x:v>
      </x:c>
      <x:c r="O1024" s="41" t="n">
        <x:v>506.057416</x:v>
      </x:c>
      <x:c r="P1024" s="41" t="n">
        <x:f>IFERROR(M1024/ABS(N1024),"")</x:f>
        <x:v>0.12045392340278087</x:v>
      </x:c>
      <x:c r="Q1024" s="41" t="str">
        <x:f>IF(L1024&gt;=MAX(H1024,P1024),"Weekly",IF(H1024&gt;=MAX(L1024,P1024),"No weekly","SPY"))</x:f>
        <x:v>SPY</x:v>
      </x:c>
      <x:c r="R1024" s="41" t="n">
        <x:f>IFERROR(L1024-P1024,"")</x:f>
        <x:v>-0.11088044834923919</x:v>
      </x:c>
      <x:c r="S1024" s="41" t="n">
        <x:f>IFERROR(H1024-P1024,"")</x:f>
        <x:v>-0.11509061691271381</x:v>
      </x:c>
      <x:c r="T1024" s="41" t="n">
        <x:f>IFERROR(I1024-M1024,"")</x:f>
        <x:v>-6.500743</x:v>
      </x:c>
      <x:c r="U1024" s="41" t="n">
        <x:f>IFERROR(E1024-M1024,"")</x:f>
        <x:v>-6.630946000000001</x:v>
      </x:c>
      <x:c r="V1024" s="41" t="str">
        <x:f>IF(AND(I1024&gt;M1024,J1024&gt;N1024),"Sí","No")</x:f>
        <x:v>No</x:v>
      </x:c>
      <x:c r="W1024" s="41" t="str">
        <x:f>IF(AND(E1024&gt;M1024,F1024&gt;N1024),"Sí","No")</x:f>
        <x:v>No</x:v>
      </x:c>
      <x:c r="X1024" s="41" t="str">
        <x:f>IF(L1024&gt;=H1024,"Weekly","No weekly")</x:f>
        <x:v>Weekly</x:v>
      </x:c>
      <x:c r="Y1024" s="41" t="n">
        <x:f>IFERROR(I1024-E1024,"")</x:f>
        <x:v>0.130203</x:v>
      </x:c>
      <x:c r="Z1024" s="41" t="n">
        <x:f>IFERROR(J1024-F1024,"")</x:f>
        <x:v>0.4644500000000029</x:v>
      </x:c>
      <x:c r="AA1024" s="41" t="n">
        <x:v>83</x:v>
      </x:c>
      <x:c r="AB1024" s="41" t="n">
        <x:v>10</x:v>
      </x:c>
    </x:row>
    <x:row r="1025">
      <x:c r="A1025" s="41" t="str">
        <x:v>HYP_REFINE_AUTO002_TOPN_6_V1_DDGRID_STRICT_R12_C21_E75_CR33_REDD_RECOVERED_DD8_SL20</x:v>
      </x:c>
      <x:c r="B1025" s="41" t="str">
        <x:v>dd_guard_grid</x:v>
      </x:c>
      <x:c r="C1025" s="41" t="str">
        <x:v>1999-01-04</x:v>
      </x:c>
      <x:c r="D1025" s="41" t="str">
        <x:v>2026-05-22</x:v>
      </x:c>
      <x:c r="E1025" s="41" t="n">
        <x:v>12.440678</x:v>
      </x:c>
      <x:c r="F1025" s="41" t="n">
        <x:v>-32.338698</x:v>
      </x:c>
      <x:c r="G1025" s="41" t="n">
        <x:v>2378.610388</x:v>
      </x:c>
      <x:c r="H1025" s="41" t="n">
        <x:f>IFERROR(E1025/ABS(F1025),"")</x:f>
        <x:v>0.3846994087393376</x:v>
      </x:c>
      <x:c r="I1025" s="41" t="n">
        <x:v>11.152212</x:v>
      </x:c>
      <x:c r="J1025" s="41" t="n">
        <x:v>-28.250331</x:v>
      </x:c>
      <x:c r="K1025" s="41" t="n">
        <x:v>1707.878712</x:v>
      </x:c>
      <x:c r="L1025" s="41" t="n">
        <x:f>IFERROR(I1025/ABS(J1025),"")</x:f>
        <x:v>0.394763940995948</x:v>
      </x:c>
      <x:c r="M1025" s="41" t="n">
        <x:v>6.802475</x:v>
      </x:c>
      <x:c r="N1025" s="41" t="n">
        <x:v>-56.473669</x:v>
      </x:c>
      <x:c r="O1025" s="41" t="n">
        <x:v>506.057416</x:v>
      </x:c>
      <x:c r="P1025" s="41" t="n">
        <x:f>IFERROR(M1025/ABS(N1025),"")</x:f>
        <x:v>0.12045392340278087</x:v>
      </x:c>
      <x:c r="Q1025" s="41" t="str">
        <x:f>IF(L1025&gt;=MAX(H1025,P1025),"Weekly",IF(H1025&gt;=MAX(L1025,P1025),"No weekly","SPY"))</x:f>
        <x:v>Weekly</x:v>
      </x:c>
      <x:c r="R1025" s="41" t="n">
        <x:f>IFERROR(L1025-P1025,"")</x:f>
        <x:v>0.27431001759316714</x:v>
      </x:c>
      <x:c r="S1025" s="41" t="n">
        <x:f>IFERROR(H1025-P1025,"")</x:f>
        <x:v>0.26424548533655673</x:v>
      </x:c>
      <x:c r="T1025" s="41" t="n">
        <x:f>IFERROR(I1025-M1025,"")</x:f>
        <x:v>4.349737</x:v>
      </x:c>
      <x:c r="U1025" s="41" t="n">
        <x:f>IFERROR(E1025-M1025,"")</x:f>
        <x:v>5.638203</x:v>
      </x:c>
      <x:c r="V1025" s="41" t="str">
        <x:f>IF(AND(I1025&gt;M1025,J1025&gt;N1025),"Sí","No")</x:f>
        <x:v>Sí</x:v>
      </x:c>
      <x:c r="W1025" s="41" t="str">
        <x:f>IF(AND(E1025&gt;M1025,F1025&gt;N1025),"Sí","No")</x:f>
        <x:v>Sí</x:v>
      </x:c>
      <x:c r="X1025" s="41" t="str">
        <x:f>IF(L1025&gt;=H1025,"Weekly","No weekly")</x:f>
        <x:v>Weekly</x:v>
      </x:c>
      <x:c r="Y1025" s="41" t="n">
        <x:f>IFERROR(I1025-E1025,"")</x:f>
        <x:v>-1.2884659999999997</x:v>
      </x:c>
      <x:c r="Z1025" s="41" t="n">
        <x:f>IFERROR(J1025-F1025,"")</x:f>
        <x:v>4.088367000000002</x:v>
      </x:c>
      <x:c r="AA1025" s="41" t="n">
        <x:v>12506</x:v>
      </x:c>
      <x:c r="AB1025" s="41" t="n">
        <x:v>5876</x:v>
      </x:c>
    </x:row>
    <x:row r="1026">
      <x:c r="A1026" s="41" t="str">
        <x:v>HYP_REFINE_AUTO002_TOPN_6_V1_DDGRID_STRICT_R12_C22_E75_CR40_REDD_RECOVERED_DD7_SL18</x:v>
      </x:c>
      <x:c r="B1026" s="41" t="str">
        <x:v>dd_guard_grid</x:v>
      </x:c>
      <x:c r="C1026" s="41" t="str">
        <x:v>1999-01-04</x:v>
      </x:c>
      <x:c r="D1026" s="41" t="str">
        <x:v>2026-05-22</x:v>
      </x:c>
      <x:c r="E1026" s="41" t="n">
        <x:v>13.965305</x:v>
      </x:c>
      <x:c r="F1026" s="41" t="n">
        <x:v>-32.061541</x:v>
      </x:c>
      <x:c r="G1026" s="41" t="n">
        <x:v>3483.857021</x:v>
      </x:c>
      <x:c r="H1026" s="41" t="n">
        <x:f>IFERROR(E1026/ABS(F1026),"")</x:f>
        <x:v>0.43557809651133117</x:v>
      </x:c>
      <x:c r="I1026" s="41" t="n">
        <x:v>12.88328</x:v>
      </x:c>
      <x:c r="J1026" s="41" t="n">
        <x:v>-30.733559</x:v>
      </x:c>
      <x:c r="K1026" s="41" t="n">
        <x:v>2660.072336</x:v>
      </x:c>
      <x:c r="L1026" s="41" t="n">
        <x:f>IFERROR(I1026/ABS(J1026),"")</x:f>
        <x:v>0.4191925835859101</x:v>
      </x:c>
      <x:c r="M1026" s="41" t="n">
        <x:v>6.802475</x:v>
      </x:c>
      <x:c r="N1026" s="41" t="n">
        <x:v>-56.473669</x:v>
      </x:c>
      <x:c r="O1026" s="41" t="n">
        <x:v>506.057416</x:v>
      </x:c>
      <x:c r="P1026" s="41" t="n">
        <x:f>IFERROR(M1026/ABS(N1026),"")</x:f>
        <x:v>0.12045392340278087</x:v>
      </x:c>
      <x:c r="Q1026" s="41" t="str">
        <x:f>IF(L1026&gt;=MAX(H1026,P1026),"Weekly",IF(H1026&gt;=MAX(L1026,P1026),"No weekly","SPY"))</x:f>
        <x:v>No weekly</x:v>
      </x:c>
      <x:c r="R1026" s="41" t="n">
        <x:f>IFERROR(L1026-P1026,"")</x:f>
        <x:v>0.2987386601831292</x:v>
      </x:c>
      <x:c r="S1026" s="41" t="n">
        <x:f>IFERROR(H1026-P1026,"")</x:f>
        <x:v>0.3151241731085503</x:v>
      </x:c>
      <x:c r="T1026" s="41" t="n">
        <x:f>IFERROR(I1026-M1026,"")</x:f>
        <x:v>6.080804999999999</x:v>
      </x:c>
      <x:c r="U1026" s="41" t="n">
        <x:f>IFERROR(E1026-M1026,"")</x:f>
        <x:v>7.1628300000000005</x:v>
      </x:c>
      <x:c r="V1026" s="41" t="str">
        <x:f>IF(AND(I1026&gt;M1026,J1026&gt;N1026),"Sí","No")</x:f>
        <x:v>Sí</x:v>
      </x:c>
      <x:c r="W1026" s="41" t="str">
        <x:f>IF(AND(E1026&gt;M1026,F1026&gt;N1026),"Sí","No")</x:f>
        <x:v>Sí</x:v>
      </x:c>
      <x:c r="X1026" s="41" t="str">
        <x:f>IF(L1026&gt;=H1026,"Weekly","No weekly")</x:f>
        <x:v>No weekly</x:v>
      </x:c>
      <x:c r="Y1026" s="41" t="n">
        <x:f>IFERROR(I1026-E1026,"")</x:f>
        <x:v>-1.0820250000000016</x:v>
      </x:c>
      <x:c r="Z1026" s="41" t="n">
        <x:f>IFERROR(J1026-F1026,"")</x:f>
        <x:v>1.3279819999999987</x:v>
      </x:c>
      <x:c r="AA1026" s="41" t="n">
        <x:v>11848</x:v>
      </x:c>
      <x:c r="AB1026" s="41" t="n">
        <x:v>5527</x:v>
      </x:c>
    </x:row>
    <x:row r="1027">
      <x:c r="A1027" s="41" t="str">
        <x:v>HYP_REFINE_AUTO002_TOPN_6_V1_DDGRID_STRICT_R12_C22_E75_CR40_REDD_RECOVERED_DD8_SL20</x:v>
      </x:c>
      <x:c r="B1027" s="41" t="str">
        <x:v>dd_guard_grid</x:v>
      </x:c>
      <x:c r="C1027" s="41" t="str">
        <x:v>1999-01-04</x:v>
      </x:c>
      <x:c r="D1027" s="41" t="str">
        <x:v>2026-05-22</x:v>
      </x:c>
      <x:c r="E1027" s="41" t="n">
        <x:v>13.420618</x:v>
      </x:c>
      <x:c r="F1027" s="41" t="n">
        <x:v>-32.812631</x:v>
      </x:c>
      <x:c r="G1027" s="41" t="n">
        <x:v>3043.298584</x:v>
      </x:c>
      <x:c r="H1027" s="41" t="n">
        <x:f>IFERROR(E1027/ABS(F1027),"")</x:f>
        <x:v>0.4090076775617291</x:v>
      </x:c>
      <x:c r="I1027" s="41" t="n">
        <x:v>13.644569</x:v>
      </x:c>
      <x:c r="J1027" s="41" t="n">
        <x:v>-30.475557</x:v>
      </x:c>
      <x:c r="K1027" s="41" t="n">
        <x:v>3217.723332</x:v>
      </x:c>
      <x:c r="L1027" s="41" t="n">
        <x:f>IFERROR(I1027/ABS(J1027),"")</x:f>
        <x:v>0.44772172662832715</x:v>
      </x:c>
      <x:c r="M1027" s="41" t="n">
        <x:v>6.802475</x:v>
      </x:c>
      <x:c r="N1027" s="41" t="n">
        <x:v>-56.473669</x:v>
      </x:c>
      <x:c r="O1027" s="41" t="n">
        <x:v>506.057416</x:v>
      </x:c>
      <x:c r="P1027" s="41" t="n">
        <x:f>IFERROR(M1027/ABS(N1027),"")</x:f>
        <x:v>0.12045392340278087</x:v>
      </x:c>
      <x:c r="Q1027" s="41" t="str">
        <x:f>IF(L1027&gt;=MAX(H1027,P1027),"Weekly",IF(H1027&gt;=MAX(L1027,P1027),"No weekly","SPY"))</x:f>
        <x:v>Weekly</x:v>
      </x:c>
      <x:c r="R1027" s="41" t="n">
        <x:f>IFERROR(L1027-P1027,"")</x:f>
        <x:v>0.32726780322554627</x:v>
      </x:c>
      <x:c r="S1027" s="41" t="n">
        <x:f>IFERROR(H1027-P1027,"")</x:f>
        <x:v>0.28855375415894824</x:v>
      </x:c>
      <x:c r="T1027" s="41" t="n">
        <x:f>IFERROR(I1027-M1027,"")</x:f>
        <x:v>6.842094</x:v>
      </x:c>
      <x:c r="U1027" s="41" t="n">
        <x:f>IFERROR(E1027-M1027,"")</x:f>
        <x:v>6.618142999999999</x:v>
      </x:c>
      <x:c r="V1027" s="41" t="str">
        <x:f>IF(AND(I1027&gt;M1027,J1027&gt;N1027),"Sí","No")</x:f>
        <x:v>Sí</x:v>
      </x:c>
      <x:c r="W1027" s="41" t="str">
        <x:f>IF(AND(E1027&gt;M1027,F1027&gt;N1027),"Sí","No")</x:f>
        <x:v>Sí</x:v>
      </x:c>
      <x:c r="X1027" s="41" t="str">
        <x:f>IF(L1027&gt;=H1027,"Weekly","No weekly")</x:f>
        <x:v>Weekly</x:v>
      </x:c>
      <x:c r="Y1027" s="41" t="n">
        <x:f>IFERROR(I1027-E1027,"")</x:f>
        <x:v>0.22395100000000134</x:v>
      </x:c>
      <x:c r="Z1027" s="41" t="n">
        <x:f>IFERROR(J1027-F1027,"")</x:f>
        <x:v>2.3370740000000048</x:v>
      </x:c>
      <x:c r="AA1027" s="41" t="n">
        <x:v>11660</x:v>
      </x:c>
      <x:c r="AB1027" s="41" t="n">
        <x:v>5585</x:v>
      </x:c>
    </x:row>
    <x:row r="1028">
      <x:c r="A1028" s="41" t="str">
        <x:v>HYP_REFINE_AUTO002_TOPN_6_V1_STRICT_NEXT_CLOSE</x:v>
      </x:c>
      <x:c r="B1028" s="41" t="str">
        <x:v>trend_following</x:v>
      </x:c>
      <x:c r="C1028" s="41" t="str">
        <x:v>1999-01-04</x:v>
      </x:c>
      <x:c r="D1028" s="41" t="str">
        <x:v>2026-05-22</x:v>
      </x:c>
      <x:c r="E1028" s="41" t="n">
        <x:v>19.13131</x:v>
      </x:c>
      <x:c r="F1028" s="41" t="n">
        <x:v>-51.081879</x:v>
      </x:c>
      <x:c r="G1028" s="41" t="n">
        <x:v>11963.578192</x:v>
      </x:c>
      <x:c r="H1028" s="41" t="n">
        <x:f>IFERROR(E1028/ABS(F1028),"")</x:f>
        <x:v>0.3745224407269748</x:v>
      </x:c>
      <x:c r="I1028" s="41" t="n">
        <x:v>19.640218</x:v>
      </x:c>
      <x:c r="J1028" s="41" t="n">
        <x:v>-37.44561</x:v>
      </x:c>
      <x:c r="K1028" s="41" t="n">
        <x:v>13456.932122</x:v>
      </x:c>
      <x:c r="L1028" s="41" t="n">
        <x:f>IFERROR(I1028/ABS(J1028),"")</x:f>
        <x:v>0.5244998812944962</x:v>
      </x:c>
      <x:c r="M1028" s="41" t="n">
        <x:v>6.802475</x:v>
      </x:c>
      <x:c r="N1028" s="41" t="n">
        <x:v>-56.473669</x:v>
      </x:c>
      <x:c r="O1028" s="41" t="n">
        <x:v>506.057416</x:v>
      </x:c>
      <x:c r="P1028" s="41" t="n">
        <x:f>IFERROR(M1028/ABS(N1028),"")</x:f>
        <x:v>0.12045392340278087</x:v>
      </x:c>
      <x:c r="Q1028" s="41" t="str">
        <x:f>IF(L1028&gt;=MAX(H1028,P1028),"Weekly",IF(H1028&gt;=MAX(L1028,P1028),"No weekly","SPY"))</x:f>
        <x:v>Weekly</x:v>
      </x:c>
      <x:c r="R1028" s="41" t="n">
        <x:f>IFERROR(L1028-P1028,"")</x:f>
        <x:v>0.4040459578917153</x:v>
      </x:c>
      <x:c r="S1028" s="41" t="n">
        <x:f>IFERROR(H1028-P1028,"")</x:f>
        <x:v>0.25406851732419394</x:v>
      </x:c>
      <x:c r="T1028" s="41" t="n">
        <x:f>IFERROR(I1028-M1028,"")</x:f>
        <x:v>12.837743</x:v>
      </x:c>
      <x:c r="U1028" s="41" t="n">
        <x:f>IFERROR(E1028-M1028,"")</x:f>
        <x:v>12.328834999999998</x:v>
      </x:c>
      <x:c r="V1028" s="41" t="str">
        <x:f>IF(AND(I1028&gt;M1028,J1028&gt;N1028),"Sí","No")</x:f>
        <x:v>Sí</x:v>
      </x:c>
      <x:c r="W1028" s="41" t="str">
        <x:f>IF(AND(E1028&gt;M1028,F1028&gt;N1028),"Sí","No")</x:f>
        <x:v>Sí</x:v>
      </x:c>
      <x:c r="X1028" s="41" t="str">
        <x:f>IF(L1028&gt;=H1028,"Weekly","No weekly")</x:f>
        <x:v>Weekly</x:v>
      </x:c>
      <x:c r="Y1028" s="41" t="n">
        <x:f>IFERROR(I1028-E1028,"")</x:f>
        <x:v>0.5089080000000017</x:v>
      </x:c>
      <x:c r="Z1028" s="41" t="n">
        <x:f>IFERROR(J1028-F1028,"")</x:f>
        <x:v>13.636268999999999</x:v>
      </x:c>
      <x:c r="AA1028" s="41" t="n">
        <x:v>4547</x:v>
      </x:c>
      <x:c r="AB1028" s="41" t="n">
        <x:v>670</x:v>
      </x:c>
    </x:row>
    <x:row r="1029">
      <x:c r="A1029" s="41" t="str">
        <x:v>HYP_TACTICAL_ASSET_ALLOCATION_MARKET_FILTER_True_V1</x:v>
      </x:c>
      <x:c r="B1029" s="41" t="str">
        <x:v>cross_sectional_momentum</x:v>
      </x:c>
      <x:c r="C1029" s="41" t="str">
        <x:v>1999-01-04</x:v>
      </x:c>
      <x:c r="D1029" s="41" t="str">
        <x:v>2026-05-22</x:v>
      </x:c>
      <x:c r="E1029" s="41" t="n">
        <x:v>25.292058</x:v>
      </x:c>
      <x:c r="F1029" s="41" t="n">
        <x:v>-58.89752</x:v>
      </x:c>
      <x:c r="G1029" s="41" t="n">
        <x:v>47873.393792</x:v>
      </x:c>
      <x:c r="H1029" s="41" t="n">
        <x:f>IFERROR(E1029/ABS(F1029),"")</x:f>
        <x:v>0.42942483826144123</x:v>
      </x:c>
      <x:c r="I1029" s="41" t="n">
        <x:v>11.645538</x:v>
      </x:c>
      <x:c r="J1029" s="41" t="n">
        <x:v>-38.222606</x:v>
      </x:c>
      <x:c r="K1029" s="41" t="n">
        <x:v>1940.916955</x:v>
      </x:c>
      <x:c r="L1029" s="41" t="n">
        <x:f>IFERROR(I1029/ABS(J1029),"")</x:f>
        <x:v>0.30467671408903935</x:v>
      </x:c>
      <x:c r="M1029" s="41" t="n">
        <x:v>6.802475</x:v>
      </x:c>
      <x:c r="N1029" s="41" t="n">
        <x:v>-56.473669</x:v>
      </x:c>
      <x:c r="O1029" s="41" t="n">
        <x:v>506.057416</x:v>
      </x:c>
      <x:c r="P1029" s="41" t="n">
        <x:f>IFERROR(M1029/ABS(N1029),"")</x:f>
        <x:v>0.12045392340278087</x:v>
      </x:c>
      <x:c r="Q1029" s="41" t="str">
        <x:f>IF(L1029&gt;=MAX(H1029,P1029),"Weekly",IF(H1029&gt;=MAX(L1029,P1029),"No weekly","SPY"))</x:f>
        <x:v>No weekly</x:v>
      </x:c>
      <x:c r="R1029" s="41" t="n">
        <x:f>IFERROR(L1029-P1029,"")</x:f>
        <x:v>0.18422279068625846</x:v>
      </x:c>
      <x:c r="S1029" s="41" t="n">
        <x:f>IFERROR(H1029-P1029,"")</x:f>
        <x:v>0.30897091485866035</x:v>
      </x:c>
      <x:c r="T1029" s="41" t="n">
        <x:f>IFERROR(I1029-M1029,"")</x:f>
        <x:v>4.843063</x:v>
      </x:c>
      <x:c r="U1029" s="41" t="n">
        <x:f>IFERROR(E1029-M1029,"")</x:f>
        <x:v>18.489583</x:v>
      </x:c>
      <x:c r="V1029" s="41" t="str">
        <x:f>IF(AND(I1029&gt;M1029,J1029&gt;N1029),"Sí","No")</x:f>
        <x:v>Sí</x:v>
      </x:c>
      <x:c r="W1029" s="41" t="str">
        <x:f>IF(AND(E1029&gt;M1029,F1029&gt;N1029),"Sí","No")</x:f>
        <x:v>No</x:v>
      </x:c>
      <x:c r="X1029" s="41" t="str">
        <x:f>IF(L1029&gt;=H1029,"Weekly","No weekly")</x:f>
        <x:v>No weekly</x:v>
      </x:c>
      <x:c r="Y1029" s="41" t="n">
        <x:f>IFERROR(I1029-E1029,"")</x:f>
        <x:v>-13.64652</x:v>
      </x:c>
      <x:c r="Z1029" s="41" t="n">
        <x:f>IFERROR(J1029-F1029,"")</x:f>
        <x:v>20.674914</x:v>
      </x:c>
      <x:c r="AA1029" s="41" t="n">
        <x:v>9569</x:v>
      </x:c>
      <x:c r="AB1029" s="41" t="n">
        <x:v>3280</x:v>
      </x:c>
    </x:row>
    <x:row r="1030">
      <x:c r="A1030" s="41" t="str">
        <x:v>HYP_TACTICAL_ASSET_ALLOCATION_MARKET_FILTER_True_V10</x:v>
      </x:c>
      <x:c r="B1030" s="41" t="str">
        <x:v>cross_sectional_momentum</x:v>
      </x:c>
      <x:c r="C1030" s="41" t="str">
        <x:v>1999-01-04</x:v>
      </x:c>
      <x:c r="D1030" s="41" t="str">
        <x:v>2026-05-22</x:v>
      </x:c>
      <x:c r="E1030" s="41" t="n">
        <x:v>25.292058</x:v>
      </x:c>
      <x:c r="F1030" s="41" t="n">
        <x:v>-58.89752</x:v>
      </x:c>
      <x:c r="G1030" s="41" t="n">
        <x:v>47873.393792</x:v>
      </x:c>
      <x:c r="H1030" s="41" t="n">
        <x:f>IFERROR(E1030/ABS(F1030),"")</x:f>
        <x:v>0.42942483826144123</x:v>
      </x:c>
      <x:c r="I1030" s="41" t="n">
        <x:v>11.645538</x:v>
      </x:c>
      <x:c r="J1030" s="41" t="n">
        <x:v>-38.222606</x:v>
      </x:c>
      <x:c r="K1030" s="41" t="n">
        <x:v>1940.916955</x:v>
      </x:c>
      <x:c r="L1030" s="41" t="n">
        <x:f>IFERROR(I1030/ABS(J1030),"")</x:f>
        <x:v>0.30467671408903935</x:v>
      </x:c>
      <x:c r="M1030" s="41" t="n">
        <x:v>6.802475</x:v>
      </x:c>
      <x:c r="N1030" s="41" t="n">
        <x:v>-56.473669</x:v>
      </x:c>
      <x:c r="O1030" s="41" t="n">
        <x:v>506.057416</x:v>
      </x:c>
      <x:c r="P1030" s="41" t="n">
        <x:f>IFERROR(M1030/ABS(N1030),"")</x:f>
        <x:v>0.12045392340278087</x:v>
      </x:c>
      <x:c r="Q1030" s="41" t="str">
        <x:f>IF(L1030&gt;=MAX(H1030,P1030),"Weekly",IF(H1030&gt;=MAX(L1030,P1030),"No weekly","SPY"))</x:f>
        <x:v>No weekly</x:v>
      </x:c>
      <x:c r="R1030" s="41" t="n">
        <x:f>IFERROR(L1030-P1030,"")</x:f>
        <x:v>0.18422279068625846</x:v>
      </x:c>
      <x:c r="S1030" s="41" t="n">
        <x:f>IFERROR(H1030-P1030,"")</x:f>
        <x:v>0.30897091485866035</x:v>
      </x:c>
      <x:c r="T1030" s="41" t="n">
        <x:f>IFERROR(I1030-M1030,"")</x:f>
        <x:v>4.843063</x:v>
      </x:c>
      <x:c r="U1030" s="41" t="n">
        <x:f>IFERROR(E1030-M1030,"")</x:f>
        <x:v>18.489583</x:v>
      </x:c>
      <x:c r="V1030" s="41" t="str">
        <x:f>IF(AND(I1030&gt;M1030,J1030&gt;N1030),"Sí","No")</x:f>
        <x:v>Sí</x:v>
      </x:c>
      <x:c r="W1030" s="41" t="str">
        <x:f>IF(AND(E1030&gt;M1030,F1030&gt;N1030),"Sí","No")</x:f>
        <x:v>No</x:v>
      </x:c>
      <x:c r="X1030" s="41" t="str">
        <x:f>IF(L1030&gt;=H1030,"Weekly","No weekly")</x:f>
        <x:v>No weekly</x:v>
      </x:c>
      <x:c r="Y1030" s="41" t="n">
        <x:f>IFERROR(I1030-E1030,"")</x:f>
        <x:v>-13.64652</x:v>
      </x:c>
      <x:c r="Z1030" s="41" t="n">
        <x:f>IFERROR(J1030-F1030,"")</x:f>
        <x:v>20.674914</x:v>
      </x:c>
      <x:c r="AA1030" s="41" t="n">
        <x:v>9569</x:v>
      </x:c>
      <x:c r="AB1030" s="41" t="n">
        <x:v>3280</x:v>
      </x:c>
    </x:row>
    <x:row r="1031">
      <x:c r="A1031" s="41" t="str">
        <x:v>HYP_TACTICAL_ASSET_ALLOCATION_MARKET_FILTER_True_V2</x:v>
      </x:c>
      <x:c r="B1031" s="41" t="str">
        <x:v>cross_sectional_momentum</x:v>
      </x:c>
      <x:c r="C1031" s="41" t="str">
        <x:v>1999-01-04</x:v>
      </x:c>
      <x:c r="D1031" s="41" t="str">
        <x:v>2026-05-22</x:v>
      </x:c>
      <x:c r="E1031" s="41" t="n">
        <x:v>25.292058</x:v>
      </x:c>
      <x:c r="F1031" s="41" t="n">
        <x:v>-58.89752</x:v>
      </x:c>
      <x:c r="G1031" s="41" t="n">
        <x:v>47873.393792</x:v>
      </x:c>
      <x:c r="H1031" s="41" t="n">
        <x:f>IFERROR(E1031/ABS(F1031),"")</x:f>
        <x:v>0.42942483826144123</x:v>
      </x:c>
      <x:c r="I1031" s="41" t="n">
        <x:v>11.645538</x:v>
      </x:c>
      <x:c r="J1031" s="41" t="n">
        <x:v>-38.222606</x:v>
      </x:c>
      <x:c r="K1031" s="41" t="n">
        <x:v>1940.916955</x:v>
      </x:c>
      <x:c r="L1031" s="41" t="n">
        <x:f>IFERROR(I1031/ABS(J1031),"")</x:f>
        <x:v>0.30467671408903935</x:v>
      </x:c>
      <x:c r="M1031" s="41" t="n">
        <x:v>6.802475</x:v>
      </x:c>
      <x:c r="N1031" s="41" t="n">
        <x:v>-56.473669</x:v>
      </x:c>
      <x:c r="O1031" s="41" t="n">
        <x:v>506.057416</x:v>
      </x:c>
      <x:c r="P1031" s="41" t="n">
        <x:f>IFERROR(M1031/ABS(N1031),"")</x:f>
        <x:v>0.12045392340278087</x:v>
      </x:c>
      <x:c r="Q1031" s="41" t="str">
        <x:f>IF(L1031&gt;=MAX(H1031,P1031),"Weekly",IF(H1031&gt;=MAX(L1031,P1031),"No weekly","SPY"))</x:f>
        <x:v>No weekly</x:v>
      </x:c>
      <x:c r="R1031" s="41" t="n">
        <x:f>IFERROR(L1031-P1031,"")</x:f>
        <x:v>0.18422279068625846</x:v>
      </x:c>
      <x:c r="S1031" s="41" t="n">
        <x:f>IFERROR(H1031-P1031,"")</x:f>
        <x:v>0.30897091485866035</x:v>
      </x:c>
      <x:c r="T1031" s="41" t="n">
        <x:f>IFERROR(I1031-M1031,"")</x:f>
        <x:v>4.843063</x:v>
      </x:c>
      <x:c r="U1031" s="41" t="n">
        <x:f>IFERROR(E1031-M1031,"")</x:f>
        <x:v>18.489583</x:v>
      </x:c>
      <x:c r="V1031" s="41" t="str">
        <x:f>IF(AND(I1031&gt;M1031,J1031&gt;N1031),"Sí","No")</x:f>
        <x:v>Sí</x:v>
      </x:c>
      <x:c r="W1031" s="41" t="str">
        <x:f>IF(AND(E1031&gt;M1031,F1031&gt;N1031),"Sí","No")</x:f>
        <x:v>No</x:v>
      </x:c>
      <x:c r="X1031" s="41" t="str">
        <x:f>IF(L1031&gt;=H1031,"Weekly","No weekly")</x:f>
        <x:v>No weekly</x:v>
      </x:c>
      <x:c r="Y1031" s="41" t="n">
        <x:f>IFERROR(I1031-E1031,"")</x:f>
        <x:v>-13.64652</x:v>
      </x:c>
      <x:c r="Z1031" s="41" t="n">
        <x:f>IFERROR(J1031-F1031,"")</x:f>
        <x:v>20.674914</x:v>
      </x:c>
      <x:c r="AA1031" s="41" t="n">
        <x:v>9569</x:v>
      </x:c>
      <x:c r="AB1031" s="41" t="n">
        <x:v>3280</x:v>
      </x:c>
    </x:row>
    <x:row r="1032">
      <x:c r="A1032" s="41" t="str">
        <x:v>HYP_TREND_FOLLOWING_EXIT_THRESHOLD_20_V1</x:v>
      </x:c>
      <x:c r="B1032" s="41" t="str">
        <x:v>cross_sectional_momentum</x:v>
      </x:c>
      <x:c r="C1032" s="41" t="str">
        <x:v>1999-01-04</x:v>
      </x:c>
      <x:c r="D1032" s="41" t="str">
        <x:v>2026-05-22</x:v>
      </x:c>
      <x:c r="E1032" s="41" t="n">
        <x:v>25.292058</x:v>
      </x:c>
      <x:c r="F1032" s="41" t="n">
        <x:v>-58.89752</x:v>
      </x:c>
      <x:c r="G1032" s="41" t="n">
        <x:v>47873.393792</x:v>
      </x:c>
      <x:c r="H1032" s="41" t="n">
        <x:f>IFERROR(E1032/ABS(F1032),"")</x:f>
        <x:v>0.42942483826144123</x:v>
      </x:c>
      <x:c r="I1032" s="41" t="n">
        <x:v>12.484666</x:v>
      </x:c>
      <x:c r="J1032" s="41" t="n">
        <x:v>-38.639771</x:v>
      </x:c>
      <x:c r="K1032" s="41" t="n">
        <x:v>2405.295494</x:v>
      </x:c>
      <x:c r="L1032" s="41" t="n">
        <x:f>IFERROR(I1032/ABS(J1032),"")</x:f>
        <x:v>0.32310403702961904</x:v>
      </x:c>
      <x:c r="M1032" s="41" t="n">
        <x:v>6.802475</x:v>
      </x:c>
      <x:c r="N1032" s="41" t="n">
        <x:v>-56.473669</x:v>
      </x:c>
      <x:c r="O1032" s="41" t="n">
        <x:v>506.057416</x:v>
      </x:c>
      <x:c r="P1032" s="41" t="n">
        <x:f>IFERROR(M1032/ABS(N1032),"")</x:f>
        <x:v>0.12045392340278087</x:v>
      </x:c>
      <x:c r="Q1032" s="41" t="str">
        <x:f>IF(L1032&gt;=MAX(H1032,P1032),"Weekly",IF(H1032&gt;=MAX(L1032,P1032),"No weekly","SPY"))</x:f>
        <x:v>No weekly</x:v>
      </x:c>
      <x:c r="R1032" s="41" t="n">
        <x:f>IFERROR(L1032-P1032,"")</x:f>
        <x:v>0.20265011362683816</x:v>
      </x:c>
      <x:c r="S1032" s="41" t="n">
        <x:f>IFERROR(H1032-P1032,"")</x:f>
        <x:v>0.30897091485866035</x:v>
      </x:c>
      <x:c r="T1032" s="41" t="n">
        <x:f>IFERROR(I1032-M1032,"")</x:f>
        <x:v>5.682191</x:v>
      </x:c>
      <x:c r="U1032" s="41" t="n">
        <x:f>IFERROR(E1032-M1032,"")</x:f>
        <x:v>18.489583</x:v>
      </x:c>
      <x:c r="V1032" s="41" t="str">
        <x:f>IF(AND(I1032&gt;M1032,J1032&gt;N1032),"Sí","No")</x:f>
        <x:v>Sí</x:v>
      </x:c>
      <x:c r="W1032" s="41" t="str">
        <x:f>IF(AND(E1032&gt;M1032,F1032&gt;N1032),"Sí","No")</x:f>
        <x:v>No</x:v>
      </x:c>
      <x:c r="X1032" s="41" t="str">
        <x:f>IF(L1032&gt;=H1032,"Weekly","No weekly")</x:f>
        <x:v>No weekly</x:v>
      </x:c>
      <x:c r="Y1032" s="41" t="n">
        <x:f>IFERROR(I1032-E1032,"")</x:f>
        <x:v>-12.807392</x:v>
      </x:c>
      <x:c r="Z1032" s="41" t="n">
        <x:f>IFERROR(J1032-F1032,"")</x:f>
        <x:v>20.257748999999997</x:v>
      </x:c>
      <x:c r="AA1032" s="41" t="n">
        <x:v>8193</x:v>
      </x:c>
      <x:c r="AB1032" s="41" t="n">
        <x:v>3280</x:v>
      </x:c>
    </x:row>
    <x:row r="1033">
      <x:c r="A1033" s="41" t="str">
        <x:v>HYP_TREND_FOLLOWING_EXIT_THRESHOLD_35_V1</x:v>
      </x:c>
      <x:c r="B1033" s="41" t="str">
        <x:v>cross_sectional_momentum</x:v>
      </x:c>
      <x:c r="C1033" s="41" t="str">
        <x:v>1999-01-04</x:v>
      </x:c>
      <x:c r="D1033" s="41" t="str">
        <x:v>2026-05-22</x:v>
      </x:c>
      <x:c r="E1033" s="41" t="n">
        <x:v>25.292058</x:v>
      </x:c>
      <x:c r="F1033" s="41" t="n">
        <x:v>-58.89752</x:v>
      </x:c>
      <x:c r="G1033" s="41" t="n">
        <x:v>47873.393792</x:v>
      </x:c>
      <x:c r="H1033" s="41" t="n">
        <x:f>IFERROR(E1033/ABS(F1033),"")</x:f>
        <x:v>0.42942483826144123</x:v>
      </x:c>
      <x:c r="I1033" s="41" t="n">
        <x:v>11.834493</x:v>
      </x:c>
      <x:c r="J1033" s="41" t="n">
        <x:v>-38.104608</x:v>
      </x:c>
      <x:c r="K1033" s="41" t="n">
        <x:v>2037.628195</x:v>
      </x:c>
      <x:c r="L1033" s="41" t="n">
        <x:f>IFERROR(I1033/ABS(J1033),"")</x:f>
        <x:v>0.3105790512265603</x:v>
      </x:c>
      <x:c r="M1033" s="41" t="n">
        <x:v>6.802475</x:v>
      </x:c>
      <x:c r="N1033" s="41" t="n">
        <x:v>-56.473669</x:v>
      </x:c>
      <x:c r="O1033" s="41" t="n">
        <x:v>506.057416</x:v>
      </x:c>
      <x:c r="P1033" s="41" t="n">
        <x:f>IFERROR(M1033/ABS(N1033),"")</x:f>
        <x:v>0.12045392340278087</x:v>
      </x:c>
      <x:c r="Q1033" s="41" t="str">
        <x:f>IF(L1033&gt;=MAX(H1033,P1033),"Weekly",IF(H1033&gt;=MAX(L1033,P1033),"No weekly","SPY"))</x:f>
        <x:v>No weekly</x:v>
      </x:c>
      <x:c r="R1033" s="41" t="n">
        <x:f>IFERROR(L1033-P1033,"")</x:f>
        <x:v>0.19012512782377944</x:v>
      </x:c>
      <x:c r="S1033" s="41" t="n">
        <x:f>IFERROR(H1033-P1033,"")</x:f>
        <x:v>0.30897091485866035</x:v>
      </x:c>
      <x:c r="T1033" s="41" t="n">
        <x:f>IFERROR(I1033-M1033,"")</x:f>
        <x:v>5.032018</x:v>
      </x:c>
      <x:c r="U1033" s="41" t="n">
        <x:f>IFERROR(E1033-M1033,"")</x:f>
        <x:v>18.489583</x:v>
      </x:c>
      <x:c r="V1033" s="41" t="str">
        <x:f>IF(AND(I1033&gt;M1033,J1033&gt;N1033),"Sí","No")</x:f>
        <x:v>Sí</x:v>
      </x:c>
      <x:c r="W1033" s="41" t="str">
        <x:f>IF(AND(E1033&gt;M1033,F1033&gt;N1033),"Sí","No")</x:f>
        <x:v>No</x:v>
      </x:c>
      <x:c r="X1033" s="41" t="str">
        <x:f>IF(L1033&gt;=H1033,"Weekly","No weekly")</x:f>
        <x:v>No weekly</x:v>
      </x:c>
      <x:c r="Y1033" s="41" t="n">
        <x:f>IFERROR(I1033-E1033,"")</x:f>
        <x:v>-13.457565</x:v>
      </x:c>
      <x:c r="Z1033" s="41" t="n">
        <x:f>IFERROR(J1033-F1033,"")</x:f>
        <x:v>20.792912</x:v>
      </x:c>
      <x:c r="AA1033" s="41" t="n">
        <x:v>9982</x:v>
      </x:c>
      <x:c r="AB1033" s="41" t="n">
        <x:v>3280</x:v>
      </x:c>
    </x:row>
    <x:row r="1034">
      <x:c r="A1034" s="41" t="str">
        <x:v>HYP_TREND_FOLLOWING_MARKET_FILTER_True_V1</x:v>
      </x:c>
      <x:c r="B1034" s="41" t="str">
        <x:v>cross_sectional_momentum</x:v>
      </x:c>
      <x:c r="C1034" s="41" t="str">
        <x:v>1999-01-04</x:v>
      </x:c>
      <x:c r="D1034" s="41" t="str">
        <x:v>2026-05-22</x:v>
      </x:c>
      <x:c r="E1034" s="41" t="n">
        <x:v>25.292058</x:v>
      </x:c>
      <x:c r="F1034" s="41" t="n">
        <x:v>-58.89752</x:v>
      </x:c>
      <x:c r="G1034" s="41" t="n">
        <x:v>47873.393792</x:v>
      </x:c>
      <x:c r="H1034" s="41" t="n">
        <x:f>IFERROR(E1034/ABS(F1034),"")</x:f>
        <x:v>0.42942483826144123</x:v>
      </x:c>
      <x:c r="I1034" s="41" t="n">
        <x:v>11.645538</x:v>
      </x:c>
      <x:c r="J1034" s="41" t="n">
        <x:v>-38.222606</x:v>
      </x:c>
      <x:c r="K1034" s="41" t="n">
        <x:v>1940.916955</x:v>
      </x:c>
      <x:c r="L1034" s="41" t="n">
        <x:f>IFERROR(I1034/ABS(J1034),"")</x:f>
        <x:v>0.30467671408903935</x:v>
      </x:c>
      <x:c r="M1034" s="41" t="n">
        <x:v>6.802475</x:v>
      </x:c>
      <x:c r="N1034" s="41" t="n">
        <x:v>-56.473669</x:v>
      </x:c>
      <x:c r="O1034" s="41" t="n">
        <x:v>506.057416</x:v>
      </x:c>
      <x:c r="P1034" s="41" t="n">
        <x:f>IFERROR(M1034/ABS(N1034),"")</x:f>
        <x:v>0.12045392340278087</x:v>
      </x:c>
      <x:c r="Q1034" s="41" t="str">
        <x:f>IF(L1034&gt;=MAX(H1034,P1034),"Weekly",IF(H1034&gt;=MAX(L1034,P1034),"No weekly","SPY"))</x:f>
        <x:v>No weekly</x:v>
      </x:c>
      <x:c r="R1034" s="41" t="n">
        <x:f>IFERROR(L1034-P1034,"")</x:f>
        <x:v>0.18422279068625846</x:v>
      </x:c>
      <x:c r="S1034" s="41" t="n">
        <x:f>IFERROR(H1034-P1034,"")</x:f>
        <x:v>0.30897091485866035</x:v>
      </x:c>
      <x:c r="T1034" s="41" t="n">
        <x:f>IFERROR(I1034-M1034,"")</x:f>
        <x:v>4.843063</x:v>
      </x:c>
      <x:c r="U1034" s="41" t="n">
        <x:f>IFERROR(E1034-M1034,"")</x:f>
        <x:v>18.489583</x:v>
      </x:c>
      <x:c r="V1034" s="41" t="str">
        <x:f>IF(AND(I1034&gt;M1034,J1034&gt;N1034),"Sí","No")</x:f>
        <x:v>Sí</x:v>
      </x:c>
      <x:c r="W1034" s="41" t="str">
        <x:f>IF(AND(E1034&gt;M1034,F1034&gt;N1034),"Sí","No")</x:f>
        <x:v>No</x:v>
      </x:c>
      <x:c r="X1034" s="41" t="str">
        <x:f>IF(L1034&gt;=H1034,"Weekly","No weekly")</x:f>
        <x:v>No weekly</x:v>
      </x:c>
      <x:c r="Y1034" s="41" t="n">
        <x:f>IFERROR(I1034-E1034,"")</x:f>
        <x:v>-13.64652</x:v>
      </x:c>
      <x:c r="Z1034" s="41" t="n">
        <x:f>IFERROR(J1034-F1034,"")</x:f>
        <x:v>20.674914</x:v>
      </x:c>
      <x:c r="AA1034" s="41" t="n">
        <x:v>9569</x:v>
      </x:c>
      <x:c r="AB1034" s="41" t="n">
        <x:v>3280</x:v>
      </x:c>
    </x:row>
    <x:row r="1035">
      <x:c r="A1035" s="41" t="str">
        <x:v>SP500_MOMENTUM_TREND_CONCENTRATION_V1</x:v>
      </x:c>
      <x:c r="B1035" s="41" t="str">
        <x:v>cross_sectional_momentum</x:v>
      </x:c>
      <x:c r="C1035" s="41" t="str">
        <x:v>1999-01-04</x:v>
      </x:c>
      <x:c r="D1035" s="41" t="str">
        <x:v>2026-05-22</x:v>
      </x:c>
      <x:c r="E1035" s="41" t="n">
        <x:v>29.994236</x:v>
      </x:c>
      <x:c r="F1035" s="41" t="n">
        <x:v>-61.254993</x:v>
      </x:c>
      <x:c r="G1035" s="41" t="n">
        <x:v>131444.20957</x:v>
      </x:c>
      <x:c r="H1035" s="41" t="n">
        <x:f>IFERROR(E1035/ABS(F1035),"")</x:f>
        <x:v>0.4896618958065998</x:v>
      </x:c>
      <x:c r="I1035" s="41" t="n">
        <x:v>13.909261</x:v>
      </x:c>
      <x:c r="J1035" s="41" t="n">
        <x:v>-41.460529</x:v>
      </x:c>
      <x:c r="K1035" s="41" t="n">
        <x:v>3435.916029</x:v>
      </x:c>
      <x:c r="L1035" s="41" t="n">
        <x:f>IFERROR(I1035/ABS(J1035),"")</x:f>
        <x:v>0.3354819954178588</x:v>
      </x:c>
      <x:c r="M1035" s="41" t="n">
        <x:v>6.802475</x:v>
      </x:c>
      <x:c r="N1035" s="41" t="n">
        <x:v>-56.473669</x:v>
      </x:c>
      <x:c r="O1035" s="41" t="n">
        <x:v>506.057416</x:v>
      </x:c>
      <x:c r="P1035" s="41" t="n">
        <x:f>IFERROR(M1035/ABS(N1035),"")</x:f>
        <x:v>0.12045392340278087</x:v>
      </x:c>
      <x:c r="Q1035" s="41" t="str">
        <x:f>IF(L1035&gt;=MAX(H1035,P1035),"Weekly",IF(H1035&gt;=MAX(L1035,P1035),"No weekly","SPY"))</x:f>
        <x:v>No weekly</x:v>
      </x:c>
      <x:c r="R1035" s="41" t="n">
        <x:f>IFERROR(L1035-P1035,"")</x:f>
        <x:v>0.2150280720150779</x:v>
      </x:c>
      <x:c r="S1035" s="41" t="n">
        <x:f>IFERROR(H1035-P1035,"")</x:f>
        <x:v>0.3692079724038189</x:v>
      </x:c>
      <x:c r="T1035" s="41" t="n">
        <x:f>IFERROR(I1035-M1035,"")</x:f>
        <x:v>7.1067860000000005</x:v>
      </x:c>
      <x:c r="U1035" s="41" t="n">
        <x:f>IFERROR(E1035-M1035,"")</x:f>
        <x:v>23.191761</x:v>
      </x:c>
      <x:c r="V1035" s="41" t="str">
        <x:f>IF(AND(I1035&gt;M1035,J1035&gt;N1035),"Sí","No")</x:f>
        <x:v>Sí</x:v>
      </x:c>
      <x:c r="W1035" s="41" t="str">
        <x:f>IF(AND(E1035&gt;M1035,F1035&gt;N1035),"Sí","No")</x:f>
        <x:v>No</x:v>
      </x:c>
      <x:c r="X1035" s="41" t="str">
        <x:f>IF(L1035&gt;=H1035,"Weekly","No weekly")</x:f>
        <x:v>No weekly</x:v>
      </x:c>
      <x:c r="Y1035" s="41" t="n">
        <x:f>IFERROR(I1035-E1035,"")</x:f>
        <x:v>-16.084975</x:v>
      </x:c>
      <x:c r="Z1035" s="41" t="n">
        <x:f>IFERROR(J1035-F1035,"")</x:f>
        <x:v>19.794463999999998</x:v>
      </x:c>
      <x:c r="AA1035" s="41" t="n">
        <x:v>6317</x:v>
      </x:c>
      <x:c r="AB1035" s="41" t="n">
        <x:v>2190</x:v>
      </x:c>
    </x:row>
  </x:sheetData>
  <x:pageMargins left="0.7" right="0.7" top="0.75" bottom="0.75" header="0.3" footer="0.3"/>
  <x:tableParts count="1">
    <x:tablePart xmlns:r="http://schemas.openxmlformats.org/officeDocument/2006/relationships" r:id="Rdc31d00d404b4b36"/>
  </x:tableParts>
</x:worksheet>
</file>