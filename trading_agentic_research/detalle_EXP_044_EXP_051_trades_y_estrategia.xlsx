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fa6660492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1b3775b81b742d3"/>
    <x:sheet xmlns:r="http://schemas.openxmlformats.org/officeDocument/2006/relationships" name="Yearly_performance" sheetId="2" r:id="R0ad253a09cee4bbc"/>
    <x:sheet xmlns:r="http://schemas.openxmlformats.org/officeDocument/2006/relationships" name="Trades_por_año" sheetId="3" r:id="R52b04e4be7f74fc8"/>
    <x:sheet xmlns:r="http://schemas.openxmlformats.org/officeDocument/2006/relationships" name="Exit_reasons" sheetId="4" r:id="R5563a59590394623"/>
    <x:sheet xmlns:r="http://schemas.openxmlformats.org/officeDocument/2006/relationships" name="Top_Bottom_trades" sheetId="5" r:id="R5bde699f98db4506"/>
    <x:sheet xmlns:r="http://schemas.openxmlformats.org/officeDocument/2006/relationships" name="Monthly_vs_SPY" sheetId="6" r:id="Rad9c221c1a1c493e"/>
    <x:sheet xmlns:r="http://schemas.openxmlformats.org/officeDocument/2006/relationships" name="Trades_EXP_044" sheetId="7" r:id="Ra2b1950f7005469a"/>
    <x:sheet xmlns:r="http://schemas.openxmlformats.org/officeDocument/2006/relationships" name="Trades_EXP_051" sheetId="8" r:id="R6ac2e15d5c0e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%"/>
    <x:numFmt numFmtId="202" formatCode="$#,##0.00"/>
    <x:numFmt numFmtId="203" formatCode="yyyy-mm-dd"/>
    <x:numFmt numFmtId="204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202" fontId="2" fillId="3" borderId="1" xfId="0" applyNumberFormat="1" applyFont="1" applyFill="1" applyBorder="1" applyAlignment="1">
      <x:alignment horizontal="center" vertical="center" wrapText="1"/>
    </x:xf>
    <x:xf numFmtId="203" fontId="2" fillId="3" borderId="0" xfId="0" applyNumberFormat="1" applyFont="1" applyFill="1" applyBorder="1" applyAlignment="1">
      <x:alignment horizontal="center" vertical="center" wrapText="1"/>
    </x:xf>
    <x:xf numFmtId="203" fontId="2" fillId="3" borderId="1" xfId="0" applyNumberFormat="1" applyFont="1" applyFill="1" applyBorder="1" applyAlignment="1">
      <x:alignment horizontal="center" vertical="center" wrapText="1"/>
    </x:xf>
    <x:xf numFmtId="204" fontId="2" fillId="3" borderId="0" xfId="0" applyNumberFormat="1" applyFont="1" applyFill="1" applyBorder="1" applyAlignment="1">
      <x:alignment horizontal="center" vertical="center" wrapText="1"/>
    </x:xf>
    <x:xf numFmtId="204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0"/>
    </x:xf>
    <x:xf numFmtId="203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202" fontId="2" fillId="3" borderId="0" xfId="0" applyNumberFormat="1" applyFont="1" applyFill="1" applyBorder="1" applyAlignment="1">
      <x:alignment horizontal="center" vertical="center" wrapText="0"/>
    </x:xf>
    <x:xf numFmtId="204" fontId="2" fillId="3" borderId="0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203" fontId="2" fillId="3" borderId="1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202" fontId="2" fillId="3" borderId="1" xfId="0" applyNumberFormat="1" applyFont="1" applyFill="1" applyBorder="1" applyAlignment="1">
      <x:alignment horizontal="center" vertical="center" wrapText="0"/>
    </x:xf>
    <x:xf numFmtId="204" fontId="2" fillId="3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5b726db1a48a9" /><Relationship Type="http://schemas.openxmlformats.org/officeDocument/2006/relationships/theme" Target="/xl/theme/theme1.xml" Id="R3877ebf80be14e46" /><Relationship Type="http://schemas.microsoft.com/office/2022/11/relationships/FeaturePropertyBag" Target="/xl/featurePropertyBag/featurePropertyBag.xml" Id="R1409c84a88aa4377" /><Relationship Type="http://schemas.openxmlformats.org/officeDocument/2006/relationships/sharedStrings" Target="/xl/sharedStrings.xml" Id="Reac885441ff64768" /><Relationship Type="http://schemas.openxmlformats.org/officeDocument/2006/relationships/worksheet" Target="/xl/worksheets/sheet1.xml" Id="Re1b3775b81b742d3" /><Relationship Type="http://schemas.openxmlformats.org/officeDocument/2006/relationships/worksheet" Target="/xl/worksheets/sheet2.xml" Id="R0ad253a09cee4bbc" /><Relationship Type="http://schemas.openxmlformats.org/officeDocument/2006/relationships/worksheet" Target="/xl/worksheets/sheet3.xml" Id="R52b04e4be7f74fc8" /><Relationship Type="http://schemas.openxmlformats.org/officeDocument/2006/relationships/worksheet" Target="/xl/worksheets/sheet4.xml" Id="R5563a59590394623" /><Relationship Type="http://schemas.openxmlformats.org/officeDocument/2006/relationships/worksheet" Target="/xl/worksheets/sheet5.xml" Id="R5bde699f98db4506" /><Relationship Type="http://schemas.openxmlformats.org/officeDocument/2006/relationships/worksheet" Target="/xl/worksheets/sheet6.xml" Id="Rad9c221c1a1c493e" /><Relationship Type="http://schemas.openxmlformats.org/officeDocument/2006/relationships/worksheet" Target="/xl/worksheets/sheet7.xml" Id="Ra2b1950f7005469a" /><Relationship Type="http://schemas.openxmlformats.org/officeDocument/2006/relationships/worksheet" Target="/xl/worksheets/sheet8.xml" Id="R6ac2e15d5c0e43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7e18924cb948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Retorno anual estrategia vs SPY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strategy_return_%</c:v>
          </c:tx>
          <c:cat>
            <c:strRef>
              <c:f>'Yearly_performance'!$C$2:$C$15</c:f>
              <c:strCache>
                <c:ptCount val="0"/>
              </c:strCache>
            </c:strRef>
          </c:cat>
          <c:val>
            <c:numRef>
              <c:f>'Yearly_performance'!$D$2:$D$15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spy_return_%</c:v>
          </c:tx>
          <c:cat>
            <c:strRef>
              <c:f>'Yearly_performance'!$C$2:$C$15</c:f>
              <c:strCache>
                <c:ptCount val="0"/>
              </c:strCache>
            </c:strRef>
          </c:cat>
          <c:val>
            <c:numRef>
              <c:f>'Yearly_performance'!$E$2:$E$15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excess_return_%</c:v>
          </c:tx>
          <c:cat>
            <c:strRef>
              <c:f>'Yearly_performance'!$C$2:$C$15</c:f>
              <c:strCache>
                <c:ptCount val="0"/>
              </c:strCache>
            </c:strRef>
          </c:cat>
          <c:val>
            <c:numRef>
              <c:f>'Yearly_performance'!$F$2:$F$15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7e18924cb9480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menRuns" displayName="ResumenRuns" ref="A3:O5" headerRowCount="1">
  <x:tableColumns count="15">
    <x:tableColumn id="1" name="run_id"/>
    <x:tableColumn id="2" name="strategy_id"/>
    <x:tableColumn id="3" name="familia"/>
    <x:tableColumn id="4" name="parent"/>
    <x:tableColumn id="5" name="decisión audit"/>
    <x:tableColumn id="6" name="duplicate_of"/>
    <x:tableColumn id="7" name="total_return_%"/>
    <x:tableColumn id="8" name="CAGR_%"/>
    <x:tableColumn id="9" name="max_dd_%"/>
    <x:tableColumn id="10" name="SPY_CAGR_%"/>
    <x:tableColumn id="11" name="trades"/>
    <x:tableColumn id="12" name="rebalances"/>
    <x:tableColumn id="13" name="cost_per_side_%"/>
    <x:tableColumn id="14" name="can_move_parent"/>
    <x:tableColumn id="15" name="can_promote_baseline"/>
  </x:tableColumns>
  <x:tableStyleInfo name="TableStyleMedium2" showRowStripes="1"/>
</x:table>
</file>

<file path=xl/tables/table2.xml><?xml version="1.0" encoding="utf-8"?>
<x:table xmlns:x="http://schemas.openxmlformats.org/spreadsheetml/2006/main" id="2" name="YearlyPerformance" displayName="YearlyPerformance" ref="A1:G15" headerRowCount="1">
  <x:tableColumns count="7">
    <x:tableColumn id="1" name="run_id"/>
    <x:tableColumn id="2" name="strategy_id"/>
    <x:tableColumn id="3" name="year"/>
    <x:tableColumn id="4" name="strategy_return_%"/>
    <x:tableColumn id="5" name="spy_return_%"/>
    <x:tableColumn id="6" name="excess_return_%"/>
    <x:tableColumn id="7" name="winner"/>
  </x:tableColumns>
  <x:tableStyleInfo name="TableStyleMedium2" showRowStripes="1"/>
</x:table>
</file>

<file path=xl/tables/table3.xml><?xml version="1.0" encoding="utf-8"?>
<x:table xmlns:x="http://schemas.openxmlformats.org/spreadsheetml/2006/main" id="3" name="TradesPorAnio" displayName="TradesPorAnio" ref="A1:S15" headerRowCount="1">
  <x:tableColumns count="19">
    <x:tableColumn id="1" name="run_id"/>
    <x:tableColumn id="2" name="exit_year"/>
    <x:tableColumn id="3" name="trades"/>
    <x:tableColumn id="4" name="ganadores"/>
    <x:tableColumn id="5" name="empates"/>
    <x:tableColumn id="6" name="perdedores"/>
    <x:tableColumn id="7" name="win_rate_total"/>
    <x:tableColumn id="8" name="win_rate_sin_empates"/>
    <x:tableColumn id="9" name="avg_net_return_%"/>
    <x:tableColumn id="10" name="median_net_return_%"/>
    <x:tableColumn id="11" name="total_net_pnl_$"/>
    <x:tableColumn id="12" name="best_trade_%"/>
    <x:tableColumn id="13" name="worst_trade_%"/>
    <x:tableColumn id="14" name="avg_holding_days"/>
    <x:tableColumn id="15" name="market_filter_failed"/>
    <x:tableColumn id="16" name="left_top_n"/>
    <x:tableColumn id="17" name="rebalance_trim"/>
    <x:tableColumn id="18" name="take_profit"/>
    <x:tableColumn id="19" name="stop_loss"/>
  </x:tableColumns>
  <x:tableStyleInfo name="TableStyleMedium2" showRowStripes="1"/>
</x:table>
</file>

<file path=xl/tables/table4.xml><?xml version="1.0" encoding="utf-8"?>
<x:table xmlns:x="http://schemas.openxmlformats.org/spreadsheetml/2006/main" id="4" name="ExitReasons" displayName="ExitReasons" ref="A1:J7" headerRowCount="1">
  <x:tableColumns count="10">
    <x:tableColumn id="1" name="run_id"/>
    <x:tableColumn id="2" name="exit_reason"/>
    <x:tableColumn id="3" name="trades"/>
    <x:tableColumn id="4" name="ganadores"/>
    <x:tableColumn id="5" name="empates"/>
    <x:tableColumn id="6" name="perdedores"/>
    <x:tableColumn id="7" name="avg_net_return_%"/>
    <x:tableColumn id="8" name="median_net_return_%"/>
    <x:tableColumn id="9" name="total_net_pnl_$"/>
    <x:tableColumn id="10" name="avg_holding_days"/>
  </x:tableColumns>
  <x:tableStyleInfo name="TableStyleMedium2" showRowStripes="1"/>
</x:table>
</file>

<file path=xl/tables/table5.xml><?xml version="1.0" encoding="utf-8"?>
<x:table xmlns:x="http://schemas.openxmlformats.org/spreadsheetml/2006/main" id="5" name="TopBottomTrades" displayName="TopBottomTrades" ref="A1:N61" headerRowCount="1">
  <x:tableColumns count="14">
    <x:tableColumn id="1" name="run_id"/>
    <x:tableColumn id="2" name="bucket"/>
    <x:tableColumn id="3" name="ticker"/>
    <x:tableColumn id="4" name="signal_date"/>
    <x:tableColumn id="5" name="entry_date"/>
    <x:tableColumn id="6" name="exit_date"/>
    <x:tableColumn id="7" name="holding_days"/>
    <x:tableColumn id="8" name="entry_reason"/>
    <x:tableColumn id="9" name="exit_reason"/>
    <x:tableColumn id="10" name="entry_rank"/>
    <x:tableColumn id="11" name="entry_price"/>
    <x:tableColumn id="12" name="exit_price"/>
    <x:tableColumn id="13" name="net_return_%"/>
    <x:tableColumn id="14" name="net_pnl_$"/>
  </x:tableColumns>
  <x:tableStyleInfo name="TableStyleMedium2" showRowStripes="1"/>
</x:table>
</file>

<file path=xl/tables/table6.xml><?xml version="1.0" encoding="utf-8"?>
<x:table xmlns:x="http://schemas.openxmlformats.org/spreadsheetml/2006/main" id="6" name="MonthlyVsSPY" displayName="MonthlyVsSPY" ref="A1:F151" headerRowCount="1">
  <x:tableColumns count="6">
    <x:tableColumn id="1" name="run_id"/>
    <x:tableColumn id="2" name="month"/>
    <x:tableColumn id="3" name="strategy_return_%"/>
    <x:tableColumn id="4" name="spy_return_%"/>
    <x:tableColumn id="5" name="excess_return_%"/>
    <x:tableColumn id="6" name="winner"/>
  </x:tableColumns>
  <x:tableStyleInfo name="TableStyleMedium2" showRowStripes="1"/>
</x:table>
</file>

<file path=xl/tables/table7.xml><?xml version="1.0" encoding="utf-8"?>
<x:table xmlns:x="http://schemas.openxmlformats.org/spreadsheetml/2006/main" id="7" name="TradesEXP044" displayName="TradesEXP044" ref="A1:X258" headerRowCount="1">
  <x:tableColumns count="24">
    <x:tableColumn id="1" name="ticker"/>
    <x:tableColumn id="2" name="signal_date"/>
    <x:tableColumn id="3" name="entry_date"/>
    <x:tableColumn id="4" name="exit_date"/>
    <x:tableColumn id="5" name="holding_days"/>
    <x:tableColumn id="6" name="entry_reason"/>
    <x:tableColumn id="7" name="exit_reason"/>
    <x:tableColumn id="8" name="entry_rank"/>
    <x:tableColumn id="9" name="entry_ranking_value"/>
    <x:tableColumn id="10" name="shares"/>
    <x:tableColumn id="11" name="entry_price"/>
    <x:tableColumn id="12" name="exit_price"/>
    <x:tableColumn id="13" name="notional_entry"/>
    <x:tableColumn id="14" name="notional_exit"/>
    <x:tableColumn id="15" name="entry_cost"/>
    <x:tableColumn id="16" name="exit_cost"/>
    <x:tableColumn id="17" name="max_price_since_entry"/>
    <x:tableColumn id="18" name="drawdown_from_peak_%"/>
    <x:tableColumn id="19" name="gross_return_%"/>
    <x:tableColumn id="20" name="net_return_%"/>
    <x:tableColumn id="21" name="entry_year"/>
    <x:tableColumn id="22" name="exit_year"/>
    <x:tableColumn id="23" name="net_pnl_$"/>
    <x:tableColumn id="24" name="resultado_regla"/>
  </x:tableColumns>
  <x:tableStyleInfo name="TableStyleMedium2" showRowStripes="1"/>
</x:table>
</file>

<file path=xl/tables/table8.xml><?xml version="1.0" encoding="utf-8"?>
<x:table xmlns:x="http://schemas.openxmlformats.org/spreadsheetml/2006/main" id="8" name="TradesEXP051" displayName="TradesEXP051" ref="A1:X258" headerRowCount="1">
  <x:tableColumns count="24">
    <x:tableColumn id="1" name="ticker"/>
    <x:tableColumn id="2" name="signal_date"/>
    <x:tableColumn id="3" name="entry_date"/>
    <x:tableColumn id="4" name="exit_date"/>
    <x:tableColumn id="5" name="holding_days"/>
    <x:tableColumn id="6" name="entry_reason"/>
    <x:tableColumn id="7" name="exit_reason"/>
    <x:tableColumn id="8" name="entry_rank"/>
    <x:tableColumn id="9" name="entry_ranking_value"/>
    <x:tableColumn id="10" name="shares"/>
    <x:tableColumn id="11" name="entry_price"/>
    <x:tableColumn id="12" name="exit_price"/>
    <x:tableColumn id="13" name="notional_entry"/>
    <x:tableColumn id="14" name="notional_exit"/>
    <x:tableColumn id="15" name="entry_cost"/>
    <x:tableColumn id="16" name="exit_cost"/>
    <x:tableColumn id="17" name="max_price_since_entry"/>
    <x:tableColumn id="18" name="drawdown_from_peak_%"/>
    <x:tableColumn id="19" name="gross_return_%"/>
    <x:tableColumn id="20" name="net_return_%"/>
    <x:tableColumn id="21" name="entry_year"/>
    <x:tableColumn id="22" name="exit_year"/>
    <x:tableColumn id="23" name="net_pnl_$"/>
    <x:tableColumn id="24" name="resultado_regl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d18009ed6945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8ba28bfed6447c" /><Relationship Type="http://schemas.openxmlformats.org/officeDocument/2006/relationships/table" Target="/xl/tables/table2.xml" Id="Rf0afde7ffadf47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ef639a9e6c49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a233d9f0e5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bcdd7da1be41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6e99fe321147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b84447474947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5dd5953995e4c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39.29999923706055" hidden="0" customWidth="1"/>
    <x:col min="4" max="4" width="8.479999542236328" hidden="0" customWidth="1"/>
    <x:col min="5" max="5" width="16.81999969482422" hidden="0" customWidth="1"/>
    <x:col min="6" max="6" width="12.920000076293945" hidden="0" customWidth="1"/>
    <x:col min="7" max="7" width="15.069999694824219" hidden="0" customWidth="1"/>
    <x:col min="8" max="8" width="10.359999656677246" hidden="0" customWidth="1"/>
    <x:col min="9" max="9" width="11.569999694824219" hidden="0" customWidth="1"/>
    <x:col min="10" max="10" width="13.59000015258789" hidden="0" customWidth="1"/>
    <x:col min="11" max="11" width="7.809999942779541" hidden="0" customWidth="1"/>
    <x:col min="12" max="12" width="11.4399995803833" hidden="0" customWidth="1"/>
    <x:col min="13" max="13" width="16.420000076293945" hidden="0" customWidth="1"/>
    <x:col min="14" max="14" width="17.360000610351562" hidden="0" customWidth="1"/>
    <x:col min="15" max="15" width="21.399999618530273" hidden="0" customWidth="1"/>
  </x:cols>
  <x:sheetData>
    <x:row r="1" ht="28" customHeight="1">
      <x:c r="A1" s="5" t="str">
        <x:v>Detalle EXP_044 y EXP_051: trades, estadísticas por año y estrategia</x:v>
      </x:c>
    </x:row>
    <x:row r="3">
      <x:c r="A3" s="16" t="str">
        <x:v>run_id</x:v>
      </x:c>
      <x:c r="B3" s="16" t="str">
        <x:v>strategy_id</x:v>
      </x:c>
      <x:c r="C3" s="16" t="str">
        <x:v>familia</x:v>
      </x:c>
      <x:c r="D3" s="16" t="str">
        <x:v>parent</x:v>
      </x:c>
      <x:c r="E3" s="16" t="str">
        <x:v>decisión audit</x:v>
      </x:c>
      <x:c r="F3" s="16" t="str">
        <x:v>duplicate_of</x:v>
      </x:c>
      <x:c r="G3" s="16" t="str">
        <x:v>total_return_%</x:v>
      </x:c>
      <x:c r="H3" s="16" t="str">
        <x:v>CAGR_%</x:v>
      </x:c>
      <x:c r="I3" s="16" t="str">
        <x:v>max_dd_%</x:v>
      </x:c>
      <x:c r="J3" s="16" t="str">
        <x:v>SPY_CAGR_%</x:v>
      </x:c>
      <x:c r="K3" s="16" t="str">
        <x:v>trades</x:v>
      </x:c>
      <x:c r="L3" s="16" t="str">
        <x:v>rebalances</x:v>
      </x:c>
      <x:c r="M3" s="16" t="str">
        <x:v>cost_per_side_%</x:v>
      </x:c>
      <x:c r="N3" s="16" t="str">
        <x:v>can_move_parent</x:v>
      </x:c>
      <x:c r="O3" s="16" t="str">
        <x:v>can_promote_baseline</x:v>
      </x:c>
    </x:row>
    <x:row r="4">
      <x:c r="A4" s="22" t="str">
        <x:v>EXP_044</x:v>
      </x:c>
      <x:c r="B4" s="22" t="str">
        <x:v>HYP_REFINE_AUTO002_TOPN_6_V1</x:v>
      </x:c>
      <x:c r="C4" s="22" t="str">
        <x:v>trend_following</x:v>
      </x:c>
      <x:c r="D4" s="22" t="str">
        <x:v>AUTO_002</x:v>
      </x:c>
      <x:c r="E4" s="22" t="str">
        <x:v>promoted_candidate</x:v>
      </x:c>
      <x:c r="F4" s="22"/>
      <x:c r="G4" s="40" t="n">
        <x:v>1756.429124897747</x:v>
      </x:c>
      <x:c r="H4" s="40" t="n">
        <x:v>59.708531263634136</x:v>
      </x:c>
      <x:c r="I4" s="40" t="n">
        <x:v>-27.129229626458784</x:v>
      </x:c>
      <x:c r="J4" s="40" t="n">
        <x:v>11.25390024859323</x:v>
      </x:c>
      <x:c r="K4" s="40" t="n">
        <x:v>257</x:v>
      </x:c>
      <x:c r="L4" s="40" t="n">
        <x:v>75</x:v>
      </x:c>
      <x:c r="M4" s="40" t="n">
        <x:v>0.24</x:v>
      </x:c>
      <x:c r="N4" s="38" t="b">
        <x:v>1</x:v>
      </x:c>
      <x:c r="O4" s="38" t="b">
        <x:v>0</x:v>
      </x:c>
    </x:row>
    <x:row r="5">
      <x:c r="A5" s="22" t="str">
        <x:v>EXP_051</x:v>
      </x:c>
      <x:c r="B5" s="22" t="str">
        <x:v>HYP_REVIEW_EXP_044_EXIT_16_V1</x:v>
      </x:c>
      <x:c r="C5" s="22" t="str">
        <x:v>candidate_under_review_drawdown_refinement</x:v>
      </x:c>
      <x:c r="D5" s="22" t="str">
        <x:v>AUTO_002</x:v>
      </x:c>
      <x:c r="E5" s="22" t="str">
        <x:v>rejected</x:v>
      </x:c>
      <x:c r="F5" s="22" t="str">
        <x:v>EXP_044</x:v>
      </x:c>
      <x:c r="G5" s="40" t="n">
        <x:v>1756.429124897747</x:v>
      </x:c>
      <x:c r="H5" s="40" t="n">
        <x:v>59.708531263634136</x:v>
      </x:c>
      <x:c r="I5" s="40" t="n">
        <x:v>-27.129229626458784</x:v>
      </x:c>
      <x:c r="J5" s="40" t="n">
        <x:v>11.25390024859323</x:v>
      </x:c>
      <x:c r="K5" s="40" t="n">
        <x:v>257</x:v>
      </x:c>
      <x:c r="L5" s="40" t="n">
        <x:v>75</x:v>
      </x:c>
      <x:c r="M5" s="40" t="n">
        <x:v>0.24</x:v>
      </x:c>
      <x:c r="N5" s="38" t="b">
        <x:v>0</x:v>
      </x:c>
      <x:c r="O5" s="38" t="b">
        <x:v>0</x:v>
      </x:c>
    </x:row>
    <x:row r="8">
      <x:c r="A8" s="30" t="str">
        <x:v>Sección</x:v>
      </x:c>
      <x:c r="B8" s="16" t="str">
        <x:v>Detalle</x:v>
      </x:c>
    </x:row>
    <x:row r="9">
      <x:c r="A9" s="30" t="str">
        <x:v>Qué trata la estrategia</x:v>
      </x:c>
      <x:c r="B9" s="23" t="str">
        <x:v>Ambas corridas son estrategias de trend following / time-series momentum sobre universo accionario, comparadas contra SPY. El sistema rankea activos, entra/retiene los mejores rankeados y rebalancea periódicamente.</x:v>
      </x:c>
    </x:row>
    <x:row r="10">
      <x:c r="A10" s="30" t="str">
        <x:v>Entrada</x:v>
      </x:c>
      <x:c r="B10" s="23" t="str">
        <x:v>Compra/retiene activos con entry_reason = enter_or_hold cuando pasan el ranking y los filtros vigentes. En EXP_044 el nombre TOPN_6 y el manifest indican refinamiento del top N/ranking.</x:v>
      </x:c>
    </x:row>
    <x:row r="11">
      <x:c r="A11" s="30" t="str">
        <x:v>Salida</x:v>
      </x:c>
      <x:c r="B11" s="23" t="str">
        <x:v>Las salidas detectadas en los trades son principalmente: market_filter_failed, left_top_n y rebalance_trim. Es decir: falla filtro de mercado, el activo sale del grupo top rankeado o se recorta por rebalanceo.</x:v>
      </x:c>
    </x:row>
    <x:row r="12">
      <x:c r="A12" s="30" t="str">
        <x:v>Costos</x:v>
      </x:c>
      <x:c r="B12" s="23" t="str">
        <x:v>Los backtests aplican costos: 0,24% por lado, según metrics.json.</x:v>
      </x:c>
    </x:row>
    <x:row r="13">
      <x:c r="A13" s="30" t="str">
        <x:v>EXP_044</x:v>
      </x:c>
      <x:c r="B13" s="23" t="str">
        <x:v>Candidato promovido para revisión manual: mejora CAGR versus AUTO_002, aunque con mayor drawdown que el parent. No promueve baseline automáticamente.</x:v>
      </x:c>
    </x:row>
    <x:row r="14">
      <x:c r="A14" s="30" t="str">
        <x:v>EXP_051</x:v>
      </x:c>
      <x:c r="B14" s="23" t="str">
        <x:v>Es una revisión de EXP_044, pero audit.json la marca como duplicate_result / duplicate_artifact / metric_no_effect y duplicate_of_run_id = EXP_044. Resultado, trades y equity son idénticos.</x:v>
      </x:c>
    </x:row>
    <x:row r="15">
      <x:c r="A15" s="23" t="str">
        <x:v>Regla W/L/T usada</x:v>
      </x:c>
      <x:c r="B15" s="23" t="str">
        <x:v>Se agrega resultado por trade con la regla del proyecto: net_return_pct &gt; 1% = Ganador; entre 0% y 1% = Empate; &lt; 0% = Perdedor.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ad18009ed6945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28.940000534057617" hidden="0" customWidth="1"/>
    <x:col min="3" max="3" width="6.190000057220459" hidden="0" customWidth="1"/>
    <x:col min="4" max="4" width="17.770000457763672" hidden="0" customWidth="1"/>
    <x:col min="5" max="5" width="14" hidden="0" customWidth="1"/>
    <x:col min="6" max="6" width="16.420000076293945" hidden="0" customWidth="1"/>
    <x:col min="7" max="7" width="8.34000015258789" hidden="0" customWidth="1"/>
  </x:cols>
  <x:sheetData>
    <x:row r="1">
      <x:c r="A1" s="16" t="str">
        <x:v>run_id</x:v>
      </x:c>
      <x:c r="B1" s="16" t="str">
        <x:v>strategy_id</x:v>
      </x:c>
      <x:c r="C1" s="16" t="str">
        <x:v>year</x:v>
      </x:c>
      <x:c r="D1" s="42" t="str">
        <x:v>strategy_return_%</x:v>
      </x:c>
      <x:c r="E1" s="42" t="str">
        <x:v>spy_return_%</x:v>
      </x:c>
      <x:c r="F1" s="42" t="str">
        <x:v>excess_return_%</x:v>
      </x:c>
      <x:c r="G1" s="42" t="str">
        <x:v>winner</x:v>
      </x:c>
    </x:row>
    <x:row r="2">
      <x:c r="A2" t="str">
        <x:v>EXP_044</x:v>
      </x:c>
      <x:c r="B2" t="str">
        <x:v>HYP_REFINE_AUTO002_TOPN_6_V1</x:v>
      </x:c>
      <x:c r="C2" t="n">
        <x:v>2020</x:v>
      </x:c>
      <x:c r="D2" t="n">
        <x:v>58.15136977965989</x:v>
      </x:c>
      <x:c r="E2" t="n">
        <x:v>15.0860376465195</x:v>
      </x:c>
      <x:c r="F2" t="n">
        <x:v>43.06533213314039</x:v>
      </x:c>
      <x:c r="G2" t="str">
        <x:v>strategy</x:v>
      </x:c>
    </x:row>
    <x:row r="3">
      <x:c r="A3" t="str">
        <x:v>EXP_044</x:v>
      </x:c>
      <x:c r="B3" t="str">
        <x:v>HYP_REFINE_AUTO002_TOPN_6_V1</x:v>
      </x:c>
      <x:c r="C3" t="n">
        <x:v>2021</x:v>
      </x:c>
      <x:c r="D3" t="n">
        <x:v>36.361551435865195</x:v>
      </x:c>
      <x:c r="E3" t="n">
        <x:v>28.788736259166804</x:v>
      </x:c>
      <x:c r="F3" t="n">
        <x:v>7.572815176698391</x:v>
      </x:c>
      <x:c r="G3" t="str">
        <x:v>strategy</x:v>
      </x:c>
    </x:row>
    <x:row r="4">
      <x:c r="A4" t="str">
        <x:v>EXP_044</x:v>
      </x:c>
      <x:c r="B4" t="str">
        <x:v>HYP_REFINE_AUTO002_TOPN_6_V1</x:v>
      </x:c>
      <x:c r="C4" t="n">
        <x:v>2022</x:v>
      </x:c>
      <x:c r="D4" t="n">
        <x:v>-10.819238233814543</x:v>
      </x:c>
      <x:c r="E4" t="n">
        <x:v>-19.945155111593806</x:v>
      </x:c>
      <x:c r="F4" t="n">
        <x:v>9.125916877779263</x:v>
      </x:c>
      <x:c r="G4" t="str">
        <x:v>strategy</x:v>
      </x:c>
    </x:row>
    <x:row r="5">
      <x:c r="A5" t="str">
        <x:v>EXP_044</x:v>
      </x:c>
      <x:c r="B5" t="str">
        <x:v>HYP_REFINE_AUTO002_TOPN_6_V1</x:v>
      </x:c>
      <x:c r="C5" t="n">
        <x:v>2023</x:v>
      </x:c>
      <x:c r="D5" t="n">
        <x:v>53.50102673628623</x:v>
      </x:c>
      <x:c r="E5" t="n">
        <x:v>24.812244214345846</x:v>
      </x:c>
      <x:c r="F5" t="n">
        <x:v>28.688782521940382</x:v>
      </x:c>
      <x:c r="G5" t="str">
        <x:v>strategy</x:v>
      </x:c>
    </x:row>
    <x:row r="6">
      <x:c r="A6" t="str">
        <x:v>EXP_044</x:v>
      </x:c>
      <x:c r="B6" t="str">
        <x:v>HYP_REFINE_AUTO002_TOPN_6_V1</x:v>
      </x:c>
      <x:c r="C6" t="n">
        <x:v>2024</x:v>
      </x:c>
      <x:c r="D6" t="n">
        <x:v>145.73254767494984</x:v>
      </x:c>
      <x:c r="E6" t="n">
        <x:v>23.998735778721226</x:v>
      </x:c>
      <x:c r="F6" t="n">
        <x:v>121.73381189622862</x:v>
      </x:c>
      <x:c r="G6" t="str">
        <x:v>strategy</x:v>
      </x:c>
    </x:row>
    <x:row r="7">
      <x:c r="A7" t="str">
        <x:v>EXP_044</x:v>
      </x:c>
      <x:c r="B7" t="str">
        <x:v>HYP_REFINE_AUTO002_TOPN_6_V1</x:v>
      </x:c>
      <x:c r="C7" t="n">
        <x:v>2025</x:v>
      </x:c>
      <x:c r="D7" t="n">
        <x:v>87.27624277996267</x:v>
      </x:c>
      <x:c r="E7" t="n">
        <x:v>16.639293552326627</x:v>
      </x:c>
      <x:c r="F7" t="n">
        <x:v>70.63694922763605</x:v>
      </x:c>
      <x:c r="G7" t="str">
        <x:v>strategy</x:v>
      </x:c>
    </x:row>
    <x:row r="8">
      <x:c r="A8" t="str">
        <x:v>EXP_044</x:v>
      </x:c>
      <x:c r="B8" t="str">
        <x:v>HYP_REFINE_AUTO002_TOPN_6_V1</x:v>
      </x:c>
      <x:c r="C8" t="n">
        <x:v>2026</x:v>
      </x:c>
      <x:c r="D8" t="n">
        <x:v>37.163202893090805</x:v>
      </x:c>
      <x:c r="E8" t="n">
        <x:v>-7.4944762632764395</x:v>
      </x:c>
      <x:c r="F8" t="n">
        <x:v>44.657679156367244</x:v>
      </x:c>
      <x:c r="G8" t="str">
        <x:v>strategy</x:v>
      </x:c>
    </x:row>
    <x:row r="9">
      <x:c r="A9" t="str">
        <x:v>EXP_051</x:v>
      </x:c>
      <x:c r="B9" t="str">
        <x:v>HYP_REVIEW_EXP_044_EXIT_16_V1</x:v>
      </x:c>
      <x:c r="C9" t="n">
        <x:v>2020</x:v>
      </x:c>
      <x:c r="D9" t="n">
        <x:v>58.15136977965989</x:v>
      </x:c>
      <x:c r="E9" t="n">
        <x:v>15.0860376465195</x:v>
      </x:c>
      <x:c r="F9" t="n">
        <x:v>43.06533213314039</x:v>
      </x:c>
      <x:c r="G9" t="str">
        <x:v>strategy</x:v>
      </x:c>
    </x:row>
    <x:row r="10">
      <x:c r="A10" t="str">
        <x:v>EXP_051</x:v>
      </x:c>
      <x:c r="B10" t="str">
        <x:v>HYP_REVIEW_EXP_044_EXIT_16_V1</x:v>
      </x:c>
      <x:c r="C10" t="n">
        <x:v>2021</x:v>
      </x:c>
      <x:c r="D10" t="n">
        <x:v>36.361551435865195</x:v>
      </x:c>
      <x:c r="E10" t="n">
        <x:v>28.788736259166804</x:v>
      </x:c>
      <x:c r="F10" t="n">
        <x:v>7.572815176698391</x:v>
      </x:c>
      <x:c r="G10" t="str">
        <x:v>strategy</x:v>
      </x:c>
    </x:row>
    <x:row r="11">
      <x:c r="A11" t="str">
        <x:v>EXP_051</x:v>
      </x:c>
      <x:c r="B11" t="str">
        <x:v>HYP_REVIEW_EXP_044_EXIT_16_V1</x:v>
      </x:c>
      <x:c r="C11" t="n">
        <x:v>2022</x:v>
      </x:c>
      <x:c r="D11" t="n">
        <x:v>-10.819238233814543</x:v>
      </x:c>
      <x:c r="E11" t="n">
        <x:v>-19.945155111593806</x:v>
      </x:c>
      <x:c r="F11" t="n">
        <x:v>9.125916877779263</x:v>
      </x:c>
      <x:c r="G11" t="str">
        <x:v>strategy</x:v>
      </x:c>
    </x:row>
    <x:row r="12">
      <x:c r="A12" t="str">
        <x:v>EXP_051</x:v>
      </x:c>
      <x:c r="B12" t="str">
        <x:v>HYP_REVIEW_EXP_044_EXIT_16_V1</x:v>
      </x:c>
      <x:c r="C12" t="n">
        <x:v>2023</x:v>
      </x:c>
      <x:c r="D12" t="n">
        <x:v>53.50102673628623</x:v>
      </x:c>
      <x:c r="E12" t="n">
        <x:v>24.812244214345846</x:v>
      </x:c>
      <x:c r="F12" t="n">
        <x:v>28.688782521940382</x:v>
      </x:c>
      <x:c r="G12" t="str">
        <x:v>strategy</x:v>
      </x:c>
    </x:row>
    <x:row r="13">
      <x:c r="A13" t="str">
        <x:v>EXP_051</x:v>
      </x:c>
      <x:c r="B13" t="str">
        <x:v>HYP_REVIEW_EXP_044_EXIT_16_V1</x:v>
      </x:c>
      <x:c r="C13" t="n">
        <x:v>2024</x:v>
      </x:c>
      <x:c r="D13" t="n">
        <x:v>145.73254767494984</x:v>
      </x:c>
      <x:c r="E13" t="n">
        <x:v>23.998735778721226</x:v>
      </x:c>
      <x:c r="F13" t="n">
        <x:v>121.73381189622862</x:v>
      </x:c>
      <x:c r="G13" t="str">
        <x:v>strategy</x:v>
      </x:c>
    </x:row>
    <x:row r="14">
      <x:c r="A14" t="str">
        <x:v>EXP_051</x:v>
      </x:c>
      <x:c r="B14" t="str">
        <x:v>HYP_REVIEW_EXP_044_EXIT_16_V1</x:v>
      </x:c>
      <x:c r="C14" t="n">
        <x:v>2025</x:v>
      </x:c>
      <x:c r="D14" t="n">
        <x:v>87.27624277996267</x:v>
      </x:c>
      <x:c r="E14" t="n">
        <x:v>16.639293552326627</x:v>
      </x:c>
      <x:c r="F14" t="n">
        <x:v>70.63694922763605</x:v>
      </x:c>
      <x:c r="G14" t="str">
        <x:v>strategy</x:v>
      </x:c>
    </x:row>
    <x:row r="15">
      <x:c r="A15" t="str">
        <x:v>EXP_051</x:v>
      </x:c>
      <x:c r="B15" t="str">
        <x:v>HYP_REVIEW_EXP_044_EXIT_16_V1</x:v>
      </x:c>
      <x:c r="C15" t="n">
        <x:v>2026</x:v>
      </x:c>
      <x:c r="D15" t="n">
        <x:v>37.163202893090805</x:v>
      </x:c>
      <x:c r="E15" t="n">
        <x:v>-7.4944762632764395</x:v>
      </x:c>
      <x:c r="F15" t="n">
        <x:v>44.657679156367244</x:v>
      </x:c>
      <x:c r="G15" t="str">
        <x:v>strategy</x:v>
      </x:c>
    </x:row>
  </x:sheetData>
  <x:pageMargins left="0.7" right="0.7" top="0.75" bottom="0.75" header="0.3" footer="0.3"/>
  <x:drawing xmlns:r="http://schemas.openxmlformats.org/officeDocument/2006/relationships" r:id="R488ba28bfed6447c"/>
  <x:tableParts count="1">
    <x:tablePart xmlns:r="http://schemas.openxmlformats.org/officeDocument/2006/relationships" r:id="Rf0afde7ffadf47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0.229999542236328" hidden="0" customWidth="1"/>
    <x:col min="3" max="3" width="7.809999942779541" hidden="0" customWidth="1"/>
    <x:col min="4" max="4" width="11.170000076293945" hidden="0" customWidth="1"/>
    <x:col min="5" max="5" width="9.6899995803833" hidden="0" customWidth="1"/>
    <x:col min="6" max="6" width="11.979999542236328" hidden="0" customWidth="1"/>
    <x:col min="7" max="7" width="14.670000076293945" hidden="0" customWidth="1"/>
    <x:col min="8" max="8" width="21.270000457763672" hidden="0" customWidth="1"/>
    <x:col min="9" max="9" width="17.6299991607666" hidden="0" customWidth="1"/>
    <x:col min="10" max="10" width="21" hidden="0" customWidth="1"/>
    <x:col min="11" max="11" width="15.75" hidden="0" customWidth="1"/>
    <x:col min="12" max="12" width="13.859999656677246" hidden="0" customWidth="1"/>
    <x:col min="13" max="13" width="15.069999694824219" hidden="0" customWidth="1"/>
    <x:col min="14" max="14" width="17.229999542236328" hidden="0" customWidth="1"/>
    <x:col min="15" max="15" width="18.979999542236328" hidden="0" customWidth="1"/>
    <x:col min="16" max="16" width="11.170000076293945" hidden="0" customWidth="1"/>
    <x:col min="17" max="17" width="15.069999694824219" hidden="0" customWidth="1"/>
    <x:col min="18" max="18" width="11.710000038146973" hidden="0" customWidth="1"/>
    <x:col min="19" max="19" width="10.229999542236328" hidden="0" customWidth="1"/>
  </x:cols>
  <x:sheetData>
    <x:row r="1">
      <x:c r="A1" s="16" t="str">
        <x:v>run_id</x:v>
      </x:c>
      <x:c r="B1" s="16" t="str">
        <x:v>exit_year</x:v>
      </x:c>
      <x:c r="C1" s="16" t="str">
        <x:v>trades</x:v>
      </x:c>
      <x:c r="D1" s="16" t="str">
        <x:v>ganadores</x:v>
      </x:c>
      <x:c r="E1" s="16" t="str">
        <x:v>empates</x:v>
      </x:c>
      <x:c r="F1" s="16" t="str">
        <x:v>perdedores</x:v>
      </x:c>
      <x:c r="G1" s="44" t="str">
        <x:v>win_rate_total</x:v>
      </x:c>
      <x:c r="H1" s="44" t="str">
        <x:v>win_rate_sin_empates</x:v>
      </x:c>
      <x:c r="I1" s="42" t="str">
        <x:v>avg_net_return_%</x:v>
      </x:c>
      <x:c r="J1" s="42" t="str">
        <x:v>median_net_return_%</x:v>
      </x:c>
      <x:c r="K1" s="46" t="str">
        <x:v>total_net_pnl_$</x:v>
      </x:c>
      <x:c r="L1" s="42" t="str">
        <x:v>best_trade_%</x:v>
      </x:c>
      <x:c r="M1" s="42" t="str">
        <x:v>worst_trade_%</x:v>
      </x:c>
      <x:c r="N1" s="42" t="str">
        <x:v>avg_holding_days</x:v>
      </x:c>
      <x:c r="O1" s="16" t="str">
        <x:v>market_filter_failed</x:v>
      </x:c>
      <x:c r="P1" s="16" t="str">
        <x:v>left_top_n</x:v>
      </x:c>
      <x:c r="Q1" s="16" t="str">
        <x:v>rebalance_trim</x:v>
      </x:c>
      <x:c r="R1" s="16" t="str">
        <x:v>take_profit</x:v>
      </x:c>
      <x:c r="S1" s="16" t="str">
        <x:v>stop_loss</x:v>
      </x:c>
    </x:row>
    <x:row r="2">
      <x:c r="A2" t="str">
        <x:v>EXP_044</x:v>
      </x:c>
      <x:c r="B2" t="n">
        <x:v>2020</x:v>
      </x:c>
      <x:c r="C2" t="n">
        <x:v>35</x:v>
      </x:c>
      <x:c r="D2" t="n">
        <x:v>25</x:v>
      </x:c>
      <x:c r="E2" t="n">
        <x:v>1</x:v>
      </x:c>
      <x:c r="F2" t="n">
        <x:v>9</x:v>
      </x:c>
      <x:c r="G2" t="n">
        <x:v>0.7142857142857143</x:v>
      </x:c>
      <x:c r="H2" t="n">
        <x:v>0.7352941176470589</x:v>
      </x:c>
      <x:c r="I2" t="n">
        <x:v>24.920927884814855</x:v>
      </x:c>
      <x:c r="J2" t="n">
        <x:v>16.449175103559334</x:v>
      </x:c>
      <x:c r="K2" t="n">
        <x:v>6247.629058559396</x:v>
      </x:c>
      <x:c r="L2" t="n">
        <x:v>211.45741632739146</x:v>
      </x:c>
      <x:c r="M2" t="n">
        <x:v>-8.272747700673165</x:v>
      </x:c>
      <x:c r="N2" t="n">
        <x:v>52.8</x:v>
      </x:c>
      <x:c r="O2" t="n">
        <x:v>12</x:v>
      </x:c>
      <x:c r="P2" t="n">
        <x:v>8</x:v>
      </x:c>
      <x:c r="Q2" t="n">
        <x:v>15</x:v>
      </x:c>
      <x:c r="R2" t="n">
        <x:v>0</x:v>
      </x:c>
      <x:c r="S2" t="n">
        <x:v>0</x:v>
      </x:c>
    </x:row>
    <x:row r="3">
      <x:c r="A3" t="str">
        <x:v>EXP_044</x:v>
      </x:c>
      <x:c r="B3" t="n">
        <x:v>2021</x:v>
      </x:c>
      <x:c r="C3" t="n">
        <x:v>51</x:v>
      </x:c>
      <x:c r="D3" t="n">
        <x:v>37</x:v>
      </x:c>
      <x:c r="E3" t="n">
        <x:v>0</x:v>
      </x:c>
      <x:c r="F3" t="n">
        <x:v>14</x:v>
      </x:c>
      <x:c r="G3" t="n">
        <x:v>0.7254901960784313</x:v>
      </x:c>
      <x:c r="H3" t="n">
        <x:v>0.7254901960784313</x:v>
      </x:c>
      <x:c r="I3" t="n">
        <x:v>12.444385051475535</x:v>
      </x:c>
      <x:c r="J3" t="n">
        <x:v>10.41247734158345</x:v>
      </x:c>
      <x:c r="K3" t="n">
        <x:v>3481.98381690537</x:v>
      </x:c>
      <x:c r="L3" t="n">
        <x:v>109.34749014125113</x:v>
      </x:c>
      <x:c r="M3" t="n">
        <x:v>-33.43099037227877</x:v>
      </x:c>
      <x:c r="N3" t="n">
        <x:v>58.23529411764706</x:v>
      </x:c>
      <x:c r="O3" t="n">
        <x:v>6</x:v>
      </x:c>
      <x:c r="P3" t="n">
        <x:v>26</x:v>
      </x:c>
      <x:c r="Q3" t="n">
        <x:v>19</x:v>
      </x:c>
      <x:c r="R3" t="n">
        <x:v>0</x:v>
      </x:c>
      <x:c r="S3" t="n">
        <x:v>0</x:v>
      </x:c>
    </x:row>
    <x:row r="4">
      <x:c r="A4" t="str">
        <x:v>EXP_044</x:v>
      </x:c>
      <x:c r="B4" t="n">
        <x:v>2022</x:v>
      </x:c>
      <x:c r="C4" t="n">
        <x:v>34</x:v>
      </x:c>
      <x:c r="D4" t="n">
        <x:v>19</x:v>
      </x:c>
      <x:c r="E4" t="n">
        <x:v>0</x:v>
      </x:c>
      <x:c r="F4" t="n">
        <x:v>15</x:v>
      </x:c>
      <x:c r="G4" t="n">
        <x:v>0.5588235294117647</x:v>
      </x:c>
      <x:c r="H4" t="n">
        <x:v>0.5588235294117647</x:v>
      </x:c>
      <x:c r="I4" t="n">
        <x:v>5.79458963501874</x:v>
      </x:c>
      <x:c r="J4" t="n">
        <x:v>2.5868167093677035</x:v>
      </x:c>
      <x:c r="K4" t="n">
        <x:v>108.16380472351648</x:v>
      </x:c>
      <x:c r="L4" t="n">
        <x:v>66.34993871412796</x:v>
      </x:c>
      <x:c r="M4" t="n">
        <x:v>-16.398481488415868</x:v>
      </x:c>
      <x:c r="N4" t="n">
        <x:v>45.911764705882355</x:v>
      </x:c>
      <x:c r="O4" t="n">
        <x:v>18</x:v>
      </x:c>
      <x:c r="P4" t="n">
        <x:v>7</x:v>
      </x:c>
      <x:c r="Q4" t="n">
        <x:v>9</x:v>
      </x:c>
      <x:c r="R4" t="n">
        <x:v>0</x:v>
      </x:c>
      <x:c r="S4" t="n">
        <x:v>0</x:v>
      </x:c>
    </x:row>
    <x:row r="5">
      <x:c r="A5" t="str">
        <x:v>EXP_044</x:v>
      </x:c>
      <x:c r="B5" t="n">
        <x:v>2023</x:v>
      </x:c>
      <x:c r="C5" t="n">
        <x:v>37</x:v>
      </x:c>
      <x:c r="D5" t="n">
        <x:v>21</x:v>
      </x:c>
      <x:c r="E5" t="n">
        <x:v>1</x:v>
      </x:c>
      <x:c r="F5" t="n">
        <x:v>15</x:v>
      </x:c>
      <x:c r="G5" t="n">
        <x:v>0.5675675675675675</x:v>
      </x:c>
      <x:c r="H5" t="n">
        <x:v>0.5833333333333334</x:v>
      </x:c>
      <x:c r="I5" t="n">
        <x:v>20.055440269805466</x:v>
      </x:c>
      <x:c r="J5" t="n">
        <x:v>2.8992229203216007</x:v>
      </x:c>
      <x:c r="K5" t="n">
        <x:v>5205.860571019579</x:v>
      </x:c>
      <x:c r="L5" t="n">
        <x:v>193.54997589447623</x:v>
      </x:c>
      <x:c r="M5" t="n">
        <x:v>-17.555346772771006</x:v>
      </x:c>
      <x:c r="N5" t="n">
        <x:v>51.810810810810814</x:v>
      </x:c>
      <x:c r="O5" t="n">
        <x:v>18</x:v>
      </x:c>
      <x:c r="P5" t="n">
        <x:v>10</x:v>
      </x:c>
      <x:c r="Q5" t="n">
        <x:v>9</x:v>
      </x:c>
      <x:c r="R5" t="n">
        <x:v>0</x:v>
      </x:c>
      <x:c r="S5" t="n">
        <x:v>0</x:v>
      </x:c>
    </x:row>
    <x:row r="6">
      <x:c r="A6" t="str">
        <x:v>EXP_044</x:v>
      </x:c>
      <x:c r="B6" t="n">
        <x:v>2024</x:v>
      </x:c>
      <x:c r="C6" t="n">
        <x:v>55</x:v>
      </x:c>
      <x:c r="D6" t="n">
        <x:v>40</x:v>
      </x:c>
      <x:c r="E6" t="n">
        <x:v>0</x:v>
      </x:c>
      <x:c r="F6" t="n">
        <x:v>15</x:v>
      </x:c>
      <x:c r="G6" t="n">
        <x:v>0.7272727272727273</x:v>
      </x:c>
      <x:c r="H6" t="n">
        <x:v>0.7272727272727273</x:v>
      </x:c>
      <x:c r="I6" t="n">
        <x:v>40.75772379664586</x:v>
      </x:c>
      <x:c r="J6" t="n">
        <x:v>25.176830663443553</x:v>
      </x:c>
      <x:c r="K6" t="n">
        <x:v>30118.31743390425</x:v>
      </x:c>
      <x:c r="L6" t="n">
        <x:v>285.9831872828992</x:v>
      </x:c>
      <x:c r="M6" t="n">
        <x:v>-28.263942319952317</x:v>
      </x:c>
      <x:c r="N6" t="n">
        <x:v>65.63636363636364</x:v>
      </x:c>
      <x:c r="O6" t="n">
        <x:v>6</x:v>
      </x:c>
      <x:c r="P6" t="n">
        <x:v>23</x:v>
      </x:c>
      <x:c r="Q6" t="n">
        <x:v>26</x:v>
      </x:c>
      <x:c r="R6" t="n">
        <x:v>0</x:v>
      </x:c>
      <x:c r="S6" t="n">
        <x:v>0</x:v>
      </x:c>
    </x:row>
    <x:row r="7">
      <x:c r="A7" t="str">
        <x:v>EXP_044</x:v>
      </x:c>
      <x:c r="B7" t="n">
        <x:v>2025</x:v>
      </x:c>
      <x:c r="C7" t="n">
        <x:v>36</x:v>
      </x:c>
      <x:c r="D7" t="n">
        <x:v>26</x:v>
      </x:c>
      <x:c r="E7" t="n">
        <x:v>2</x:v>
      </x:c>
      <x:c r="F7" t="n">
        <x:v>8</x:v>
      </x:c>
      <x:c r="G7" t="n">
        <x:v>0.7222222222222222</x:v>
      </x:c>
      <x:c r="H7" t="n">
        <x:v>0.7647058823529411</x:v>
      </x:c>
      <x:c r="I7" t="n">
        <x:v>37.15662238581787</x:v>
      </x:c>
      <x:c r="J7" t="n">
        <x:v>24.46738621151874</x:v>
      </x:c>
      <x:c r="K7" t="n">
        <x:v>42015.19544357099</x:v>
      </x:c>
      <x:c r="L7" t="n">
        <x:v>271.7679355413374</x:v>
      </x:c>
      <x:c r="M7" t="n">
        <x:v>-31.358306385503873</x:v>
      </x:c>
      <x:c r="N7" t="n">
        <x:v>71.05555555555556</x:v>
      </x:c>
      <x:c r="O7" t="n">
        <x:v>6</x:v>
      </x:c>
      <x:c r="P7" t="n">
        <x:v>14</x:v>
      </x:c>
      <x:c r="Q7" t="n">
        <x:v>16</x:v>
      </x:c>
      <x:c r="R7" t="n">
        <x:v>0</x:v>
      </x:c>
      <x:c r="S7" t="n">
        <x:v>0</x:v>
      </x:c>
    </x:row>
    <x:row r="8">
      <x:c r="A8" t="str">
        <x:v>EXP_044</x:v>
      </x:c>
      <x:c r="B8" t="n">
        <x:v>2026</x:v>
      </x:c>
      <x:c r="C8" t="n">
        <x:v>9</x:v>
      </x:c>
      <x:c r="D8" t="n">
        <x:v>8</x:v>
      </x:c>
      <x:c r="E8" t="n">
        <x:v>0</x:v>
      </x:c>
      <x:c r="F8" t="n">
        <x:v>1</x:v>
      </x:c>
      <x:c r="G8" t="n">
        <x:v>0.8888888888888888</x:v>
      </x:c>
      <x:c r="H8" t="n">
        <x:v>0.8888888888888888</x:v>
      </x:c>
      <x:c r="I8" t="n">
        <x:v>90.5402365313521</x:v>
      </x:c>
      <x:c r="J8" t="n">
        <x:v>66.67002560491916</x:v>
      </x:c>
      <x:c r="K8" t="n">
        <x:v>88465.76236109162</x:v>
      </x:c>
      <x:c r="L8" t="n">
        <x:v>428.2355743918017</x:v>
      </x:c>
      <x:c r="M8" t="n">
        <x:v>-12.820921974107689</x:v>
      </x:c>
      <x:c r="N8" t="n">
        <x:v>97.77777777777777</x:v>
      </x:c>
      <x:c r="O8" t="n">
        <x:v>6</x:v>
      </x:c>
      <x:c r="P8" t="n">
        <x:v>1</x:v>
      </x:c>
      <x:c r="Q8" t="n">
        <x:v>2</x:v>
      </x:c>
      <x:c r="R8" t="n">
        <x:v>0</x:v>
      </x:c>
      <x:c r="S8" t="n">
        <x:v>0</x:v>
      </x:c>
    </x:row>
    <x:row r="9">
      <x:c r="A9" t="str">
        <x:v>EXP_051</x:v>
      </x:c>
      <x:c r="B9" t="n">
        <x:v>2020</x:v>
      </x:c>
      <x:c r="C9" t="n">
        <x:v>35</x:v>
      </x:c>
      <x:c r="D9" t="n">
        <x:v>25</x:v>
      </x:c>
      <x:c r="E9" t="n">
        <x:v>1</x:v>
      </x:c>
      <x:c r="F9" t="n">
        <x:v>9</x:v>
      </x:c>
      <x:c r="G9" t="n">
        <x:v>0.7142857142857143</x:v>
      </x:c>
      <x:c r="H9" t="n">
        <x:v>0.7352941176470589</x:v>
      </x:c>
      <x:c r="I9" t="n">
        <x:v>24.920927884814855</x:v>
      </x:c>
      <x:c r="J9" t="n">
        <x:v>16.449175103559334</x:v>
      </x:c>
      <x:c r="K9" t="n">
        <x:v>6247.629058559396</x:v>
      </x:c>
      <x:c r="L9" t="n">
        <x:v>211.45741632739146</x:v>
      </x:c>
      <x:c r="M9" t="n">
        <x:v>-8.272747700673165</x:v>
      </x:c>
      <x:c r="N9" t="n">
        <x:v>52.8</x:v>
      </x:c>
      <x:c r="O9" t="n">
        <x:v>12</x:v>
      </x:c>
      <x:c r="P9" t="n">
        <x:v>8</x:v>
      </x:c>
      <x:c r="Q9" t="n">
        <x:v>15</x:v>
      </x:c>
      <x:c r="R9" t="n">
        <x:v>0</x:v>
      </x:c>
      <x:c r="S9" t="n">
        <x:v>0</x:v>
      </x:c>
    </x:row>
    <x:row r="10">
      <x:c r="A10" t="str">
        <x:v>EXP_051</x:v>
      </x:c>
      <x:c r="B10" t="n">
        <x:v>2021</x:v>
      </x:c>
      <x:c r="C10" t="n">
        <x:v>51</x:v>
      </x:c>
      <x:c r="D10" t="n">
        <x:v>37</x:v>
      </x:c>
      <x:c r="E10" t="n">
        <x:v>0</x:v>
      </x:c>
      <x:c r="F10" t="n">
        <x:v>14</x:v>
      </x:c>
      <x:c r="G10" t="n">
        <x:v>0.7254901960784313</x:v>
      </x:c>
      <x:c r="H10" t="n">
        <x:v>0.7254901960784313</x:v>
      </x:c>
      <x:c r="I10" t="n">
        <x:v>12.444385051475535</x:v>
      </x:c>
      <x:c r="J10" t="n">
        <x:v>10.41247734158345</x:v>
      </x:c>
      <x:c r="K10" t="n">
        <x:v>3481.98381690537</x:v>
      </x:c>
      <x:c r="L10" t="n">
        <x:v>109.34749014125113</x:v>
      </x:c>
      <x:c r="M10" t="n">
        <x:v>-33.43099037227877</x:v>
      </x:c>
      <x:c r="N10" t="n">
        <x:v>58.23529411764706</x:v>
      </x:c>
      <x:c r="O10" t="n">
        <x:v>6</x:v>
      </x:c>
      <x:c r="P10" t="n">
        <x:v>26</x:v>
      </x:c>
      <x:c r="Q10" t="n">
        <x:v>19</x:v>
      </x:c>
      <x:c r="R10" t="n">
        <x:v>0</x:v>
      </x:c>
      <x:c r="S10" t="n">
        <x:v>0</x:v>
      </x:c>
    </x:row>
    <x:row r="11">
      <x:c r="A11" t="str">
        <x:v>EXP_051</x:v>
      </x:c>
      <x:c r="B11" t="n">
        <x:v>2022</x:v>
      </x:c>
      <x:c r="C11" t="n">
        <x:v>34</x:v>
      </x:c>
      <x:c r="D11" t="n">
        <x:v>19</x:v>
      </x:c>
      <x:c r="E11" t="n">
        <x:v>0</x:v>
      </x:c>
      <x:c r="F11" t="n">
        <x:v>15</x:v>
      </x:c>
      <x:c r="G11" t="n">
        <x:v>0.5588235294117647</x:v>
      </x:c>
      <x:c r="H11" t="n">
        <x:v>0.5588235294117647</x:v>
      </x:c>
      <x:c r="I11" t="n">
        <x:v>5.79458963501874</x:v>
      </x:c>
      <x:c r="J11" t="n">
        <x:v>2.5868167093677035</x:v>
      </x:c>
      <x:c r="K11" t="n">
        <x:v>108.16380472351648</x:v>
      </x:c>
      <x:c r="L11" t="n">
        <x:v>66.34993871412796</x:v>
      </x:c>
      <x:c r="M11" t="n">
        <x:v>-16.398481488415868</x:v>
      </x:c>
      <x:c r="N11" t="n">
        <x:v>45.911764705882355</x:v>
      </x:c>
      <x:c r="O11" t="n">
        <x:v>18</x:v>
      </x:c>
      <x:c r="P11" t="n">
        <x:v>7</x:v>
      </x:c>
      <x:c r="Q11" t="n">
        <x:v>9</x:v>
      </x:c>
      <x:c r="R11" t="n">
        <x:v>0</x:v>
      </x:c>
      <x:c r="S11" t="n">
        <x:v>0</x:v>
      </x:c>
    </x:row>
    <x:row r="12">
      <x:c r="A12" t="str">
        <x:v>EXP_051</x:v>
      </x:c>
      <x:c r="B12" t="n">
        <x:v>2023</x:v>
      </x:c>
      <x:c r="C12" t="n">
        <x:v>37</x:v>
      </x:c>
      <x:c r="D12" t="n">
        <x:v>21</x:v>
      </x:c>
      <x:c r="E12" t="n">
        <x:v>1</x:v>
      </x:c>
      <x:c r="F12" t="n">
        <x:v>15</x:v>
      </x:c>
      <x:c r="G12" t="n">
        <x:v>0.5675675675675675</x:v>
      </x:c>
      <x:c r="H12" t="n">
        <x:v>0.5833333333333334</x:v>
      </x:c>
      <x:c r="I12" t="n">
        <x:v>20.055440269805466</x:v>
      </x:c>
      <x:c r="J12" t="n">
        <x:v>2.8992229203216007</x:v>
      </x:c>
      <x:c r="K12" t="n">
        <x:v>5205.860571019579</x:v>
      </x:c>
      <x:c r="L12" t="n">
        <x:v>193.54997589447623</x:v>
      </x:c>
      <x:c r="M12" t="n">
        <x:v>-17.555346772771006</x:v>
      </x:c>
      <x:c r="N12" t="n">
        <x:v>51.810810810810814</x:v>
      </x:c>
      <x:c r="O12" t="n">
        <x:v>18</x:v>
      </x:c>
      <x:c r="P12" t="n">
        <x:v>10</x:v>
      </x:c>
      <x:c r="Q12" t="n">
        <x:v>9</x:v>
      </x:c>
      <x:c r="R12" t="n">
        <x:v>0</x:v>
      </x:c>
      <x:c r="S12" t="n">
        <x:v>0</x:v>
      </x:c>
    </x:row>
    <x:row r="13">
      <x:c r="A13" t="str">
        <x:v>EXP_051</x:v>
      </x:c>
      <x:c r="B13" t="n">
        <x:v>2024</x:v>
      </x:c>
      <x:c r="C13" t="n">
        <x:v>55</x:v>
      </x:c>
      <x:c r="D13" t="n">
        <x:v>40</x:v>
      </x:c>
      <x:c r="E13" t="n">
        <x:v>0</x:v>
      </x:c>
      <x:c r="F13" t="n">
        <x:v>15</x:v>
      </x:c>
      <x:c r="G13" t="n">
        <x:v>0.7272727272727273</x:v>
      </x:c>
      <x:c r="H13" t="n">
        <x:v>0.7272727272727273</x:v>
      </x:c>
      <x:c r="I13" t="n">
        <x:v>40.75772379664586</x:v>
      </x:c>
      <x:c r="J13" t="n">
        <x:v>25.176830663443553</x:v>
      </x:c>
      <x:c r="K13" t="n">
        <x:v>30118.31743390425</x:v>
      </x:c>
      <x:c r="L13" t="n">
        <x:v>285.9831872828992</x:v>
      </x:c>
      <x:c r="M13" t="n">
        <x:v>-28.263942319952317</x:v>
      </x:c>
      <x:c r="N13" t="n">
        <x:v>65.63636363636364</x:v>
      </x:c>
      <x:c r="O13" t="n">
        <x:v>6</x:v>
      </x:c>
      <x:c r="P13" t="n">
        <x:v>23</x:v>
      </x:c>
      <x:c r="Q13" t="n">
        <x:v>26</x:v>
      </x:c>
      <x:c r="R13" t="n">
        <x:v>0</x:v>
      </x:c>
      <x:c r="S13" t="n">
        <x:v>0</x:v>
      </x:c>
    </x:row>
    <x:row r="14">
      <x:c r="A14" t="str">
        <x:v>EXP_051</x:v>
      </x:c>
      <x:c r="B14" t="n">
        <x:v>2025</x:v>
      </x:c>
      <x:c r="C14" t="n">
        <x:v>36</x:v>
      </x:c>
      <x:c r="D14" t="n">
        <x:v>26</x:v>
      </x:c>
      <x:c r="E14" t="n">
        <x:v>2</x:v>
      </x:c>
      <x:c r="F14" t="n">
        <x:v>8</x:v>
      </x:c>
      <x:c r="G14" t="n">
        <x:v>0.7222222222222222</x:v>
      </x:c>
      <x:c r="H14" t="n">
        <x:v>0.7647058823529411</x:v>
      </x:c>
      <x:c r="I14" t="n">
        <x:v>37.15662238581787</x:v>
      </x:c>
      <x:c r="J14" t="n">
        <x:v>24.46738621151874</x:v>
      </x:c>
      <x:c r="K14" t="n">
        <x:v>42015.19544357099</x:v>
      </x:c>
      <x:c r="L14" t="n">
        <x:v>271.7679355413374</x:v>
      </x:c>
      <x:c r="M14" t="n">
        <x:v>-31.358306385503873</x:v>
      </x:c>
      <x:c r="N14" t="n">
        <x:v>71.05555555555556</x:v>
      </x:c>
      <x:c r="O14" t="n">
        <x:v>6</x:v>
      </x:c>
      <x:c r="P14" t="n">
        <x:v>14</x:v>
      </x:c>
      <x:c r="Q14" t="n">
        <x:v>16</x:v>
      </x:c>
      <x:c r="R14" t="n">
        <x:v>0</x:v>
      </x:c>
      <x:c r="S14" t="n">
        <x:v>0</x:v>
      </x:c>
    </x:row>
    <x:row r="15">
      <x:c r="A15" t="str">
        <x:v>EXP_051</x:v>
      </x:c>
      <x:c r="B15" t="n">
        <x:v>2026</x:v>
      </x:c>
      <x:c r="C15" t="n">
        <x:v>9</x:v>
      </x:c>
      <x:c r="D15" t="n">
        <x:v>8</x:v>
      </x:c>
      <x:c r="E15" t="n">
        <x:v>0</x:v>
      </x:c>
      <x:c r="F15" t="n">
        <x:v>1</x:v>
      </x:c>
      <x:c r="G15" t="n">
        <x:v>0.8888888888888888</x:v>
      </x:c>
      <x:c r="H15" t="n">
        <x:v>0.8888888888888888</x:v>
      </x:c>
      <x:c r="I15" t="n">
        <x:v>90.5402365313521</x:v>
      </x:c>
      <x:c r="J15" t="n">
        <x:v>66.67002560491916</x:v>
      </x:c>
      <x:c r="K15" t="n">
        <x:v>88465.76236109162</x:v>
      </x:c>
      <x:c r="L15" t="n">
        <x:v>428.2355743918017</x:v>
      </x:c>
      <x:c r="M15" t="n">
        <x:v>-12.820921974107689</x:v>
      </x:c>
      <x:c r="N15" t="n">
        <x:v>97.77777777777777</x:v>
      </x:c>
      <x:c r="O15" t="n">
        <x:v>6</x:v>
      </x:c>
      <x:c r="P15" t="n">
        <x:v>1</x:v>
      </x:c>
      <x:c r="Q15" t="n">
        <x:v>2</x:v>
      </x:c>
      <x:c r="R15" t="n">
        <x:v>0</x:v>
      </x:c>
      <x:c r="S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ef639a9e6c49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5.75" hidden="0" customWidth="1"/>
    <x:col min="3" max="3" width="7.809999942779541" hidden="0" customWidth="1"/>
    <x:col min="4" max="4" width="11.170000076293945" hidden="0" customWidth="1"/>
    <x:col min="5" max="5" width="9.6899995803833" hidden="0" customWidth="1"/>
    <x:col min="6" max="6" width="11.979999542236328" hidden="0" customWidth="1"/>
    <x:col min="7" max="7" width="17.6299991607666" hidden="0" customWidth="1"/>
    <x:col min="8" max="8" width="21" hidden="0" customWidth="1"/>
    <x:col min="9" max="9" width="15.75" hidden="0" customWidth="1"/>
    <x:col min="10" max="10" width="17.229999542236328" hidden="0" customWidth="1"/>
  </x:cols>
  <x:sheetData>
    <x:row r="1">
      <x:c r="A1" s="16" t="str">
        <x:v>run_id</x:v>
      </x:c>
      <x:c r="B1" s="16" t="str">
        <x:v>exit_reason</x:v>
      </x:c>
      <x:c r="C1" s="16" t="str">
        <x:v>trades</x:v>
      </x:c>
      <x:c r="D1" s="16" t="str">
        <x:v>ganadores</x:v>
      </x:c>
      <x:c r="E1" s="16" t="str">
        <x:v>empates</x:v>
      </x:c>
      <x:c r="F1" s="16" t="str">
        <x:v>perdedores</x:v>
      </x:c>
      <x:c r="G1" s="42" t="str">
        <x:v>avg_net_return_%</x:v>
      </x:c>
      <x:c r="H1" s="42" t="str">
        <x:v>median_net_return_%</x:v>
      </x:c>
      <x:c r="I1" s="46" t="str">
        <x:v>total_net_pnl_$</x:v>
      </x:c>
      <x:c r="J1" s="42" t="str">
        <x:v>avg_holding_days</x:v>
      </x:c>
    </x:row>
    <x:row r="2">
      <x:c r="A2" t="str">
        <x:v>EXP_044</x:v>
      </x:c>
      <x:c r="B2" t="str">
        <x:v>left_top_n</x:v>
      </x:c>
      <x:c r="C2" t="n">
        <x:v>89</x:v>
      </x:c>
      <x:c r="D2" t="n">
        <x:v>47</x:v>
      </x:c>
      <x:c r="E2" t="n">
        <x:v>3</x:v>
      </x:c>
      <x:c r="F2" t="n">
        <x:v>39</x:v>
      </x:c>
      <x:c r="G2" t="n">
        <x:v>5.202241224766493</x:v>
      </x:c>
      <x:c r="H2" t="n">
        <x:v>1.322504217168699</x:v>
      </x:c>
      <x:c r="I2" t="n">
        <x:v>30132.401119006972</x:v>
      </x:c>
      <x:c r="J2" t="n">
        <x:v>54.48314606741573</x:v>
      </x:c>
    </x:row>
    <x:row r="3">
      <x:c r="A3" t="str">
        <x:v>EXP_044</x:v>
      </x:c>
      <x:c r="B3" t="str">
        <x:v>market_filter_failed</x:v>
      </x:c>
      <x:c r="C3" t="n">
        <x:v>72</x:v>
      </x:c>
      <x:c r="D3" t="n">
        <x:v>37</x:v>
      </x:c>
      <x:c r="E3" t="n">
        <x:v>0</x:v>
      </x:c>
      <x:c r="F3" t="n">
        <x:v>35</x:v>
      </x:c>
      <x:c r="G3" t="n">
        <x:v>26.2283432928833</x:v>
      </x:c>
      <x:c r="H3" t="n">
        <x:v>1.3813028136336474</x:v>
      </x:c>
      <x:c r="I3" t="n">
        <x:v>112713.66014627351</x:v>
      </x:c>
      <x:c r="J3" t="n">
        <x:v>67.48611111111111</x:v>
      </x:c>
    </x:row>
    <x:row r="4">
      <x:c r="A4" t="str">
        <x:v>EXP_044</x:v>
      </x:c>
      <x:c r="B4" t="str">
        <x:v>rebalance_trim</x:v>
      </x:c>
      <x:c r="C4" t="n">
        <x:v>96</x:v>
      </x:c>
      <x:c r="D4" t="n">
        <x:v>92</x:v>
      </x:c>
      <x:c r="E4" t="n">
        <x:v>1</x:v>
      </x:c>
      <x:c r="F4" t="n">
        <x:v>3</x:v>
      </x:c>
      <x:c r="G4" t="n">
        <x:v>46.757277172526365</x:v>
      </x:c>
      <x:c r="H4" t="n">
        <x:v>28.610097020322925</x:v>
      </x:c>
      <x:c r="I4" t="n">
        <x:v>32796.85122449424</x:v>
      </x:c>
      <x:c r="J4" t="n">
        <x:v>58.708333333333336</x:v>
      </x:c>
    </x:row>
    <x:row r="5">
      <x:c r="A5" t="str">
        <x:v>EXP_051</x:v>
      </x:c>
      <x:c r="B5" t="str">
        <x:v>left_top_n</x:v>
      </x:c>
      <x:c r="C5" t="n">
        <x:v>89</x:v>
      </x:c>
      <x:c r="D5" t="n">
        <x:v>47</x:v>
      </x:c>
      <x:c r="E5" t="n">
        <x:v>3</x:v>
      </x:c>
      <x:c r="F5" t="n">
        <x:v>39</x:v>
      </x:c>
      <x:c r="G5" t="n">
        <x:v>5.202241224766493</x:v>
      </x:c>
      <x:c r="H5" t="n">
        <x:v>1.322504217168699</x:v>
      </x:c>
      <x:c r="I5" t="n">
        <x:v>30132.401119006972</x:v>
      </x:c>
      <x:c r="J5" t="n">
        <x:v>54.48314606741573</x:v>
      </x:c>
    </x:row>
    <x:row r="6">
      <x:c r="A6" t="str">
        <x:v>EXP_051</x:v>
      </x:c>
      <x:c r="B6" t="str">
        <x:v>market_filter_failed</x:v>
      </x:c>
      <x:c r="C6" t="n">
        <x:v>72</x:v>
      </x:c>
      <x:c r="D6" t="n">
        <x:v>37</x:v>
      </x:c>
      <x:c r="E6" t="n">
        <x:v>0</x:v>
      </x:c>
      <x:c r="F6" t="n">
        <x:v>35</x:v>
      </x:c>
      <x:c r="G6" t="n">
        <x:v>26.2283432928833</x:v>
      </x:c>
      <x:c r="H6" t="n">
        <x:v>1.3813028136336474</x:v>
      </x:c>
      <x:c r="I6" t="n">
        <x:v>112713.66014627351</x:v>
      </x:c>
      <x:c r="J6" t="n">
        <x:v>67.48611111111111</x:v>
      </x:c>
    </x:row>
    <x:row r="7">
      <x:c r="A7" t="str">
        <x:v>EXP_051</x:v>
      </x:c>
      <x:c r="B7" t="str">
        <x:v>rebalance_trim</x:v>
      </x:c>
      <x:c r="C7" t="n">
        <x:v>96</x:v>
      </x:c>
      <x:c r="D7" t="n">
        <x:v>92</x:v>
      </x:c>
      <x:c r="E7" t="n">
        <x:v>1</x:v>
      </x:c>
      <x:c r="F7" t="n">
        <x:v>3</x:v>
      </x:c>
      <x:c r="G7" t="n">
        <x:v>46.757277172526365</x:v>
      </x:c>
      <x:c r="H7" t="n">
        <x:v>28.610097020322925</x:v>
      </x:c>
      <x:c r="I7" t="n">
        <x:v>32796.85122449424</x:v>
      </x:c>
      <x:c r="J7" t="n">
        <x:v>58.708333333333336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0a233d9f0e543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8.34000015258789" hidden="0" customWidth="1"/>
    <x:col min="3" max="3" width="7.130000114440918" hidden="0" customWidth="1"/>
    <x:col min="4" max="4" width="11.979999542236328" hidden="0" customWidth="1"/>
    <x:col min="5" max="5" width="11.569999694824219" hidden="0" customWidth="1"/>
    <x:col min="6" max="6" width="10.359999656677246" hidden="0" customWidth="1"/>
    <x:col min="7" max="7" width="13.460000038146973" hidden="0" customWidth="1"/>
    <x:col min="8" max="8" width="13.460000038146973" hidden="0" customWidth="1"/>
    <x:col min="9" max="9" width="15.75" hidden="0" customWidth="1"/>
    <x:col min="10" max="10" width="11.569999694824219" hidden="0" customWidth="1"/>
    <x:col min="11" max="11" width="11.979999542236328" hidden="0" customWidth="1"/>
    <x:col min="12" max="12" width="10.770000457763672" hidden="0" customWidth="1"/>
    <x:col min="13" max="13" width="13.859999656677246" hidden="0" customWidth="1"/>
    <x:col min="14" max="14" width="11.039999961853027" hidden="0" customWidth="1"/>
  </x:cols>
  <x:sheetData>
    <x:row r="1">
      <x:c r="A1" s="16" t="str">
        <x:v>run_id</x:v>
      </x:c>
      <x:c r="B1" s="16" t="str">
        <x:v>bucket</x:v>
      </x:c>
      <x:c r="C1" s="16" t="str">
        <x:v>ticker</x:v>
      </x:c>
      <x:c r="D1" s="48" t="str">
        <x:v>signal_date</x:v>
      </x:c>
      <x:c r="E1" s="48" t="str">
        <x:v>entry_date</x:v>
      </x:c>
      <x:c r="F1" s="48" t="str">
        <x:v>exit_date</x:v>
      </x:c>
      <x:c r="G1" s="16" t="str">
        <x:v>holding_days</x:v>
      </x:c>
      <x:c r="H1" s="16" t="str">
        <x:v>entry_reason</x:v>
      </x:c>
      <x:c r="I1" s="16" t="str">
        <x:v>exit_reason</x:v>
      </x:c>
      <x:c r="J1" s="16" t="str">
        <x:v>entry_rank</x:v>
      </x:c>
      <x:c r="K1" s="46" t="str">
        <x:v>entry_price</x:v>
      </x:c>
      <x:c r="L1" s="46" t="str">
        <x:v>exit_price</x:v>
      </x:c>
      <x:c r="M1" s="42" t="str">
        <x:v>net_return_%</x:v>
      </x:c>
      <x:c r="N1" s="46" t="str">
        <x:v>net_pnl_$</x:v>
      </x:c>
    </x:row>
    <x:row r="2">
      <x:c r="A2" t="str">
        <x:v>EXP_044</x:v>
      </x:c>
      <x:c r="B2" t="str">
        <x:v>Top 15</x:v>
      </x:c>
      <x:c r="C2" t="str">
        <x:v>LITE</x:v>
      </x:c>
      <x:c r="D2" t="n">
        <x:v>45898</x:v>
      </x:c>
      <x:c r="E2" t="n">
        <x:v>45902</x:v>
      </x:c>
      <x:c r="F2" t="n">
        <x:v>46083</x:v>
      </x:c>
      <x:c r="G2" t="n">
        <x:v>181</x:v>
      </x:c>
      <x:c r="H2" t="str">
        <x:v>enter_or_hold</x:v>
      </x:c>
      <x:c r="I2" t="str">
        <x:v>market_filter_failed</x:v>
      </x:c>
      <x:c r="J2" t="n">
        <x:v>2</x:v>
      </x:c>
      <x:c r="K2" t="n">
        <x:v>148.1420328691844</x:v>
      </x:c>
      <x:c r="L2" t="n">
        <x:v>783.25</x:v>
      </x:c>
      <x:c r="M2" t="n">
        <x:v>428.2355743918017</x:v>
      </x:c>
      <x:c r="N2" t="n">
        <x:v>37860.49629810504</x:v>
      </x:c>
    </x:row>
    <x:row r="3">
      <x:c r="A3" t="str">
        <x:v>EXP_044</x:v>
      </x:c>
      <x:c r="B3" t="str">
        <x:v>Top 15</x:v>
      </x:c>
      <x:c r="C3" t="str">
        <x:v>APP</x:v>
      </x:c>
      <x:c r="D3" t="n">
        <x:v>45534</x:v>
      </x:c>
      <x:c r="E3" t="n">
        <x:v>45538</x:v>
      </x:c>
      <x:c r="F3" t="n">
        <x:v>45628</x:v>
      </x:c>
      <x:c r="G3" t="n">
        <x:v>90</x:v>
      </x:c>
      <x:c r="H3" t="str">
        <x:v>enter_or_hold</x:v>
      </x:c>
      <x:c r="I3" t="str">
        <x:v>rebalance_trim</x:v>
      </x:c>
      <x:c r="J3" t="n">
        <x:v>2</x:v>
      </x:c>
      <x:c r="K3" t="n">
        <x:v>88.12999725341797</x:v>
      </x:c>
      <x:c r="L3" t="n">
        <x:v>340.5899963378906</x:v>
      </x:c>
      <x:c r="M3" t="n">
        <x:v>285.9831872828992</x:v>
      </x:c>
      <x:c r="N3" t="n">
        <x:v>4115.1790136026975</x:v>
      </x:c>
    </x:row>
    <x:row r="4">
      <x:c r="A4" t="str">
        <x:v>EXP_044</x:v>
      </x:c>
      <x:c r="B4" t="str">
        <x:v>Top 15</x:v>
      </x:c>
      <x:c r="C4" t="str">
        <x:v>APP</x:v>
      </x:c>
      <x:c r="D4" t="n">
        <x:v>45534</x:v>
      </x:c>
      <x:c r="E4" t="n">
        <x:v>45538</x:v>
      </x:c>
      <x:c r="F4" t="n">
        <x:v>45656</x:v>
      </x:c>
      <x:c r="G4" t="n">
        <x:v>118</x:v>
      </x:c>
      <x:c r="H4" t="str">
        <x:v>enter_or_hold</x:v>
      </x:c>
      <x:c r="I4" t="str">
        <x:v>rebalance_trim</x:v>
      </x:c>
      <x:c r="J4" t="n">
        <x:v>2</x:v>
      </x:c>
      <x:c r="K4" t="n">
        <x:v>88.12999725341797</x:v>
      </x:c>
      <x:c r="L4" t="n">
        <x:v>335.3800048828125</x:v>
      </x:c>
      <x:c r="M4" t="n">
        <x:v>280.071475473699</x:v>
      </x:c>
      <x:c r="N4" t="n">
        <x:v>364.3652657611837</x:v>
      </x:c>
    </x:row>
    <x:row r="5">
      <x:c r="A5" t="str">
        <x:v>EXP_044</x:v>
      </x:c>
      <x:c r="B5" t="str">
        <x:v>Top 15</x:v>
      </x:c>
      <x:c r="C5" t="str">
        <x:v>APP</x:v>
      </x:c>
      <x:c r="D5" t="n">
        <x:v>45534</x:v>
      </x:c>
      <x:c r="E5" t="n">
        <x:v>45538</x:v>
      </x:c>
      <x:c r="F5" t="n">
        <x:v>45719</x:v>
      </x:c>
      <x:c r="G5" t="n">
        <x:v>181</x:v>
      </x:c>
      <x:c r="H5" t="str">
        <x:v>enter_or_hold</x:v>
      </x:c>
      <x:c r="I5" t="str">
        <x:v>market_filter_failed</x:v>
      </x:c>
      <x:c r="J5" t="n">
        <x:v>1</x:v>
      </x:c>
      <x:c r="K5" t="n">
        <x:v>90.62239548684607</x:v>
      </x:c>
      <x:c r="L5" t="n">
        <x:v>337.3399963378906</x:v>
      </x:c>
      <x:c r="M5" t="n">
        <x:v>271.7679355413374</x:v>
      </x:c>
      <x:c r="N5" t="n">
        <x:v>8676.576110611366</x:v>
      </x:c>
    </x:row>
    <x:row r="6">
      <x:c r="A6" t="str">
        <x:v>EXP_044</x:v>
      </x:c>
      <x:c r="B6" t="str">
        <x:v>Top 15</x:v>
      </x:c>
      <x:c r="C6" t="str">
        <x:v>TSLA</x:v>
      </x:c>
      <x:c r="D6" t="n">
        <x:v>43945</x:v>
      </x:c>
      <x:c r="E6" t="n">
        <x:v>43948</x:v>
      </x:c>
      <x:c r="F6" t="n">
        <x:v>44074</x:v>
      </x:c>
      <x:c r="G6" t="n">
        <x:v>126</x:v>
      </x:c>
      <x:c r="H6" t="str">
        <x:v>enter_or_hold</x:v>
      </x:c>
      <x:c r="I6" t="str">
        <x:v>rebalance_trim</x:v>
      </x:c>
      <x:c r="J6" t="n">
        <x:v>2</x:v>
      </x:c>
      <x:c r="K6" t="n">
        <x:v>53.25</x:v>
      </x:c>
      <x:c r="L6" t="n">
        <x:v>166.10667419433594</x:v>
      </x:c>
      <x:c r="M6" t="n">
        <x:v>211.45741632739146</x:v>
      </x:c>
      <x:c r="N6" t="n">
        <x:v>731.9120559443894</x:v>
      </x:c>
    </x:row>
    <x:row r="7">
      <x:c r="A7" t="str">
        <x:v>EXP_044</x:v>
      </x:c>
      <x:c r="B7" t="str">
        <x:v>Top 15</x:v>
      </x:c>
      <x:c r="C7" t="str">
        <x:v>SMCI</x:v>
      </x:c>
      <x:c r="D7" t="n">
        <x:v>45016</x:v>
      </x:c>
      <x:c r="E7" t="n">
        <x:v>45019</x:v>
      </x:c>
      <x:c r="F7" t="n">
        <x:v>45138</x:v>
      </x:c>
      <x:c r="G7" t="n">
        <x:v>119</x:v>
      </x:c>
      <x:c r="H7" t="str">
        <x:v>enter_or_hold</x:v>
      </x:c>
      <x:c r="I7" t="str">
        <x:v>rebalance_trim</x:v>
      </x:c>
      <x:c r="J7" t="n">
        <x:v>4</x:v>
      </x:c>
      <x:c r="K7" t="n">
        <x:v>11.23252835931908</x:v>
      </x:c>
      <x:c r="L7" t="n">
        <x:v>33.027000427246094</x:v>
      </x:c>
      <x:c r="M7" t="n">
        <x:v>193.54997589447623</x:v>
      </x:c>
      <x:c r="N7" t="n">
        <x:v>530.0055915986245</x:v>
      </x:c>
    </x:row>
    <x:row r="8">
      <x:c r="A8" t="str">
        <x:v>EXP_044</x:v>
      </x:c>
      <x:c r="B8" t="str">
        <x:v>Top 15</x:v>
      </x:c>
      <x:c r="C8" t="str">
        <x:v>PLTR</x:v>
      </x:c>
      <x:c r="D8" t="n">
        <x:v>45534</x:v>
      </x:c>
      <x:c r="E8" t="n">
        <x:v>45538</x:v>
      </x:c>
      <x:c r="F8" t="n">
        <x:v>45719</x:v>
      </x:c>
      <x:c r="G8" t="n">
        <x:v>181</x:v>
      </x:c>
      <x:c r="H8" t="str">
        <x:v>enter_or_hold</x:v>
      </x:c>
      <x:c r="I8" t="str">
        <x:v>market_filter_failed</x:v>
      </x:c>
      <x:c r="J8" t="n">
        <x:v>2</x:v>
      </x:c>
      <x:c r="K8" t="n">
        <x:v>31.2188330034464</x:v>
      </x:c>
      <x:c r="L8" t="n">
        <x:v>83.41999816894531</x:v>
      </x:c>
      <x:c r="M8" t="n">
        <x:v>166.7304948949763</x:v>
      </x:c>
      <x:c r="N8" t="n">
        <x:v>8002.465066185748</x:v>
      </x:c>
    </x:row>
    <x:row r="9">
      <x:c r="A9" t="str">
        <x:v>EXP_044</x:v>
      </x:c>
      <x:c r="B9" t="str">
        <x:v>Top 15</x:v>
      </x:c>
      <x:c r="C9" t="str">
        <x:v>TSLA</x:v>
      </x:c>
      <x:c r="D9" t="n">
        <x:v>43945</x:v>
      </x:c>
      <x:c r="E9" t="n">
        <x:v>43948</x:v>
      </x:c>
      <x:c r="F9" t="n">
        <x:v>44102</x:v>
      </x:c>
      <x:c r="G9" t="n">
        <x:v>154</x:v>
      </x:c>
      <x:c r="H9" t="str">
        <x:v>enter_or_hold</x:v>
      </x:c>
      <x:c r="I9" t="str">
        <x:v>market_filter_failed</x:v>
      </x:c>
      <x:c r="J9" t="n">
        <x:v>2</x:v>
      </x:c>
      <x:c r="K9" t="n">
        <x:v>53.25</x:v>
      </x:c>
      <x:c r="L9" t="n">
        <x:v>140.39999389648438</x:v>
      </x:c>
      <x:c r="M9" t="n">
        <x:v>163.18196036898476</x:v>
      </x:c>
      <x:c r="N9" t="n">
        <x:v>1428.624270280637</x:v>
      </x:c>
    </x:row>
    <x:row r="10">
      <x:c r="A10" t="str">
        <x:v>EXP_044</x:v>
      </x:c>
      <x:c r="B10" t="str">
        <x:v>Top 15</x:v>
      </x:c>
      <x:c r="C10" t="str">
        <x:v>PLTR</x:v>
      </x:c>
      <x:c r="D10" t="n">
        <x:v>45534</x:v>
      </x:c>
      <x:c r="E10" t="n">
        <x:v>45538</x:v>
      </x:c>
      <x:c r="F10" t="n">
        <x:v>45656</x:v>
      </x:c>
      <x:c r="G10" t="n">
        <x:v>118</x:v>
      </x:c>
      <x:c r="H10" t="str">
        <x:v>enter_or_hold</x:v>
      </x:c>
      <x:c r="I10" t="str">
        <x:v>rebalance_trim</x:v>
      </x:c>
      <x:c r="J10" t="n">
        <x:v>4</x:v>
      </x:c>
      <x:c r="K10" t="n">
        <x:v>30.516726787849052</x:v>
      </x:c>
      <x:c r="L10" t="n">
        <x:v>77.18000030517578</x:v>
      </x:c>
      <x:c r="M10" t="n">
        <x:v>152.43048034649246</x:v>
      </x:c>
      <x:c r="N10" t="n">
        <x:v>1626.6969079733947</x:v>
      </x:c>
    </x:row>
    <x:row r="11">
      <x:c r="A11" t="str">
        <x:v>EXP_044</x:v>
      </x:c>
      <x:c r="B11" t="str">
        <x:v>Top 15</x:v>
      </x:c>
      <x:c r="C11" t="str">
        <x:v>LITE</x:v>
      </x:c>
      <x:c r="D11" t="n">
        <x:v>45898</x:v>
      </x:c>
      <x:c r="E11" t="n">
        <x:v>45902</x:v>
      </x:c>
      <x:c r="F11" t="n">
        <x:v>45992</x:v>
      </x:c>
      <x:c r="G11" t="n">
        <x:v>90</x:v>
      </x:c>
      <x:c r="H11" t="str">
        <x:v>enter_or_hold</x:v>
      </x:c>
      <x:c r="I11" t="str">
        <x:v>rebalance_trim</x:v>
      </x:c>
      <x:c r="J11" t="n">
        <x:v>5</x:v>
      </x:c>
      <x:c r="K11" t="n">
        <x:v>133.7878558479855</x:v>
      </x:c>
      <x:c r="L11" t="n">
        <x:v>317.92999267578125</x:v>
      </x:c>
      <x:c r="M11" t="n">
        <x:v>137.1574078653481</x:v>
      </x:c>
      <x:c r="N11" t="n">
        <x:v>4878.138258641619</x:v>
      </x:c>
    </x:row>
    <x:row r="12">
      <x:c r="A12" t="str">
        <x:v>EXP_044</x:v>
      </x:c>
      <x:c r="B12" t="str">
        <x:v>Top 15</x:v>
      </x:c>
      <x:c r="C12" t="str">
        <x:v>SMCI</x:v>
      </x:c>
      <x:c r="D12" t="n">
        <x:v>45016</x:v>
      </x:c>
      <x:c r="E12" t="n">
        <x:v>45019</x:v>
      </x:c>
      <x:c r="F12" t="n">
        <x:v>45166</x:v>
      </x:c>
      <x:c r="G12" t="n">
        <x:v>147</x:v>
      </x:c>
      <x:c r="H12" t="str">
        <x:v>enter_or_hold</x:v>
      </x:c>
      <x:c r="I12" t="str">
        <x:v>market_filter_failed</x:v>
      </x:c>
      <x:c r="J12" t="n">
        <x:v>4</x:v>
      </x:c>
      <x:c r="K12" t="n">
        <x:v>11.23252835931908</x:v>
      </x:c>
      <x:c r="L12" t="n">
        <x:v>25.516000747680664</x:v>
      </x:c>
      <x:c r="M12" t="n">
        <x:v>126.6816855212414</x:v>
      </x:c>
      <x:c r="N12" t="n">
        <x:v>2059.3242737714786</x:v>
      </x:c>
    </x:row>
    <x:row r="13">
      <x:c r="A13" t="str">
        <x:v>EXP_044</x:v>
      </x:c>
      <x:c r="B13" t="str">
        <x:v>Top 15</x:v>
      </x:c>
      <x:c r="C13" t="str">
        <x:v>SMCI</x:v>
      </x:c>
      <x:c r="D13" t="n">
        <x:v>45016</x:v>
      </x:c>
      <x:c r="E13" t="n">
        <x:v>45019</x:v>
      </x:c>
      <x:c r="F13" t="n">
        <x:v>45110</x:v>
      </x:c>
      <x:c r="G13" t="n">
        <x:v>91</x:v>
      </x:c>
      <x:c r="H13" t="str">
        <x:v>enter_or_hold</x:v>
      </x:c>
      <x:c r="I13" t="str">
        <x:v>rebalance_trim</x:v>
      </x:c>
      <x:c r="J13" t="n">
        <x:v>4</x:v>
      </x:c>
      <x:c r="K13" t="n">
        <x:v>11.23252835931908</x:v>
      </x:c>
      <x:c r="L13" t="n">
        <x:v>24.920000076293945</x:v>
      </x:c>
      <x:c r="M13" t="n">
        <x:v>121.3756613357583</x:v>
      </x:c>
      <x:c r="N13" t="n">
        <x:v>19.03796476027128</x:v>
      </x:c>
    </x:row>
    <x:row r="14">
      <x:c r="A14" t="str">
        <x:v>EXP_044</x:v>
      </x:c>
      <x:c r="B14" t="str">
        <x:v>Top 15</x:v>
      </x:c>
      <x:c r="C14" t="str">
        <x:v>PLTR</x:v>
      </x:c>
      <x:c r="D14" t="n">
        <x:v>45534</x:v>
      </x:c>
      <x:c r="E14" t="n">
        <x:v>45538</x:v>
      </x:c>
      <x:c r="F14" t="n">
        <x:v>45628</x:v>
      </x:c>
      <x:c r="G14" t="n">
        <x:v>90</x:v>
      </x:c>
      <x:c r="H14" t="str">
        <x:v>enter_or_hold</x:v>
      </x:c>
      <x:c r="I14" t="str">
        <x:v>rebalance_trim</x:v>
      </x:c>
      <x:c r="J14" t="n">
        <x:v>4</x:v>
      </x:c>
      <x:c r="K14" t="n">
        <x:v>30.516726787849052</x:v>
      </x:c>
      <x:c r="L14" t="n">
        <x:v>66.38999938964844</x:v>
      </x:c>
      <x:c r="M14" t="n">
        <x:v>117.07281898739929</x:v>
      </x:c>
      <x:c r="N14" t="n">
        <x:v>290.4877818425271</x:v>
      </x:c>
    </x:row>
    <x:row r="15">
      <x:c r="A15" t="str">
        <x:v>EXP_044</x:v>
      </x:c>
      <x:c r="B15" t="str">
        <x:v>Top 15</x:v>
      </x:c>
      <x:c r="C15" t="str">
        <x:v>MRNA</x:v>
      </x:c>
      <x:c r="D15" t="n">
        <x:v>44316</x:v>
      </x:c>
      <x:c r="E15" t="n">
        <x:v>44319</x:v>
      </x:c>
      <x:c r="F15" t="n">
        <x:v>44466</x:v>
      </x:c>
      <x:c r="G15" t="n">
        <x:v>147</x:v>
      </x:c>
      <x:c r="H15" t="str">
        <x:v>enter_or_hold</x:v>
      </x:c>
      <x:c r="I15" t="str">
        <x:v>rebalance_trim</x:v>
      </x:c>
      <x:c r="J15" t="n">
        <x:v>1</x:v>
      </x:c>
      <x:c r="K15" t="n">
        <x:v>194.8457735746011</x:v>
      </x:c>
      <x:c r="L15" t="n">
        <x:v>408.8399963378906</x:v>
      </x:c>
      <x:c r="M15" t="n">
        <x:v>109.34749014125113</x:v>
      </x:c>
      <x:c r="N15" t="n">
        <x:v>163.4042312378671</x:v>
      </x:c>
    </x:row>
    <x:row r="16">
      <x:c r="A16" t="str">
        <x:v>EXP_044</x:v>
      </x:c>
      <x:c r="B16" t="str">
        <x:v>Top 15</x:v>
      </x:c>
      <x:c r="C16" t="str">
        <x:v>SMCI</x:v>
      </x:c>
      <x:c r="D16" t="n">
        <x:v>45317</x:v>
      </x:c>
      <x:c r="E16" t="n">
        <x:v>45320</x:v>
      </x:c>
      <x:c r="F16" t="n">
        <x:v>45383</x:v>
      </x:c>
      <x:c r="G16" t="n">
        <x:v>63</x:v>
      </x:c>
      <x:c r="H16" t="str">
        <x:v>enter_or_hold</x:v>
      </x:c>
      <x:c r="I16" t="str">
        <x:v>rebalance_trim</x:v>
      </x:c>
      <x:c r="J16" t="n">
        <x:v>1</x:v>
      </x:c>
      <x:c r="K16" t="n">
        <x:v>49.56700134277344</x:v>
      </x:c>
      <x:c r="L16" t="n">
        <x:v>103.71499633789062</x:v>
      </x:c>
      <x:c r="M16" t="n">
        <x:v>108.76202297545608</x:v>
      </x:c>
      <x:c r="N16" t="n">
        <x:v>50.08003527071376</x:v>
      </x:c>
    </x:row>
    <x:row r="17">
      <x:c r="A17" t="str">
        <x:v>EXP_044</x:v>
      </x:c>
      <x:c r="B17" t="str">
        <x:v>Bottom 15</x:v>
      </x:c>
      <x:c r="C17" t="str">
        <x:v>PSKY</x:v>
      </x:c>
      <x:c r="D17" t="n">
        <x:v>44253</x:v>
      </x:c>
      <x:c r="E17" t="n">
        <x:v>44256</x:v>
      </x:c>
      <x:c r="F17" t="n">
        <x:v>44284</x:v>
      </x:c>
      <x:c r="G17" t="n">
        <x:v>28</x:v>
      </x:c>
      <x:c r="H17" t="str">
        <x:v>enter_or_hold</x:v>
      </x:c>
      <x:c r="I17" t="str">
        <x:v>left_top_n</x:v>
      </x:c>
      <x:c r="J17" t="n">
        <x:v>1</x:v>
      </x:c>
      <x:c r="K17" t="n">
        <x:v>67.12999725341797</x:v>
      </x:c>
      <x:c r="L17" t="n">
        <x:v>45.0099983215332</x:v>
      </x:c>
      <x:c r="M17" t="n">
        <x:v>-33.43099037227877</x:v>
      </x:c>
      <x:c r="N17" t="n">
        <x:v>-1003.7052832055754</x:v>
      </x:c>
    </x:row>
    <x:row r="18">
      <x:c r="A18" t="str">
        <x:v>EXP_044</x:v>
      </x:c>
      <x:c r="B18" t="str">
        <x:v>Bottom 15</x:v>
      </x:c>
      <x:c r="C18" t="str">
        <x:v>TSLA</x:v>
      </x:c>
      <x:c r="D18" t="n">
        <x:v>45653</x:v>
      </x:c>
      <x:c r="E18" t="n">
        <x:v>45656</x:v>
      </x:c>
      <x:c r="F18" t="n">
        <x:v>45719</x:v>
      </x:c>
      <x:c r="G18" t="n">
        <x:v>63</x:v>
      </x:c>
      <x:c r="H18" t="str">
        <x:v>enter_or_hold</x:v>
      </x:c>
      <x:c r="I18" t="str">
        <x:v>market_filter_failed</x:v>
      </x:c>
      <x:c r="J18" t="n">
        <x:v>6</x:v>
      </x:c>
      <x:c r="K18" t="n">
        <x:v>411.8099239350638</x:v>
      </x:c>
      <x:c r="L18" t="n">
        <x:v>284.6499938964844</x:v>
      </x:c>
      <x:c r="M18" t="n">
        <x:v>-31.358306385503873</x:v>
      </x:c>
      <x:c r="N18" t="n">
        <x:v>-4331.715634178614</x:v>
      </x:c>
    </x:row>
    <x:row r="19">
      <x:c r="A19" t="str">
        <x:v>EXP_044</x:v>
      </x:c>
      <x:c r="B19" t="str">
        <x:v>Bottom 15</x:v>
      </x:c>
      <x:c r="C19" t="str">
        <x:v>WBD</x:v>
      </x:c>
      <x:c r="D19" t="n">
        <x:v>44253</x:v>
      </x:c>
      <x:c r="E19" t="n">
        <x:v>44256</x:v>
      </x:c>
      <x:c r="F19" t="n">
        <x:v>44284</x:v>
      </x:c>
      <x:c r="G19" t="n">
        <x:v>28</x:v>
      </x:c>
      <x:c r="H19" t="str">
        <x:v>enter_or_hold</x:v>
      </x:c>
      <x:c r="I19" t="str">
        <x:v>left_top_n</x:v>
      </x:c>
      <x:c r="J19" t="n">
        <x:v>2</x:v>
      </x:c>
      <x:c r="K19" t="n">
        <x:v>58.18000030517578</x:v>
      </x:c>
      <x:c r="L19" t="n">
        <x:v>41.22999954223633</x:v>
      </x:c>
      <x:c r="M19" t="n">
        <x:v>-29.61372408736745</x:v>
      </x:c>
      <x:c r="N19" t="n">
        <x:v>-889.1026957528062</x:v>
      </x:c>
    </x:row>
    <x:row r="20">
      <x:c r="A20" t="str">
        <x:v>EXP_044</x:v>
      </x:c>
      <x:c r="B20" t="str">
        <x:v>Bottom 15</x:v>
      </x:c>
      <x:c r="C20" t="str">
        <x:v>COIN</x:v>
      </x:c>
      <x:c r="D20" t="n">
        <x:v>45499</x:v>
      </x:c>
      <x:c r="E20" t="n">
        <x:v>45502</x:v>
      </x:c>
      <x:c r="F20" t="n">
        <x:v>45538</x:v>
      </x:c>
      <x:c r="G20" t="n">
        <x:v>36</x:v>
      </x:c>
      <x:c r="H20" t="str">
        <x:v>enter_or_hold</x:v>
      </x:c>
      <x:c r="I20" t="str">
        <x:v>left_top_n</x:v>
      </x:c>
      <x:c r="J20" t="n">
        <x:v>3</x:v>
      </x:c>
      <x:c r="K20" t="n">
        <x:v>234.1999969482422</x:v>
      </x:c>
      <x:c r="L20" t="n">
        <x:v>169.1300048828125</x:v>
      </x:c>
      <x:c r="M20" t="n">
        <x:v>-28.263942319952317</x:v>
      </x:c>
      <x:c r="N20" t="n">
        <x:v>-1855.3666126970923</x:v>
      </x:c>
    </x:row>
    <x:row r="21">
      <x:c r="A21" t="str">
        <x:v>EXP_044</x:v>
      </x:c>
      <x:c r="B21" t="str">
        <x:v>Bottom 15</x:v>
      </x:c>
      <x:c r="C21" t="str">
        <x:v>MRNA</x:v>
      </x:c>
      <x:c r="D21" t="n">
        <x:v>44253</x:v>
      </x:c>
      <x:c r="E21" t="n">
        <x:v>44256</x:v>
      </x:c>
      <x:c r="F21" t="n">
        <x:v>44284</x:v>
      </x:c>
      <x:c r="G21" t="n">
        <x:v>28</x:v>
      </x:c>
      <x:c r="H21" t="str">
        <x:v>enter_or_hold</x:v>
      </x:c>
      <x:c r="I21" t="str">
        <x:v>left_top_n</x:v>
      </x:c>
      <x:c r="J21" t="n">
        <x:v>5</x:v>
      </x:c>
      <x:c r="K21" t="n">
        <x:v>157.39999389648438</x:v>
      </x:c>
      <x:c r="L21" t="n">
        <x:v>123.41999816894533</x:v>
      </x:c>
      <x:c r="M21" t="n">
        <x:v>-22.068308160854386</x:v>
      </x:c>
      <x:c r="N21" t="n">
        <x:v>-662.57299516478</x:v>
      </x:c>
    </x:row>
    <x:row r="22">
      <x:c r="A22" t="str">
        <x:v>EXP_044</x:v>
      </x:c>
      <x:c r="B22" t="str">
        <x:v>Bottom 15</x:v>
      </x:c>
      <x:c r="C22" t="str">
        <x:v>OXY</x:v>
      </x:c>
      <x:c r="D22" t="n">
        <x:v>44372</x:v>
      </x:c>
      <x:c r="E22" t="n">
        <x:v>44375</x:v>
      </x:c>
      <x:c r="F22" t="n">
        <x:v>44410</x:v>
      </x:c>
      <x:c r="G22" t="n">
        <x:v>35</x:v>
      </x:c>
      <x:c r="H22" t="str">
        <x:v>enter_or_hold</x:v>
      </x:c>
      <x:c r="I22" t="str">
        <x:v>left_top_n</x:v>
      </x:c>
      <x:c r="J22" t="n">
        <x:v>5</x:v>
      </x:c>
      <x:c r="K22" t="n">
        <x:v>31.239999771118164</x:v>
      </x:c>
      <x:c r="L22" t="n">
        <x:v>25.790000915527344</x:v>
      </x:c>
      <x:c r="M22" t="n">
        <x:v>-17.925579050962167</x:v>
      </x:c>
      <x:c r="N22" t="n">
        <x:v>-510.0233242876714</x:v>
      </x:c>
    </x:row>
    <x:row r="23">
      <x:c r="A23" t="str">
        <x:v>EXP_044</x:v>
      </x:c>
      <x:c r="B23" t="str">
        <x:v>Bottom 15</x:v>
      </x:c>
      <x:c r="C23" t="str">
        <x:v>CCL</x:v>
      </x:c>
      <x:c r="D23" t="n">
        <x:v>45107</x:v>
      </x:c>
      <x:c r="E23" t="n">
        <x:v>45110</x:v>
      </x:c>
      <x:c r="F23" t="n">
        <x:v>45166</x:v>
      </x:c>
      <x:c r="G23" t="n">
        <x:v>56</x:v>
      </x:c>
      <x:c r="H23" t="str">
        <x:v>enter_or_hold</x:v>
      </x:c>
      <x:c r="I23" t="str">
        <x:v>market_filter_failed</x:v>
      </x:c>
      <x:c r="J23" t="n">
        <x:v>6</x:v>
      </x:c>
      <x:c r="K23" t="n">
        <x:v>18.94490893449822</x:v>
      </x:c>
      <x:c r="L23" t="n">
        <x:v>15.710000038146973</x:v>
      </x:c>
      <x:c r="M23" t="n">
        <x:v>-17.555346772771006</x:v>
      </x:c>
      <x:c r="N23" t="n">
        <x:v>-843.4662094901238</x:v>
      </x:c>
    </x:row>
    <x:row r="24">
      <x:c r="A24" t="str">
        <x:v>EXP_044</x:v>
      </x:c>
      <x:c r="B24" t="str">
        <x:v>Bottom 15</x:v>
      </x:c>
      <x:c r="C24" t="str">
        <x:v>FANG</x:v>
      </x:c>
      <x:c r="D24" t="n">
        <x:v>44372</x:v>
      </x:c>
      <x:c r="E24" t="n">
        <x:v>44375</x:v>
      </x:c>
      <x:c r="F24" t="n">
        <x:v>44410</x:v>
      </x:c>
      <x:c r="G24" t="n">
        <x:v>35</x:v>
      </x:c>
      <x:c r="H24" t="str">
        <x:v>enter_or_hold</x:v>
      </x:c>
      <x:c r="I24" t="str">
        <x:v>left_top_n</x:v>
      </x:c>
      <x:c r="J24" t="n">
        <x:v>3</x:v>
      </x:c>
      <x:c r="K24" t="n">
        <x:v>92.47000122070312</x:v>
      </x:c>
      <x:c r="L24" t="n">
        <x:v>76.75</x:v>
      </x:c>
      <x:c r="M24" t="n">
        <x:v>-17.4801092388691</x:v>
      </x:c>
      <x:c r="N24" t="n">
        <x:v>-497.34951562379507</x:v>
      </x:c>
    </x:row>
    <x:row r="25">
      <x:c r="A25" t="str">
        <x:v>EXP_044</x:v>
      </x:c>
      <x:c r="B25" t="str">
        <x:v>Bottom 15</x:v>
      </x:c>
      <x:c r="C25" t="str">
        <x:v>ON</x:v>
      </x:c>
      <x:c r="D25" t="n">
        <x:v>44561</x:v>
      </x:c>
      <x:c r="E25" t="n">
        <x:v>44564</x:v>
      </x:c>
      <x:c r="F25" t="n">
        <x:v>44592</x:v>
      </x:c>
      <x:c r="G25" t="n">
        <x:v>28</x:v>
      </x:c>
      <x:c r="H25" t="str">
        <x:v>enter_or_hold</x:v>
      </x:c>
      <x:c r="I25" t="str">
        <x:v>market_filter_failed</x:v>
      </x:c>
      <x:c r="J25" t="n">
        <x:v>2</x:v>
      </x:c>
      <x:c r="K25" t="n">
        <x:v>70.16999816894531</x:v>
      </x:c>
      <x:c r="L25" t="n">
        <x:v>59</x:v>
      </x:c>
      <x:c r="M25" t="n">
        <x:v>-16.398481488415868</x:v>
      </x:c>
      <x:c r="N25" t="n">
        <x:v>-601.3396039474574</x:v>
      </x:c>
    </x:row>
    <x:row r="26">
      <x:c r="A26" t="str">
        <x:v>EXP_044</x:v>
      </x:c>
      <x:c r="B26" t="str">
        <x:v>Bottom 15</x:v>
      </x:c>
      <x:c r="C26" t="str">
        <x:v>DELL</x:v>
      </x:c>
      <x:c r="D26" t="n">
        <x:v>45443</x:v>
      </x:c>
      <x:c r="E26" t="n">
        <x:v>45446</x:v>
      </x:c>
      <x:c r="F26" t="n">
        <x:v>45502</x:v>
      </x:c>
      <x:c r="G26" t="n">
        <x:v>56</x:v>
      </x:c>
      <x:c r="H26" t="str">
        <x:v>enter_or_hold</x:v>
      </x:c>
      <x:c r="I26" t="str">
        <x:v>left_top_n</x:v>
      </x:c>
      <x:c r="J26" t="n">
        <x:v>6</x:v>
      </x:c>
      <x:c r="K26" t="n">
        <x:v>132.04195721510914</x:v>
      </x:c>
      <x:c r="L26" t="n">
        <x:v>111.1999969482422</x:v>
      </x:c>
      <x:c r="M26" t="n">
        <x:v>-16.264346662563753</x:v>
      </x:c>
      <x:c r="N26" t="n">
        <x:v>-1101.8844445088073</x:v>
      </x:c>
    </x:row>
    <x:row r="27">
      <x:c r="A27" t="str">
        <x:v>EXP_044</x:v>
      </x:c>
      <x:c r="B27" t="str">
        <x:v>Bottom 15</x:v>
      </x:c>
      <x:c r="C27" t="str">
        <x:v>DVN</x:v>
      </x:c>
      <x:c r="D27" t="n">
        <x:v>44344</x:v>
      </x:c>
      <x:c r="E27" t="n">
        <x:v>44348</x:v>
      </x:c>
      <x:c r="F27" t="n">
        <x:v>44410</x:v>
      </x:c>
      <x:c r="G27" t="n">
        <x:v>62</x:v>
      </x:c>
      <x:c r="H27" t="str">
        <x:v>enter_or_hold</x:v>
      </x:c>
      <x:c r="I27" t="str">
        <x:v>left_top_n</x:v>
      </x:c>
      <x:c r="J27" t="n">
        <x:v>2</x:v>
      </x:c>
      <x:c r="K27" t="n">
        <x:v>30.147673907717397</x:v>
      </x:c>
      <x:c r="L27" t="n">
        <x:v>25.489999771118164</x:v>
      </x:c>
      <x:c r="M27" t="n">
        <x:v>-15.92953070295394</x:v>
      </x:c>
      <x:c r="N27" t="n">
        <x:v>-482.11661407114246</x:v>
      </x:c>
    </x:row>
    <x:row r="28">
      <x:c r="A28" t="str">
        <x:v>EXP_044</x:v>
      </x:c>
      <x:c r="B28" t="str">
        <x:v>Bottom 15</x:v>
      </x:c>
      <x:c r="C28" t="str">
        <x:v>LVS</x:v>
      </x:c>
      <x:c r="D28" t="n">
        <x:v>45044</x:v>
      </x:c>
      <x:c r="E28" t="n">
        <x:v>45047</x:v>
      </x:c>
      <x:c r="F28" t="n">
        <x:v>45076</x:v>
      </x:c>
      <x:c r="G28" t="n">
        <x:v>29</x:v>
      </x:c>
      <x:c r="H28" t="str">
        <x:v>enter_or_hold</x:v>
      </x:c>
      <x:c r="I28" t="str">
        <x:v>left_top_n</x:v>
      </x:c>
      <x:c r="J28" t="n">
        <x:v>6</x:v>
      </x:c>
      <x:c r="K28" t="n">
        <x:v>64.86000061035156</x:v>
      </x:c>
      <x:c r="L28" t="n">
        <x:v>55.02999877929688</x:v>
      </x:c>
      <x:c r="M28" t="n">
        <x:v>-15.635722692802176</x:v>
      </x:c>
      <x:c r="N28" t="n">
        <x:v>-494.5085816459669</x:v>
      </x:c>
    </x:row>
    <x:row r="29">
      <x:c r="A29" t="str">
        <x:v>EXP_044</x:v>
      </x:c>
      <x:c r="B29" t="str">
        <x:v>Bottom 15</x:v>
      </x:c>
      <x:c r="C29" t="str">
        <x:v>NUE</x:v>
      </x:c>
      <x:c r="D29" t="n">
        <x:v>44344</x:v>
      </x:c>
      <x:c r="E29" t="n">
        <x:v>44348</x:v>
      </x:c>
      <x:c r="F29" t="n">
        <x:v>44375</x:v>
      </x:c>
      <x:c r="G29" t="n">
        <x:v>27</x:v>
      </x:c>
      <x:c r="H29" t="str">
        <x:v>enter_or_hold</x:v>
      </x:c>
      <x:c r="I29" t="str">
        <x:v>left_top_n</x:v>
      </x:c>
      <x:c r="J29" t="n">
        <x:v>1</x:v>
      </x:c>
      <x:c r="K29" t="n">
        <x:v>110.73999786376952</x:v>
      </x:c>
      <x:c r="L29" t="n">
        <x:v>95.11000061035156</x:v>
      </x:c>
      <x:c r="M29" t="n">
        <x:v>-14.594139023775053</x:v>
      </x:c>
      <x:c r="N29" t="n">
        <x:v>-429.5351270799297</x:v>
      </x:c>
    </x:row>
    <x:row r="30">
      <x:c r="A30" t="str">
        <x:v>EXP_044</x:v>
      </x:c>
      <x:c r="B30" t="str">
        <x:v>Bottom 15</x:v>
      </x:c>
      <x:c r="C30" t="str">
        <x:v>SMCI</x:v>
      </x:c>
      <x:c r="D30" t="n">
        <x:v>45471</x:v>
      </x:c>
      <x:c r="E30" t="n">
        <x:v>45474</x:v>
      </x:c>
      <x:c r="F30" t="n">
        <x:v>45502</x:v>
      </x:c>
      <x:c r="G30" t="n">
        <x:v>28</x:v>
      </x:c>
      <x:c r="H30" t="str">
        <x:v>enter_or_hold</x:v>
      </x:c>
      <x:c r="I30" t="str">
        <x:v>left_top_n</x:v>
      </x:c>
      <x:c r="J30" t="n">
        <x:v>5</x:v>
      </x:c>
      <x:c r="K30" t="n">
        <x:v>81.23200225830078</x:v>
      </x:c>
      <x:c r="L30" t="n">
        <x:v>69.77300262451172</x:v>
      </x:c>
      <x:c r="M30" t="n">
        <x:v>-14.586508906861415</x:v>
      </x:c>
      <x:c r="N30" t="n">
        <x:v>-1066.265764504942</x:v>
      </x:c>
    </x:row>
    <x:row r="31">
      <x:c r="A31" t="str">
        <x:v>EXP_044</x:v>
      </x:c>
      <x:c r="B31" t="str">
        <x:v>Bottom 15</x:v>
      </x:c>
      <x:c r="C31" t="str">
        <x:v>COIN</x:v>
      </x:c>
      <x:c r="D31" t="n">
        <x:v>45835</x:v>
      </x:c>
      <x:c r="E31" t="n">
        <x:v>45838</x:v>
      </x:c>
      <x:c r="F31" t="n">
        <x:v>45902</x:v>
      </x:c>
      <x:c r="G31" t="n">
        <x:v>64</x:v>
      </x:c>
      <x:c r="H31" t="str">
        <x:v>enter_or_hold</x:v>
      </x:c>
      <x:c r="I31" t="str">
        <x:v>left_top_n</x:v>
      </x:c>
      <x:c r="J31" t="n">
        <x:v>5</x:v>
      </x:c>
      <x:c r="K31" t="n">
        <x:v>350.489990234375</x:v>
      </x:c>
      <x:c r="L31" t="n">
        <x:v>303.5599975585937</x:v>
      </x:c>
      <x:c r="M31" t="n">
        <x:v>-13.869823955999115</x:v>
      </x:c>
      <x:c r="N31" t="n">
        <x:v>-1620.3406288651593</x:v>
      </x:c>
    </x:row>
    <x:row r="32">
      <x:c r="A32" t="str">
        <x:v>EXP_051</x:v>
      </x:c>
      <x:c r="B32" t="str">
        <x:v>Top 15</x:v>
      </x:c>
      <x:c r="C32" t="str">
        <x:v>LITE</x:v>
      </x:c>
      <x:c r="D32" t="n">
        <x:v>45898</x:v>
      </x:c>
      <x:c r="E32" t="n">
        <x:v>45902</x:v>
      </x:c>
      <x:c r="F32" t="n">
        <x:v>46083</x:v>
      </x:c>
      <x:c r="G32" t="n">
        <x:v>181</x:v>
      </x:c>
      <x:c r="H32" t="str">
        <x:v>enter_or_hold</x:v>
      </x:c>
      <x:c r="I32" t="str">
        <x:v>market_filter_failed</x:v>
      </x:c>
      <x:c r="J32" t="n">
        <x:v>2</x:v>
      </x:c>
      <x:c r="K32" t="n">
        <x:v>148.1420328691844</x:v>
      </x:c>
      <x:c r="L32" t="n">
        <x:v>783.25</x:v>
      </x:c>
      <x:c r="M32" t="n">
        <x:v>428.2355743918017</x:v>
      </x:c>
      <x:c r="N32" t="n">
        <x:v>37860.49629810504</x:v>
      </x:c>
    </x:row>
    <x:row r="33">
      <x:c r="A33" t="str">
        <x:v>EXP_051</x:v>
      </x:c>
      <x:c r="B33" t="str">
        <x:v>Top 15</x:v>
      </x:c>
      <x:c r="C33" t="str">
        <x:v>APP</x:v>
      </x:c>
      <x:c r="D33" t="n">
        <x:v>45534</x:v>
      </x:c>
      <x:c r="E33" t="n">
        <x:v>45538</x:v>
      </x:c>
      <x:c r="F33" t="n">
        <x:v>45628</x:v>
      </x:c>
      <x:c r="G33" t="n">
        <x:v>90</x:v>
      </x:c>
      <x:c r="H33" t="str">
        <x:v>enter_or_hold</x:v>
      </x:c>
      <x:c r="I33" t="str">
        <x:v>rebalance_trim</x:v>
      </x:c>
      <x:c r="J33" t="n">
        <x:v>2</x:v>
      </x:c>
      <x:c r="K33" t="n">
        <x:v>88.12999725341797</x:v>
      </x:c>
      <x:c r="L33" t="n">
        <x:v>340.5899963378906</x:v>
      </x:c>
      <x:c r="M33" t="n">
        <x:v>285.9831872828992</x:v>
      </x:c>
      <x:c r="N33" t="n">
        <x:v>4115.1790136026975</x:v>
      </x:c>
    </x:row>
    <x:row r="34">
      <x:c r="A34" t="str">
        <x:v>EXP_051</x:v>
      </x:c>
      <x:c r="B34" t="str">
        <x:v>Top 15</x:v>
      </x:c>
      <x:c r="C34" t="str">
        <x:v>APP</x:v>
      </x:c>
      <x:c r="D34" t="n">
        <x:v>45534</x:v>
      </x:c>
      <x:c r="E34" t="n">
        <x:v>45538</x:v>
      </x:c>
      <x:c r="F34" t="n">
        <x:v>45656</x:v>
      </x:c>
      <x:c r="G34" t="n">
        <x:v>118</x:v>
      </x:c>
      <x:c r="H34" t="str">
        <x:v>enter_or_hold</x:v>
      </x:c>
      <x:c r="I34" t="str">
        <x:v>rebalance_trim</x:v>
      </x:c>
      <x:c r="J34" t="n">
        <x:v>2</x:v>
      </x:c>
      <x:c r="K34" t="n">
        <x:v>88.12999725341797</x:v>
      </x:c>
      <x:c r="L34" t="n">
        <x:v>335.3800048828125</x:v>
      </x:c>
      <x:c r="M34" t="n">
        <x:v>280.071475473699</x:v>
      </x:c>
      <x:c r="N34" t="n">
        <x:v>364.3652657611837</x:v>
      </x:c>
    </x:row>
    <x:row r="35">
      <x:c r="A35" t="str">
        <x:v>EXP_051</x:v>
      </x:c>
      <x:c r="B35" t="str">
        <x:v>Top 15</x:v>
      </x:c>
      <x:c r="C35" t="str">
        <x:v>APP</x:v>
      </x:c>
      <x:c r="D35" t="n">
        <x:v>45534</x:v>
      </x:c>
      <x:c r="E35" t="n">
        <x:v>45538</x:v>
      </x:c>
      <x:c r="F35" t="n">
        <x:v>45719</x:v>
      </x:c>
      <x:c r="G35" t="n">
        <x:v>181</x:v>
      </x:c>
      <x:c r="H35" t="str">
        <x:v>enter_or_hold</x:v>
      </x:c>
      <x:c r="I35" t="str">
        <x:v>market_filter_failed</x:v>
      </x:c>
      <x:c r="J35" t="n">
        <x:v>1</x:v>
      </x:c>
      <x:c r="K35" t="n">
        <x:v>90.62239548684607</x:v>
      </x:c>
      <x:c r="L35" t="n">
        <x:v>337.3399963378906</x:v>
      </x:c>
      <x:c r="M35" t="n">
        <x:v>271.7679355413374</x:v>
      </x:c>
      <x:c r="N35" t="n">
        <x:v>8676.576110611366</x:v>
      </x:c>
    </x:row>
    <x:row r="36">
      <x:c r="A36" t="str">
        <x:v>EXP_051</x:v>
      </x:c>
      <x:c r="B36" t="str">
        <x:v>Top 15</x:v>
      </x:c>
      <x:c r="C36" t="str">
        <x:v>TSLA</x:v>
      </x:c>
      <x:c r="D36" t="n">
        <x:v>43945</x:v>
      </x:c>
      <x:c r="E36" t="n">
        <x:v>43948</x:v>
      </x:c>
      <x:c r="F36" t="n">
        <x:v>44074</x:v>
      </x:c>
      <x:c r="G36" t="n">
        <x:v>126</x:v>
      </x:c>
      <x:c r="H36" t="str">
        <x:v>enter_or_hold</x:v>
      </x:c>
      <x:c r="I36" t="str">
        <x:v>rebalance_trim</x:v>
      </x:c>
      <x:c r="J36" t="n">
        <x:v>2</x:v>
      </x:c>
      <x:c r="K36" t="n">
        <x:v>53.25</x:v>
      </x:c>
      <x:c r="L36" t="n">
        <x:v>166.10667419433594</x:v>
      </x:c>
      <x:c r="M36" t="n">
        <x:v>211.45741632739146</x:v>
      </x:c>
      <x:c r="N36" t="n">
        <x:v>731.9120559443894</x:v>
      </x:c>
    </x:row>
    <x:row r="37">
      <x:c r="A37" t="str">
        <x:v>EXP_051</x:v>
      </x:c>
      <x:c r="B37" t="str">
        <x:v>Top 15</x:v>
      </x:c>
      <x:c r="C37" t="str">
        <x:v>SMCI</x:v>
      </x:c>
      <x:c r="D37" t="n">
        <x:v>45016</x:v>
      </x:c>
      <x:c r="E37" t="n">
        <x:v>45019</x:v>
      </x:c>
      <x:c r="F37" t="n">
        <x:v>45138</x:v>
      </x:c>
      <x:c r="G37" t="n">
        <x:v>119</x:v>
      </x:c>
      <x:c r="H37" t="str">
        <x:v>enter_or_hold</x:v>
      </x:c>
      <x:c r="I37" t="str">
        <x:v>rebalance_trim</x:v>
      </x:c>
      <x:c r="J37" t="n">
        <x:v>4</x:v>
      </x:c>
      <x:c r="K37" t="n">
        <x:v>11.23252835931908</x:v>
      </x:c>
      <x:c r="L37" t="n">
        <x:v>33.027000427246094</x:v>
      </x:c>
      <x:c r="M37" t="n">
        <x:v>193.54997589447623</x:v>
      </x:c>
      <x:c r="N37" t="n">
        <x:v>530.0055915986245</x:v>
      </x:c>
    </x:row>
    <x:row r="38">
      <x:c r="A38" t="str">
        <x:v>EXP_051</x:v>
      </x:c>
      <x:c r="B38" t="str">
        <x:v>Top 15</x:v>
      </x:c>
      <x:c r="C38" t="str">
        <x:v>PLTR</x:v>
      </x:c>
      <x:c r="D38" t="n">
        <x:v>45534</x:v>
      </x:c>
      <x:c r="E38" t="n">
        <x:v>45538</x:v>
      </x:c>
      <x:c r="F38" t="n">
        <x:v>45719</x:v>
      </x:c>
      <x:c r="G38" t="n">
        <x:v>181</x:v>
      </x:c>
      <x:c r="H38" t="str">
        <x:v>enter_or_hold</x:v>
      </x:c>
      <x:c r="I38" t="str">
        <x:v>market_filter_failed</x:v>
      </x:c>
      <x:c r="J38" t="n">
        <x:v>2</x:v>
      </x:c>
      <x:c r="K38" t="n">
        <x:v>31.2188330034464</x:v>
      </x:c>
      <x:c r="L38" t="n">
        <x:v>83.41999816894531</x:v>
      </x:c>
      <x:c r="M38" t="n">
        <x:v>166.7304948949763</x:v>
      </x:c>
      <x:c r="N38" t="n">
        <x:v>8002.465066185748</x:v>
      </x:c>
    </x:row>
    <x:row r="39">
      <x:c r="A39" t="str">
        <x:v>EXP_051</x:v>
      </x:c>
      <x:c r="B39" t="str">
        <x:v>Top 15</x:v>
      </x:c>
      <x:c r="C39" t="str">
        <x:v>TSLA</x:v>
      </x:c>
      <x:c r="D39" t="n">
        <x:v>43945</x:v>
      </x:c>
      <x:c r="E39" t="n">
        <x:v>43948</x:v>
      </x:c>
      <x:c r="F39" t="n">
        <x:v>44102</x:v>
      </x:c>
      <x:c r="G39" t="n">
        <x:v>154</x:v>
      </x:c>
      <x:c r="H39" t="str">
        <x:v>enter_or_hold</x:v>
      </x:c>
      <x:c r="I39" t="str">
        <x:v>market_filter_failed</x:v>
      </x:c>
      <x:c r="J39" t="n">
        <x:v>2</x:v>
      </x:c>
      <x:c r="K39" t="n">
        <x:v>53.25</x:v>
      </x:c>
      <x:c r="L39" t="n">
        <x:v>140.39999389648438</x:v>
      </x:c>
      <x:c r="M39" t="n">
        <x:v>163.18196036898476</x:v>
      </x:c>
      <x:c r="N39" t="n">
        <x:v>1428.624270280637</x:v>
      </x:c>
    </x:row>
    <x:row r="40">
      <x:c r="A40" t="str">
        <x:v>EXP_051</x:v>
      </x:c>
      <x:c r="B40" t="str">
        <x:v>Top 15</x:v>
      </x:c>
      <x:c r="C40" t="str">
        <x:v>PLTR</x:v>
      </x:c>
      <x:c r="D40" t="n">
        <x:v>45534</x:v>
      </x:c>
      <x:c r="E40" t="n">
        <x:v>45538</x:v>
      </x:c>
      <x:c r="F40" t="n">
        <x:v>45656</x:v>
      </x:c>
      <x:c r="G40" t="n">
        <x:v>118</x:v>
      </x:c>
      <x:c r="H40" t="str">
        <x:v>enter_or_hold</x:v>
      </x:c>
      <x:c r="I40" t="str">
        <x:v>rebalance_trim</x:v>
      </x:c>
      <x:c r="J40" t="n">
        <x:v>4</x:v>
      </x:c>
      <x:c r="K40" t="n">
        <x:v>30.516726787849052</x:v>
      </x:c>
      <x:c r="L40" t="n">
        <x:v>77.18000030517578</x:v>
      </x:c>
      <x:c r="M40" t="n">
        <x:v>152.43048034649246</x:v>
      </x:c>
      <x:c r="N40" t="n">
        <x:v>1626.6969079733947</x:v>
      </x:c>
    </x:row>
    <x:row r="41">
      <x:c r="A41" t="str">
        <x:v>EXP_051</x:v>
      </x:c>
      <x:c r="B41" t="str">
        <x:v>Top 15</x:v>
      </x:c>
      <x:c r="C41" t="str">
        <x:v>LITE</x:v>
      </x:c>
      <x:c r="D41" t="n">
        <x:v>45898</x:v>
      </x:c>
      <x:c r="E41" t="n">
        <x:v>45902</x:v>
      </x:c>
      <x:c r="F41" t="n">
        <x:v>45992</x:v>
      </x:c>
      <x:c r="G41" t="n">
        <x:v>90</x:v>
      </x:c>
      <x:c r="H41" t="str">
        <x:v>enter_or_hold</x:v>
      </x:c>
      <x:c r="I41" t="str">
        <x:v>rebalance_trim</x:v>
      </x:c>
      <x:c r="J41" t="n">
        <x:v>5</x:v>
      </x:c>
      <x:c r="K41" t="n">
        <x:v>133.7878558479855</x:v>
      </x:c>
      <x:c r="L41" t="n">
        <x:v>317.92999267578125</x:v>
      </x:c>
      <x:c r="M41" t="n">
        <x:v>137.1574078653481</x:v>
      </x:c>
      <x:c r="N41" t="n">
        <x:v>4878.138258641619</x:v>
      </x:c>
    </x:row>
    <x:row r="42">
      <x:c r="A42" t="str">
        <x:v>EXP_051</x:v>
      </x:c>
      <x:c r="B42" t="str">
        <x:v>Top 15</x:v>
      </x:c>
      <x:c r="C42" t="str">
        <x:v>SMCI</x:v>
      </x:c>
      <x:c r="D42" t="n">
        <x:v>45016</x:v>
      </x:c>
      <x:c r="E42" t="n">
        <x:v>45019</x:v>
      </x:c>
      <x:c r="F42" t="n">
        <x:v>45166</x:v>
      </x:c>
      <x:c r="G42" t="n">
        <x:v>147</x:v>
      </x:c>
      <x:c r="H42" t="str">
        <x:v>enter_or_hold</x:v>
      </x:c>
      <x:c r="I42" t="str">
        <x:v>market_filter_failed</x:v>
      </x:c>
      <x:c r="J42" t="n">
        <x:v>4</x:v>
      </x:c>
      <x:c r="K42" t="n">
        <x:v>11.23252835931908</x:v>
      </x:c>
      <x:c r="L42" t="n">
        <x:v>25.516000747680664</x:v>
      </x:c>
      <x:c r="M42" t="n">
        <x:v>126.6816855212414</x:v>
      </x:c>
      <x:c r="N42" t="n">
        <x:v>2059.3242737714786</x:v>
      </x:c>
    </x:row>
    <x:row r="43">
      <x:c r="A43" t="str">
        <x:v>EXP_051</x:v>
      </x:c>
      <x:c r="B43" t="str">
        <x:v>Top 15</x:v>
      </x:c>
      <x:c r="C43" t="str">
        <x:v>SMCI</x:v>
      </x:c>
      <x:c r="D43" t="n">
        <x:v>45016</x:v>
      </x:c>
      <x:c r="E43" t="n">
        <x:v>45019</x:v>
      </x:c>
      <x:c r="F43" t="n">
        <x:v>45110</x:v>
      </x:c>
      <x:c r="G43" t="n">
        <x:v>91</x:v>
      </x:c>
      <x:c r="H43" t="str">
        <x:v>enter_or_hold</x:v>
      </x:c>
      <x:c r="I43" t="str">
        <x:v>rebalance_trim</x:v>
      </x:c>
      <x:c r="J43" t="n">
        <x:v>4</x:v>
      </x:c>
      <x:c r="K43" t="n">
        <x:v>11.23252835931908</x:v>
      </x:c>
      <x:c r="L43" t="n">
        <x:v>24.920000076293945</x:v>
      </x:c>
      <x:c r="M43" t="n">
        <x:v>121.3756613357583</x:v>
      </x:c>
      <x:c r="N43" t="n">
        <x:v>19.03796476027128</x:v>
      </x:c>
    </x:row>
    <x:row r="44">
      <x:c r="A44" t="str">
        <x:v>EXP_051</x:v>
      </x:c>
      <x:c r="B44" t="str">
        <x:v>Top 15</x:v>
      </x:c>
      <x:c r="C44" t="str">
        <x:v>PLTR</x:v>
      </x:c>
      <x:c r="D44" t="n">
        <x:v>45534</x:v>
      </x:c>
      <x:c r="E44" t="n">
        <x:v>45538</x:v>
      </x:c>
      <x:c r="F44" t="n">
        <x:v>45628</x:v>
      </x:c>
      <x:c r="G44" t="n">
        <x:v>90</x:v>
      </x:c>
      <x:c r="H44" t="str">
        <x:v>enter_or_hold</x:v>
      </x:c>
      <x:c r="I44" t="str">
        <x:v>rebalance_trim</x:v>
      </x:c>
      <x:c r="J44" t="n">
        <x:v>4</x:v>
      </x:c>
      <x:c r="K44" t="n">
        <x:v>30.516726787849052</x:v>
      </x:c>
      <x:c r="L44" t="n">
        <x:v>66.38999938964844</x:v>
      </x:c>
      <x:c r="M44" t="n">
        <x:v>117.07281898739929</x:v>
      </x:c>
      <x:c r="N44" t="n">
        <x:v>290.4877818425271</x:v>
      </x:c>
    </x:row>
    <x:row r="45">
      <x:c r="A45" t="str">
        <x:v>EXP_051</x:v>
      </x:c>
      <x:c r="B45" t="str">
        <x:v>Top 15</x:v>
      </x:c>
      <x:c r="C45" t="str">
        <x:v>MRNA</x:v>
      </x:c>
      <x:c r="D45" t="n">
        <x:v>44316</x:v>
      </x:c>
      <x:c r="E45" t="n">
        <x:v>44319</x:v>
      </x:c>
      <x:c r="F45" t="n">
        <x:v>44466</x:v>
      </x:c>
      <x:c r="G45" t="n">
        <x:v>147</x:v>
      </x:c>
      <x:c r="H45" t="str">
        <x:v>enter_or_hold</x:v>
      </x:c>
      <x:c r="I45" t="str">
        <x:v>rebalance_trim</x:v>
      </x:c>
      <x:c r="J45" t="n">
        <x:v>1</x:v>
      </x:c>
      <x:c r="K45" t="n">
        <x:v>194.8457735746011</x:v>
      </x:c>
      <x:c r="L45" t="n">
        <x:v>408.8399963378906</x:v>
      </x:c>
      <x:c r="M45" t="n">
        <x:v>109.34749014125113</x:v>
      </x:c>
      <x:c r="N45" t="n">
        <x:v>163.4042312378671</x:v>
      </x:c>
    </x:row>
    <x:row r="46">
      <x:c r="A46" t="str">
        <x:v>EXP_051</x:v>
      </x:c>
      <x:c r="B46" t="str">
        <x:v>Top 15</x:v>
      </x:c>
      <x:c r="C46" t="str">
        <x:v>SMCI</x:v>
      </x:c>
      <x:c r="D46" t="n">
        <x:v>45317</x:v>
      </x:c>
      <x:c r="E46" t="n">
        <x:v>45320</x:v>
      </x:c>
      <x:c r="F46" t="n">
        <x:v>45383</x:v>
      </x:c>
      <x:c r="G46" t="n">
        <x:v>63</x:v>
      </x:c>
      <x:c r="H46" t="str">
        <x:v>enter_or_hold</x:v>
      </x:c>
      <x:c r="I46" t="str">
        <x:v>rebalance_trim</x:v>
      </x:c>
      <x:c r="J46" t="n">
        <x:v>1</x:v>
      </x:c>
      <x:c r="K46" t="n">
        <x:v>49.56700134277344</x:v>
      </x:c>
      <x:c r="L46" t="n">
        <x:v>103.71499633789062</x:v>
      </x:c>
      <x:c r="M46" t="n">
        <x:v>108.76202297545608</x:v>
      </x:c>
      <x:c r="N46" t="n">
        <x:v>50.08003527071376</x:v>
      </x:c>
    </x:row>
    <x:row r="47">
      <x:c r="A47" t="str">
        <x:v>EXP_051</x:v>
      </x:c>
      <x:c r="B47" t="str">
        <x:v>Bottom 15</x:v>
      </x:c>
      <x:c r="C47" t="str">
        <x:v>PSKY</x:v>
      </x:c>
      <x:c r="D47" t="n">
        <x:v>44253</x:v>
      </x:c>
      <x:c r="E47" t="n">
        <x:v>44256</x:v>
      </x:c>
      <x:c r="F47" t="n">
        <x:v>44284</x:v>
      </x:c>
      <x:c r="G47" t="n">
        <x:v>28</x:v>
      </x:c>
      <x:c r="H47" t="str">
        <x:v>enter_or_hold</x:v>
      </x:c>
      <x:c r="I47" t="str">
        <x:v>left_top_n</x:v>
      </x:c>
      <x:c r="J47" t="n">
        <x:v>1</x:v>
      </x:c>
      <x:c r="K47" t="n">
        <x:v>67.12999725341797</x:v>
      </x:c>
      <x:c r="L47" t="n">
        <x:v>45.0099983215332</x:v>
      </x:c>
      <x:c r="M47" t="n">
        <x:v>-33.43099037227877</x:v>
      </x:c>
      <x:c r="N47" t="n">
        <x:v>-1003.7052832055754</x:v>
      </x:c>
    </x:row>
    <x:row r="48">
      <x:c r="A48" t="str">
        <x:v>EXP_051</x:v>
      </x:c>
      <x:c r="B48" t="str">
        <x:v>Bottom 15</x:v>
      </x:c>
      <x:c r="C48" t="str">
        <x:v>TSLA</x:v>
      </x:c>
      <x:c r="D48" t="n">
        <x:v>45653</x:v>
      </x:c>
      <x:c r="E48" t="n">
        <x:v>45656</x:v>
      </x:c>
      <x:c r="F48" t="n">
        <x:v>45719</x:v>
      </x:c>
      <x:c r="G48" t="n">
        <x:v>63</x:v>
      </x:c>
      <x:c r="H48" t="str">
        <x:v>enter_or_hold</x:v>
      </x:c>
      <x:c r="I48" t="str">
        <x:v>market_filter_failed</x:v>
      </x:c>
      <x:c r="J48" t="n">
        <x:v>6</x:v>
      </x:c>
      <x:c r="K48" t="n">
        <x:v>411.8099239350638</x:v>
      </x:c>
      <x:c r="L48" t="n">
        <x:v>284.6499938964844</x:v>
      </x:c>
      <x:c r="M48" t="n">
        <x:v>-31.358306385503873</x:v>
      </x:c>
      <x:c r="N48" t="n">
        <x:v>-4331.715634178614</x:v>
      </x:c>
    </x:row>
    <x:row r="49">
      <x:c r="A49" t="str">
        <x:v>EXP_051</x:v>
      </x:c>
      <x:c r="B49" t="str">
        <x:v>Bottom 15</x:v>
      </x:c>
      <x:c r="C49" t="str">
        <x:v>WBD</x:v>
      </x:c>
      <x:c r="D49" t="n">
        <x:v>44253</x:v>
      </x:c>
      <x:c r="E49" t="n">
        <x:v>44256</x:v>
      </x:c>
      <x:c r="F49" t="n">
        <x:v>44284</x:v>
      </x:c>
      <x:c r="G49" t="n">
        <x:v>28</x:v>
      </x:c>
      <x:c r="H49" t="str">
        <x:v>enter_or_hold</x:v>
      </x:c>
      <x:c r="I49" t="str">
        <x:v>left_top_n</x:v>
      </x:c>
      <x:c r="J49" t="n">
        <x:v>2</x:v>
      </x:c>
      <x:c r="K49" t="n">
        <x:v>58.18000030517578</x:v>
      </x:c>
      <x:c r="L49" t="n">
        <x:v>41.22999954223633</x:v>
      </x:c>
      <x:c r="M49" t="n">
        <x:v>-29.61372408736745</x:v>
      </x:c>
      <x:c r="N49" t="n">
        <x:v>-889.1026957528062</x:v>
      </x:c>
    </x:row>
    <x:row r="50">
      <x:c r="A50" t="str">
        <x:v>EXP_051</x:v>
      </x:c>
      <x:c r="B50" t="str">
        <x:v>Bottom 15</x:v>
      </x:c>
      <x:c r="C50" t="str">
        <x:v>COIN</x:v>
      </x:c>
      <x:c r="D50" t="n">
        <x:v>45499</x:v>
      </x:c>
      <x:c r="E50" t="n">
        <x:v>45502</x:v>
      </x:c>
      <x:c r="F50" t="n">
        <x:v>45538</x:v>
      </x:c>
      <x:c r="G50" t="n">
        <x:v>36</x:v>
      </x:c>
      <x:c r="H50" t="str">
        <x:v>enter_or_hold</x:v>
      </x:c>
      <x:c r="I50" t="str">
        <x:v>left_top_n</x:v>
      </x:c>
      <x:c r="J50" t="n">
        <x:v>3</x:v>
      </x:c>
      <x:c r="K50" t="n">
        <x:v>234.1999969482422</x:v>
      </x:c>
      <x:c r="L50" t="n">
        <x:v>169.1300048828125</x:v>
      </x:c>
      <x:c r="M50" t="n">
        <x:v>-28.263942319952317</x:v>
      </x:c>
      <x:c r="N50" t="n">
        <x:v>-1855.3666126970923</x:v>
      </x:c>
    </x:row>
    <x:row r="51">
      <x:c r="A51" t="str">
        <x:v>EXP_051</x:v>
      </x:c>
      <x:c r="B51" t="str">
        <x:v>Bottom 15</x:v>
      </x:c>
      <x:c r="C51" t="str">
        <x:v>MRNA</x:v>
      </x:c>
      <x:c r="D51" t="n">
        <x:v>44253</x:v>
      </x:c>
      <x:c r="E51" t="n">
        <x:v>44256</x:v>
      </x:c>
      <x:c r="F51" t="n">
        <x:v>44284</x:v>
      </x:c>
      <x:c r="G51" t="n">
        <x:v>28</x:v>
      </x:c>
      <x:c r="H51" t="str">
        <x:v>enter_or_hold</x:v>
      </x:c>
      <x:c r="I51" t="str">
        <x:v>left_top_n</x:v>
      </x:c>
      <x:c r="J51" t="n">
        <x:v>5</x:v>
      </x:c>
      <x:c r="K51" t="n">
        <x:v>157.39999389648438</x:v>
      </x:c>
      <x:c r="L51" t="n">
        <x:v>123.41999816894533</x:v>
      </x:c>
      <x:c r="M51" t="n">
        <x:v>-22.068308160854386</x:v>
      </x:c>
      <x:c r="N51" t="n">
        <x:v>-662.57299516478</x:v>
      </x:c>
    </x:row>
    <x:row r="52">
      <x:c r="A52" t="str">
        <x:v>EXP_051</x:v>
      </x:c>
      <x:c r="B52" t="str">
        <x:v>Bottom 15</x:v>
      </x:c>
      <x:c r="C52" t="str">
        <x:v>OXY</x:v>
      </x:c>
      <x:c r="D52" t="n">
        <x:v>44372</x:v>
      </x:c>
      <x:c r="E52" t="n">
        <x:v>44375</x:v>
      </x:c>
      <x:c r="F52" t="n">
        <x:v>44410</x:v>
      </x:c>
      <x:c r="G52" t="n">
        <x:v>35</x:v>
      </x:c>
      <x:c r="H52" t="str">
        <x:v>enter_or_hold</x:v>
      </x:c>
      <x:c r="I52" t="str">
        <x:v>left_top_n</x:v>
      </x:c>
      <x:c r="J52" t="n">
        <x:v>5</x:v>
      </x:c>
      <x:c r="K52" t="n">
        <x:v>31.239999771118164</x:v>
      </x:c>
      <x:c r="L52" t="n">
        <x:v>25.790000915527344</x:v>
      </x:c>
      <x:c r="M52" t="n">
        <x:v>-17.925579050962167</x:v>
      </x:c>
      <x:c r="N52" t="n">
        <x:v>-510.0233242876714</x:v>
      </x:c>
    </x:row>
    <x:row r="53">
      <x:c r="A53" t="str">
        <x:v>EXP_051</x:v>
      </x:c>
      <x:c r="B53" t="str">
        <x:v>Bottom 15</x:v>
      </x:c>
      <x:c r="C53" t="str">
        <x:v>CCL</x:v>
      </x:c>
      <x:c r="D53" t="n">
        <x:v>45107</x:v>
      </x:c>
      <x:c r="E53" t="n">
        <x:v>45110</x:v>
      </x:c>
      <x:c r="F53" t="n">
        <x:v>45166</x:v>
      </x:c>
      <x:c r="G53" t="n">
        <x:v>56</x:v>
      </x:c>
      <x:c r="H53" t="str">
        <x:v>enter_or_hold</x:v>
      </x:c>
      <x:c r="I53" t="str">
        <x:v>market_filter_failed</x:v>
      </x:c>
      <x:c r="J53" t="n">
        <x:v>6</x:v>
      </x:c>
      <x:c r="K53" t="n">
        <x:v>18.94490893449822</x:v>
      </x:c>
      <x:c r="L53" t="n">
        <x:v>15.710000038146973</x:v>
      </x:c>
      <x:c r="M53" t="n">
        <x:v>-17.555346772771006</x:v>
      </x:c>
      <x:c r="N53" t="n">
        <x:v>-843.4662094901238</x:v>
      </x:c>
    </x:row>
    <x:row r="54">
      <x:c r="A54" t="str">
        <x:v>EXP_051</x:v>
      </x:c>
      <x:c r="B54" t="str">
        <x:v>Bottom 15</x:v>
      </x:c>
      <x:c r="C54" t="str">
        <x:v>FANG</x:v>
      </x:c>
      <x:c r="D54" t="n">
        <x:v>44372</x:v>
      </x:c>
      <x:c r="E54" t="n">
        <x:v>44375</x:v>
      </x:c>
      <x:c r="F54" t="n">
        <x:v>44410</x:v>
      </x:c>
      <x:c r="G54" t="n">
        <x:v>35</x:v>
      </x:c>
      <x:c r="H54" t="str">
        <x:v>enter_or_hold</x:v>
      </x:c>
      <x:c r="I54" t="str">
        <x:v>left_top_n</x:v>
      </x:c>
      <x:c r="J54" t="n">
        <x:v>3</x:v>
      </x:c>
      <x:c r="K54" t="n">
        <x:v>92.47000122070312</x:v>
      </x:c>
      <x:c r="L54" t="n">
        <x:v>76.75</x:v>
      </x:c>
      <x:c r="M54" t="n">
        <x:v>-17.4801092388691</x:v>
      </x:c>
      <x:c r="N54" t="n">
        <x:v>-497.34951562379507</x:v>
      </x:c>
    </x:row>
    <x:row r="55">
      <x:c r="A55" t="str">
        <x:v>EXP_051</x:v>
      </x:c>
      <x:c r="B55" t="str">
        <x:v>Bottom 15</x:v>
      </x:c>
      <x:c r="C55" t="str">
        <x:v>ON</x:v>
      </x:c>
      <x:c r="D55" t="n">
        <x:v>44561</x:v>
      </x:c>
      <x:c r="E55" t="n">
        <x:v>44564</x:v>
      </x:c>
      <x:c r="F55" t="n">
        <x:v>44592</x:v>
      </x:c>
      <x:c r="G55" t="n">
        <x:v>28</x:v>
      </x:c>
      <x:c r="H55" t="str">
        <x:v>enter_or_hold</x:v>
      </x:c>
      <x:c r="I55" t="str">
        <x:v>market_filter_failed</x:v>
      </x:c>
      <x:c r="J55" t="n">
        <x:v>2</x:v>
      </x:c>
      <x:c r="K55" t="n">
        <x:v>70.16999816894531</x:v>
      </x:c>
      <x:c r="L55" t="n">
        <x:v>59</x:v>
      </x:c>
      <x:c r="M55" t="n">
        <x:v>-16.398481488415868</x:v>
      </x:c>
      <x:c r="N55" t="n">
        <x:v>-601.3396039474574</x:v>
      </x:c>
    </x:row>
    <x:row r="56">
      <x:c r="A56" t="str">
        <x:v>EXP_051</x:v>
      </x:c>
      <x:c r="B56" t="str">
        <x:v>Bottom 15</x:v>
      </x:c>
      <x:c r="C56" t="str">
        <x:v>DELL</x:v>
      </x:c>
      <x:c r="D56" t="n">
        <x:v>45443</x:v>
      </x:c>
      <x:c r="E56" t="n">
        <x:v>45446</x:v>
      </x:c>
      <x:c r="F56" t="n">
        <x:v>45502</x:v>
      </x:c>
      <x:c r="G56" t="n">
        <x:v>56</x:v>
      </x:c>
      <x:c r="H56" t="str">
        <x:v>enter_or_hold</x:v>
      </x:c>
      <x:c r="I56" t="str">
        <x:v>left_top_n</x:v>
      </x:c>
      <x:c r="J56" t="n">
        <x:v>6</x:v>
      </x:c>
      <x:c r="K56" t="n">
        <x:v>132.04195721510914</x:v>
      </x:c>
      <x:c r="L56" t="n">
        <x:v>111.1999969482422</x:v>
      </x:c>
      <x:c r="M56" t="n">
        <x:v>-16.264346662563753</x:v>
      </x:c>
      <x:c r="N56" t="n">
        <x:v>-1101.8844445088073</x:v>
      </x:c>
    </x:row>
    <x:row r="57">
      <x:c r="A57" t="str">
        <x:v>EXP_051</x:v>
      </x:c>
      <x:c r="B57" t="str">
        <x:v>Bottom 15</x:v>
      </x:c>
      <x:c r="C57" t="str">
        <x:v>DVN</x:v>
      </x:c>
      <x:c r="D57" t="n">
        <x:v>44344</x:v>
      </x:c>
      <x:c r="E57" t="n">
        <x:v>44348</x:v>
      </x:c>
      <x:c r="F57" t="n">
        <x:v>44410</x:v>
      </x:c>
      <x:c r="G57" t="n">
        <x:v>62</x:v>
      </x:c>
      <x:c r="H57" t="str">
        <x:v>enter_or_hold</x:v>
      </x:c>
      <x:c r="I57" t="str">
        <x:v>left_top_n</x:v>
      </x:c>
      <x:c r="J57" t="n">
        <x:v>2</x:v>
      </x:c>
      <x:c r="K57" t="n">
        <x:v>30.147673907717397</x:v>
      </x:c>
      <x:c r="L57" t="n">
        <x:v>25.489999771118164</x:v>
      </x:c>
      <x:c r="M57" t="n">
        <x:v>-15.92953070295394</x:v>
      </x:c>
      <x:c r="N57" t="n">
        <x:v>-482.11661407114246</x:v>
      </x:c>
    </x:row>
    <x:row r="58">
      <x:c r="A58" t="str">
        <x:v>EXP_051</x:v>
      </x:c>
      <x:c r="B58" t="str">
        <x:v>Bottom 15</x:v>
      </x:c>
      <x:c r="C58" t="str">
        <x:v>LVS</x:v>
      </x:c>
      <x:c r="D58" t="n">
        <x:v>45044</x:v>
      </x:c>
      <x:c r="E58" t="n">
        <x:v>45047</x:v>
      </x:c>
      <x:c r="F58" t="n">
        <x:v>45076</x:v>
      </x:c>
      <x:c r="G58" t="n">
        <x:v>29</x:v>
      </x:c>
      <x:c r="H58" t="str">
        <x:v>enter_or_hold</x:v>
      </x:c>
      <x:c r="I58" t="str">
        <x:v>left_top_n</x:v>
      </x:c>
      <x:c r="J58" t="n">
        <x:v>6</x:v>
      </x:c>
      <x:c r="K58" t="n">
        <x:v>64.86000061035156</x:v>
      </x:c>
      <x:c r="L58" t="n">
        <x:v>55.02999877929688</x:v>
      </x:c>
      <x:c r="M58" t="n">
        <x:v>-15.635722692802176</x:v>
      </x:c>
      <x:c r="N58" t="n">
        <x:v>-494.5085816459669</x:v>
      </x:c>
    </x:row>
    <x:row r="59">
      <x:c r="A59" t="str">
        <x:v>EXP_051</x:v>
      </x:c>
      <x:c r="B59" t="str">
        <x:v>Bottom 15</x:v>
      </x:c>
      <x:c r="C59" t="str">
        <x:v>NUE</x:v>
      </x:c>
      <x:c r="D59" t="n">
        <x:v>44344</x:v>
      </x:c>
      <x:c r="E59" t="n">
        <x:v>44348</x:v>
      </x:c>
      <x:c r="F59" t="n">
        <x:v>44375</x:v>
      </x:c>
      <x:c r="G59" t="n">
        <x:v>27</x:v>
      </x:c>
      <x:c r="H59" t="str">
        <x:v>enter_or_hold</x:v>
      </x:c>
      <x:c r="I59" t="str">
        <x:v>left_top_n</x:v>
      </x:c>
      <x:c r="J59" t="n">
        <x:v>1</x:v>
      </x:c>
      <x:c r="K59" t="n">
        <x:v>110.73999786376952</x:v>
      </x:c>
      <x:c r="L59" t="n">
        <x:v>95.11000061035156</x:v>
      </x:c>
      <x:c r="M59" t="n">
        <x:v>-14.594139023775053</x:v>
      </x:c>
      <x:c r="N59" t="n">
        <x:v>-429.5351270799297</x:v>
      </x:c>
    </x:row>
    <x:row r="60">
      <x:c r="A60" t="str">
        <x:v>EXP_051</x:v>
      </x:c>
      <x:c r="B60" t="str">
        <x:v>Bottom 15</x:v>
      </x:c>
      <x:c r="C60" t="str">
        <x:v>SMCI</x:v>
      </x:c>
      <x:c r="D60" t="n">
        <x:v>45471</x:v>
      </x:c>
      <x:c r="E60" t="n">
        <x:v>45474</x:v>
      </x:c>
      <x:c r="F60" t="n">
        <x:v>45502</x:v>
      </x:c>
      <x:c r="G60" t="n">
        <x:v>28</x:v>
      </x:c>
      <x:c r="H60" t="str">
        <x:v>enter_or_hold</x:v>
      </x:c>
      <x:c r="I60" t="str">
        <x:v>left_top_n</x:v>
      </x:c>
      <x:c r="J60" t="n">
        <x:v>5</x:v>
      </x:c>
      <x:c r="K60" t="n">
        <x:v>81.23200225830078</x:v>
      </x:c>
      <x:c r="L60" t="n">
        <x:v>69.77300262451172</x:v>
      </x:c>
      <x:c r="M60" t="n">
        <x:v>-14.586508906861415</x:v>
      </x:c>
      <x:c r="N60" t="n">
        <x:v>-1066.265764504942</x:v>
      </x:c>
    </x:row>
    <x:row r="61">
      <x:c r="A61" t="str">
        <x:v>EXP_051</x:v>
      </x:c>
      <x:c r="B61" t="str">
        <x:v>Bottom 15</x:v>
      </x:c>
      <x:c r="C61" t="str">
        <x:v>COIN</x:v>
      </x:c>
      <x:c r="D61" t="n">
        <x:v>45835</x:v>
      </x:c>
      <x:c r="E61" t="n">
        <x:v>45838</x:v>
      </x:c>
      <x:c r="F61" t="n">
        <x:v>45902</x:v>
      </x:c>
      <x:c r="G61" t="n">
        <x:v>64</x:v>
      </x:c>
      <x:c r="H61" t="str">
        <x:v>enter_or_hold</x:v>
      </x:c>
      <x:c r="I61" t="str">
        <x:v>left_top_n</x:v>
      </x:c>
      <x:c r="J61" t="n">
        <x:v>5</x:v>
      </x:c>
      <x:c r="K61" t="n">
        <x:v>350.489990234375</x:v>
      </x:c>
      <x:c r="L61" t="n">
        <x:v>303.5599975585937</x:v>
      </x:c>
      <x:c r="M61" t="n">
        <x:v>-13.869823955999115</x:v>
      </x:c>
      <x:c r="N61" t="n">
        <x:v>-1620.3406288651593</x:v>
      </x:c>
    </x:row>
  </x:sheetData>
  <x:pageMargins left="0.7" right="0.7" top="0.75" bottom="0.75" header="0.3" footer="0.3"/>
  <x:tableParts count="1">
    <x:tablePart xmlns:r="http://schemas.openxmlformats.org/officeDocument/2006/relationships" r:id="Refbcdd7da1be41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8.079999923706055" hidden="0" customWidth="1"/>
    <x:col min="3" max="3" width="17.770000457763672" hidden="0" customWidth="1"/>
    <x:col min="4" max="4" width="14" hidden="0" customWidth="1"/>
    <x:col min="5" max="5" width="16.420000076293945" hidden="0" customWidth="1"/>
    <x:col min="6" max="6" width="8.34000015258789" hidden="0" customWidth="1"/>
  </x:cols>
  <x:sheetData>
    <x:row r="1">
      <x:c r="A1" s="16" t="str">
        <x:v>run_id</x:v>
      </x:c>
      <x:c r="B1" s="16" t="str">
        <x:v>month</x:v>
      </x:c>
      <x:c r="C1" s="42" t="str">
        <x:v>strategy_return_%</x:v>
      </x:c>
      <x:c r="D1" s="42" t="str">
        <x:v>spy_return_%</x:v>
      </x:c>
      <x:c r="E1" s="42" t="str">
        <x:v>excess_return_%</x:v>
      </x:c>
      <x:c r="F1" s="16" t="str">
        <x:v>winner</x:v>
      </x:c>
    </x:row>
    <x:row r="2">
      <x:c r="A2" t="str">
        <x:v>EXP_044</x:v>
      </x:c>
      <x:c r="B2" t="str">
        <x:v>1</x:v>
      </x:c>
      <x:c r="C2" t="n">
        <x:v>0</x:v>
      </x:c>
      <x:c r="D2" t="n">
        <x:v>-0.966535592099449</x:v>
      </x:c>
      <x:c r="E2" t="n">
        <x:v>0.966535592099449</x:v>
      </x:c>
      <x:c r="F2" t="str">
        <x:v>strategy</x:v>
      </x:c>
    </x:row>
    <x:row r="3">
      <x:c r="A3" t="str">
        <x:v>EXP_044</x:v>
      </x:c>
      <x:c r="B3" t="str">
        <x:v>2</x:v>
      </x:c>
      <x:c r="C3" t="n">
        <x:v>-2.9828693450069443</x:v>
      </x:c>
      <x:c r="D3" t="n">
        <x:v>-8.595577493295192</x:v>
      </x:c>
      <x:c r="E3" t="n">
        <x:v>5.612708148288247</x:v>
      </x:c>
      <x:c r="F3" t="str">
        <x:v>strategy</x:v>
      </x:c>
    </x:row>
    <x:row r="4">
      <x:c r="A4" t="str">
        <x:v>EXP_044</x:v>
      </x:c>
      <x:c r="B4" t="str">
        <x:v>3</x:v>
      </x:c>
      <x:c r="C4" t="n">
        <x:v>0</x:v>
      </x:c>
      <x:c r="D4" t="n">
        <x:v>-16.610047865077725</x:v>
      </x:c>
      <x:c r="E4" t="n">
        <x:v>16.610047865077725</x:v>
      </x:c>
      <x:c r="F4" t="str">
        <x:v>strategy</x:v>
      </x:c>
    </x:row>
    <x:row r="5">
      <x:c r="A5" t="str">
        <x:v>EXP_044</x:v>
      </x:c>
      <x:c r="B5" t="str">
        <x:v>4</x:v>
      </x:c>
      <x:c r="C5" t="n">
        <x:v>-3.9910830889241744</x:v>
      </x:c>
      <x:c r="D5" t="n">
        <x:v>18.009351285414276</x:v>
      </x:c>
      <x:c r="E5" t="n">
        <x:v>-22.00043437433845</x:v>
      </x:c>
      <x:c r="F5" t="str">
        <x:v>spy</x:v>
      </x:c>
    </x:row>
    <x:row r="6">
      <x:c r="A6" t="str">
        <x:v>EXP_044</x:v>
      </x:c>
      <x:c r="B6" t="str">
        <x:v>5</x:v>
      </x:c>
      <x:c r="C6" t="n">
        <x:v>13.099152078078834</x:v>
      </x:c>
      <x:c r="D6" t="n">
        <x:v>7.613422726664942</x:v>
      </x:c>
      <x:c r="E6" t="n">
        <x:v>5.485729351413892</x:v>
      </x:c>
      <x:c r="F6" t="str">
        <x:v>strategy</x:v>
      </x:c>
    </x:row>
    <x:row r="7">
      <x:c r="A7" t="str">
        <x:v>EXP_044</x:v>
      </x:c>
      <x:c r="B7" t="str">
        <x:v>6</x:v>
      </x:c>
      <x:c r="C7" t="n">
        <x:v>5.594608355154462</x:v>
      </x:c>
      <x:c r="D7" t="n">
        <x:v>0.9196523223223618</x:v>
      </x:c>
      <x:c r="E7" t="n">
        <x:v>4.6749560328321005</x:v>
      </x:c>
      <x:c r="F7" t="str">
        <x:v>strategy</x:v>
      </x:c>
    </x:row>
    <x:row r="8">
      <x:c r="A8" t="str">
        <x:v>EXP_044</x:v>
      </x:c>
      <x:c r="B8" t="str">
        <x:v>7</x:v>
      </x:c>
      <x:c r="C8" t="n">
        <x:v>13.051861872584114</x:v>
      </x:c>
      <x:c r="D8" t="n">
        <x:v>5.152647354787687</x:v>
      </x:c>
      <x:c r="E8" t="n">
        <x:v>7.899214517796427</x:v>
      </x:c>
      <x:c r="F8" t="str">
        <x:v>strategy</x:v>
      </x:c>
    </x:row>
    <x:row r="9">
      <x:c r="A9" t="str">
        <x:v>EXP_044</x:v>
      </x:c>
      <x:c r="B9" t="str">
        <x:v>8</x:v>
      </x:c>
      <x:c r="C9" t="n">
        <x:v>20.26628689018153</x:v>
      </x:c>
      <x:c r="D9" t="n">
        <x:v>6.2410622222019985</x:v>
      </x:c>
      <x:c r="E9" t="n">
        <x:v>14.025224667979531</x:v>
      </x:c>
      <x:c r="F9" t="str">
        <x:v>strategy</x:v>
      </x:c>
    </x:row>
    <x:row r="10">
      <x:c r="A10" t="str">
        <x:v>EXP_044</x:v>
      </x:c>
      <x:c r="B10" t="str">
        <x:v>9</x:v>
      </x:c>
      <x:c r="C10" t="n">
        <x:v>-2.7203965604073566</x:v>
      </x:c>
      <x:c r="D10" t="n">
        <x:v>-5.022686088632334</x:v>
      </x:c>
      <x:c r="E10" t="n">
        <x:v>2.302289528224977</x:v>
      </x:c>
      <x:c r="F10" t="str">
        <x:v>strategy</x:v>
      </x:c>
    </x:row>
    <x:row r="11">
      <x:c r="A11" t="str">
        <x:v>EXP_044</x:v>
      </x:c>
      <x:c r="B11" t="str">
        <x:v>10</x:v>
      </x:c>
      <x:c r="C11" t="n">
        <x:v>0</x:v>
      </x:c>
      <x:c r="D11" t="n">
        <x:v>-3.1153571486456144</x:v>
      </x:c>
      <x:c r="E11" t="n">
        <x:v>3.1153571486456144</x:v>
      </x:c>
      <x:c r="F11" t="str">
        <x:v>strategy</x:v>
      </x:c>
    </x:row>
    <x:row r="12">
      <x:c r="A12" t="str">
        <x:v>EXP_044</x:v>
      </x:c>
      <x:c r="B12" t="str">
        <x:v>11</x:v>
      </x:c>
      <x:c r="C12" t="n">
        <x:v>-0.239425379090219</x:v>
      </x:c>
      <x:c r="D12" t="n">
        <x:v>9.64869296600348</x:v>
      </x:c>
      <x:c r="E12" t="n">
        <x:v>-9.8881183450937</x:v>
      </x:c>
      <x:c r="F12" t="str">
        <x:v>spy</x:v>
      </x:c>
    </x:row>
    <x:row r="13">
      <x:c r="A13" t="str">
        <x:v>EXP_044</x:v>
      </x:c>
      <x:c r="B13" t="str">
        <x:v>12</x:v>
      </x:c>
      <x:c r="C13" t="n">
        <x:v>-0.5561722050727802</x:v>
      </x:c>
      <x:c r="D13" t="n">
        <x:v>2.147428038102883</x:v>
      </x:c>
      <x:c r="E13" t="n">
        <x:v>-2.7036002431756634</x:v>
      </x:c>
      <x:c r="F13" t="str">
        <x:v>spy</x:v>
      </x:c>
    </x:row>
    <x:row r="14">
      <x:c r="A14" t="str">
        <x:v>EXP_044</x:v>
      </x:c>
      <x:c r="B14" t="str">
        <x:v>1</x:v>
      </x:c>
      <x:c r="C14" t="n">
        <x:v>11.620692057880788</x:v>
      </x:c>
      <x:c r="D14" t="n">
        <x:v>0.34708065555983936</x:v>
      </x:c>
      <x:c r="E14" t="n">
        <x:v>11.273611402320949</x:v>
      </x:c>
      <x:c r="F14" t="str">
        <x:v>strategy</x:v>
      </x:c>
    </x:row>
    <x:row r="15">
      <x:c r="A15" t="str">
        <x:v>EXP_044</x:v>
      </x:c>
      <x:c r="B15" t="str">
        <x:v>2</x:v>
      </x:c>
      <x:c r="C15" t="n">
        <x:v>0</x:v>
      </x:c>
      <x:c r="D15" t="n">
        <x:v>1.0977259242044957</x:v>
      </x:c>
      <x:c r="E15" t="n">
        <x:v>-1.0977259242044957</x:v>
      </x:c>
      <x:c r="F15" t="str">
        <x:v>spy</x:v>
      </x:c>
    </x:row>
    <x:row r="16">
      <x:c r="A16" t="str">
        <x:v>EXP_044</x:v>
      </x:c>
      <x:c r="B16" t="str">
        <x:v>3</x:v>
      </x:c>
      <x:c r="C16" t="n">
        <x:v>-9.876989204486353</x:v>
      </x:c>
      <x:c r="D16" t="n">
        <x:v>1.7326352052604355</x:v>
      </x:c>
      <x:c r="E16" t="n">
        <x:v>-11.60962440974679</x:v>
      </x:c>
      <x:c r="F16" t="str">
        <x:v>spy</x:v>
      </x:c>
    </x:row>
    <x:row r="17">
      <x:c r="A17" t="str">
        <x:v>EXP_044</x:v>
      </x:c>
      <x:c r="B17" t="str">
        <x:v>4</x:v>
      </x:c>
      <x:c r="C17" t="n">
        <x:v>0.4632163240795295</x:v>
      </x:c>
      <x:c r="D17" t="n">
        <x:v>4.166147388153507</x:v>
      </x:c>
      <x:c r="E17" t="n">
        <x:v>-3.7029310640739777</x:v>
      </x:c>
      <x:c r="F17" t="str">
        <x:v>spy</x:v>
      </x:c>
    </x:row>
    <x:row r="18">
      <x:c r="A18" t="str">
        <x:v>EXP_044</x:v>
      </x:c>
      <x:c r="B18" t="str">
        <x:v>5</x:v>
      </x:c>
      <x:c r="C18" t="n">
        <x:v>2.4329137600765938</x:v>
      </x:c>
      <x:c r="D18" t="n">
        <x:v>0.43997998187041976</x:v>
      </x:c>
      <x:c r="E18" t="n">
        <x:v>1.992933778206174</x:v>
      </x:c>
      <x:c r="F18" t="str">
        <x:v>strategy</x:v>
      </x:c>
    </x:row>
    <x:row r="19">
      <x:c r="A19" t="str">
        <x:v>EXP_044</x:v>
      </x:c>
      <x:c r="B19" t="str">
        <x:v>6</x:v>
      </x:c>
      <x:c r="C19" t="n">
        <x:v>-1.062791941988095</x:v>
      </x:c>
      <x:c r="D19" t="n">
        <x:v>1.9991859943321977</x:v>
      </x:c>
      <x:c r="E19" t="n">
        <x:v>-3.0619779363202926</x:v>
      </x:c>
      <x:c r="F19" t="str">
        <x:v>spy</x:v>
      </x:c>
    </x:row>
    <x:row r="20">
      <x:c r="A20" t="str">
        <x:v>EXP_044</x:v>
      </x:c>
      <x:c r="B20" t="str">
        <x:v>7</x:v>
      </x:c>
      <x:c r="C20" t="n">
        <x:v>-2.1746583563446387</x:v>
      </x:c>
      <x:c r="D20" t="n">
        <x:v>1.8771965772212962</x:v>
      </x:c>
      <x:c r="E20" t="n">
        <x:v>-4.051854933565934</x:v>
      </x:c>
      <x:c r="F20" t="str">
        <x:v>spy</x:v>
      </x:c>
    </x:row>
    <x:row r="21">
      <x:c r="A21" t="str">
        <x:v>EXP_044</x:v>
      </x:c>
      <x:c r="B21" t="str">
        <x:v>8</x:v>
      </x:c>
      <x:c r="C21" t="n">
        <x:v>11.923874721341177</x:v>
      </x:c>
      <x:c r="D21" t="n">
        <x:v>3.192486422819396</x:v>
      </x:c>
      <x:c r="E21" t="n">
        <x:v>8.73138829852178</x:v>
      </x:c>
      <x:c r="F21" t="str">
        <x:v>strategy</x:v>
      </x:c>
    </x:row>
    <x:row r="22">
      <x:c r="A22" t="str">
        <x:v>EXP_044</x:v>
      </x:c>
      <x:c r="B22" t="str">
        <x:v>9</x:v>
      </x:c>
      <x:c r="C22" t="n">
        <x:v>-1.8829324643509615</x:v>
      </x:c>
      <x:c r="D22" t="n">
        <x:v>-5.015487772636906</x:v>
      </x:c>
      <x:c r="E22" t="n">
        <x:v>3.1325553082859443</x:v>
      </x:c>
      <x:c r="F22" t="str">
        <x:v>strategy</x:v>
      </x:c>
    </x:row>
    <x:row r="23">
      <x:c r="A23" t="str">
        <x:v>EXP_044</x:v>
      </x:c>
      <x:c r="B23" t="str">
        <x:v>10</x:v>
      </x:c>
      <x:c r="C23" t="n">
        <x:v>9.52491705428573</x:v>
      </x:c>
      <x:c r="D23" t="n">
        <x:v>5.759490219250929</x:v>
      </x:c>
      <x:c r="E23" t="n">
        <x:v>3.765426835034801</x:v>
      </x:c>
      <x:c r="F23" t="str">
        <x:v>strategy</x:v>
      </x:c>
    </x:row>
    <x:row r="24">
      <x:c r="A24" t="str">
        <x:v>EXP_044</x:v>
      </x:c>
      <x:c r="B24" t="str">
        <x:v>11</x:v>
      </x:c>
      <x:c r="C24" t="n">
        <x:v>5.654510323069317</x:v>
      </x:c>
      <x:c r="D24" t="n">
        <x:v>-0.9738307327873619</x:v>
      </x:c>
      <x:c r="E24" t="n">
        <x:v>6.628341055856679</x:v>
      </x:c>
      <x:c r="F24" t="str">
        <x:v>strategy</x:v>
      </x:c>
    </x:row>
    <x:row r="25">
      <x:c r="A25" t="str">
        <x:v>EXP_044</x:v>
      </x:c>
      <x:c r="B25" t="str">
        <x:v>12</x:v>
      </x:c>
      <x:c r="C25" t="n">
        <x:v>5.832293053885551</x:v>
      </x:c>
      <x:c r="D25" t="n">
        <x:v>5.429520855733205</x:v>
      </x:c>
      <x:c r="E25" t="n">
        <x:v>0.4027721981523458</x:v>
      </x:c>
      <x:c r="F25" t="str">
        <x:v>strategy</x:v>
      </x:c>
    </x:row>
    <x:row r="26">
      <x:c r="A26" t="str">
        <x:v>EXP_044</x:v>
      </x:c>
      <x:c r="B26" t="str">
        <x:v>1</x:v>
      </x:c>
      <x:c r="C26" t="n">
        <x:v>-10.177337675337217</x:v>
      </x:c>
      <x:c r="D26" t="n">
        <x:v>-5.819427747008499</x:v>
      </x:c>
      <x:c r="E26" t="n">
        <x:v>-4.357909928328718</x:v>
      </x:c>
      <x:c r="F26" t="str">
        <x:v>spy</x:v>
      </x:c>
    </x:row>
    <x:row r="27">
      <x:c r="A27" t="str">
        <x:v>EXP_044</x:v>
      </x:c>
      <x:c r="B27" t="str">
        <x:v>2</x:v>
      </x:c>
      <x:c r="C27" t="n">
        <x:v>0</x:v>
      </x:c>
      <x:c r="D27" t="n">
        <x:v>-3.603048213797033</x:v>
      </x:c>
      <x:c r="E27" t="n">
        <x:v>3.603048213797033</x:v>
      </x:c>
      <x:c r="F27" t="str">
        <x:v>strategy</x:v>
      </x:c>
    </x:row>
    <x:row r="28">
      <x:c r="A28" t="str">
        <x:v>EXP_044</x:v>
      </x:c>
      <x:c r="B28" t="str">
        <x:v>3</x:v>
      </x:c>
      <x:c r="C28" t="n">
        <x:v>-1.483390748339286</x:v>
      </x:c>
      <x:c r="D28" t="n">
        <x:v>5.037444325010276</x:v>
      </x:c>
      <x:c r="E28" t="n">
        <x:v>-6.520835073349563</x:v>
      </x:c>
      <x:c r="F28" t="str">
        <x:v>spy</x:v>
      </x:c>
    </x:row>
    <x:row r="29">
      <x:c r="A29" t="str">
        <x:v>EXP_044</x:v>
      </x:c>
      <x:c r="B29" t="str">
        <x:v>4</x:v>
      </x:c>
      <x:c r="C29" t="n">
        <x:v>-2.684245104547933</x:v>
      </x:c>
      <x:c r="D29" t="n">
        <x:v>-9.034710813074598</x:v>
      </x:c>
      <x:c r="E29" t="n">
        <x:v>6.350465708526665</x:v>
      </x:c>
      <x:c r="F29" t="str">
        <x:v>strategy</x:v>
      </x:c>
    </x:row>
    <x:row r="30">
      <x:c r="A30" t="str">
        <x:v>EXP_044</x:v>
      </x:c>
      <x:c r="B30" t="str">
        <x:v>5</x:v>
      </x:c>
      <x:c r="C30" t="n">
        <x:v>0</x:v>
      </x:c>
      <x:c r="D30" t="n">
        <x:v>-0.3739669632941589</x:v>
      </x:c>
      <x:c r="E30" t="n">
        <x:v>0.3739669632941589</x:v>
      </x:c>
      <x:c r="F30" t="str">
        <x:v>strategy</x:v>
      </x:c>
    </x:row>
    <x:row r="31">
      <x:c r="A31" t="str">
        <x:v>EXP_044</x:v>
      </x:c>
      <x:c r="B31" t="str">
        <x:v>6</x:v>
      </x:c>
      <x:c r="C31" t="n">
        <x:v>0</x:v>
      </x:c>
      <x:c r="D31" t="n">
        <x:v>-7.895699755130692</x:v>
      </x:c>
      <x:c r="E31" t="n">
        <x:v>7.895699755130692</x:v>
      </x:c>
      <x:c r="F31" t="str">
        <x:v>strategy</x:v>
      </x:c>
    </x:row>
    <x:row r="32">
      <x:c r="A32" t="str">
        <x:v>EXP_044</x:v>
      </x:c>
      <x:c r="B32" t="str">
        <x:v>7</x:v>
      </x:c>
      <x:c r="C32" t="n">
        <x:v>0</x:v>
      </x:c>
      <x:c r="D32" t="n">
        <x:v>8.065785538682801</x:v>
      </x:c>
      <x:c r="E32" t="n">
        <x:v>-8.065785538682801</x:v>
      </x:c>
      <x:c r="F32" t="str">
        <x:v>spy</x:v>
      </x:c>
    </x:row>
    <x:row r="33">
      <x:c r="A33" t="str">
        <x:v>EXP_044</x:v>
      </x:c>
      <x:c r="B33" t="str">
        <x:v>8</x:v>
      </x:c>
      <x:c r="C33" t="n">
        <x:v>8.249236412789207</x:v>
      </x:c>
      <x:c r="D33" t="n">
        <x:v>-3.7953104547205907</x:v>
      </x:c>
      <x:c r="E33" t="n">
        <x:v>12.044546867509798</x:v>
      </x:c>
      <x:c r="F33" t="str">
        <x:v>strategy</x:v>
      </x:c>
    </x:row>
    <x:row r="34">
      <x:c r="A34" t="str">
        <x:v>EXP_044</x:v>
      </x:c>
      <x:c r="B34" t="str">
        <x:v>9</x:v>
      </x:c>
      <x:c r="C34" t="n">
        <x:v>-7.615060305533383</x:v>
      </x:c>
      <x:c r="D34" t="n">
        <x:v>-9.898597301547795</x:v>
      </x:c>
      <x:c r="E34" t="n">
        <x:v>2.283536996014412</x:v>
      </x:c>
      <x:c r="F34" t="str">
        <x:v>strategy</x:v>
      </x:c>
    </x:row>
    <x:row r="35">
      <x:c r="A35" t="str">
        <x:v>EXP_044</x:v>
      </x:c>
      <x:c r="B35" t="str">
        <x:v>10</x:v>
      </x:c>
      <x:c r="C35" t="n">
        <x:v>-0.2394253790902079</x:v>
      </x:c>
      <x:c r="D35" t="n">
        <x:v>5.346282667320179</x:v>
      </x:c>
      <x:c r="E35" t="n">
        <x:v>-5.585708046410387</x:v>
      </x:c>
      <x:c r="F35" t="str">
        <x:v>spy</x:v>
      </x:c>
    </x:row>
    <x:row r="36">
      <x:c r="A36" t="str">
        <x:v>EXP_044</x:v>
      </x:c>
      <x:c r="B36" t="str">
        <x:v>11</x:v>
      </x:c>
      <x:c r="C36" t="n">
        <x:v>8.508910095187172</x:v>
      </x:c>
      <x:c r="D36" t="n">
        <x:v>6.023094851718103</x:v>
      </x:c>
      <x:c r="E36" t="n">
        <x:v>2.4858152434690695</x:v>
      </x:c>
      <x:c r="F36" t="str">
        <x:v>strategy</x:v>
      </x:c>
    </x:row>
    <x:row r="37">
      <x:c r="A37" t="str">
        <x:v>EXP_044</x:v>
      </x:c>
      <x:c r="B37" t="str">
        <x:v>12</x:v>
      </x:c>
      <x:c r="C37" t="n">
        <x:v>-9.107285452048586</x:v>
      </x:c>
      <x:c r="D37" t="n">
        <x:v>-6.124505844170813</x:v>
      </x:c>
      <x:c r="E37" t="n">
        <x:v>-2.982779607877773</x:v>
      </x:c>
      <x:c r="F37" t="str">
        <x:v>spy</x:v>
      </x:c>
    </x:row>
    <x:row r="38">
      <x:c r="A38" t="str">
        <x:v>EXP_044</x:v>
      </x:c>
      <x:c r="B38" t="str">
        <x:v>1</x:v>
      </x:c>
      <x:c r="C38" t="n">
        <x:v>2.329108446892847</x:v>
      </x:c>
      <x:c r="D38" t="n">
        <x:v>6.738092318837441</x:v>
      </x:c>
      <x:c r="E38" t="n">
        <x:v>-4.408983871944594</x:v>
      </x:c>
      <x:c r="F38" t="str">
        <x:v>spy</x:v>
      </x:c>
    </x:row>
    <x:row r="39">
      <x:c r="A39" t="str">
        <x:v>EXP_044</x:v>
      </x:c>
      <x:c r="B39" t="str">
        <x:v>2</x:v>
      </x:c>
      <x:c r="C39" t="n">
        <x:v>-3.1489427210269927</x:v>
      </x:c>
      <x:c r="D39" t="n">
        <x:v>-3.539430004723232</x:v>
      </x:c>
      <x:c r="E39" t="n">
        <x:v>0.3904872836962392</x:v>
      </x:c>
      <x:c r="F39" t="str">
        <x:v>strategy</x:v>
      </x:c>
    </x:row>
    <x:row r="40">
      <x:c r="A40" t="str">
        <x:v>EXP_044</x:v>
      </x:c>
      <x:c r="B40" t="str">
        <x:v>3</x:v>
      </x:c>
      <x:c r="C40" t="n">
        <x:v>0</x:v>
      </x:c>
      <x:c r="D40" t="n">
        <x:v>3.711309919566075</x:v>
      </x:c>
      <x:c r="E40" t="n">
        <x:v>-3.711309919566075</x:v>
      </x:c>
      <x:c r="F40" t="str">
        <x:v>spy</x:v>
      </x:c>
    </x:row>
    <x:row r="41">
      <x:c r="A41" t="str">
        <x:v>EXP_044</x:v>
      </x:c>
      <x:c r="B41" t="str">
        <x:v>4</x:v>
      </x:c>
      <x:c r="C41" t="n">
        <x:v>-3.2271657131244136</x:v>
      </x:c>
      <x:c r="D41" t="n">
        <x:v>1.2118214675319594</x:v>
      </x:c>
      <x:c r="E41" t="n">
        <x:v>-4.4389871806563725</x:v>
      </x:c>
      <x:c r="F41" t="str">
        <x:v>spy</x:v>
      </x:c>
    </x:row>
    <x:row r="42">
      <x:c r="A42" t="str">
        <x:v>EXP_044</x:v>
      </x:c>
      <x:c r="B42" t="str">
        <x:v>5</x:v>
      </x:c>
      <x:c r="C42" t="n">
        <x:v>22.442247436391582</x:v>
      </x:c>
      <x:c r="D42" t="n">
        <x:v>0.5631624468470875</x:v>
      </x:c>
      <x:c r="E42" t="n">
        <x:v>21.879084989544495</x:v>
      </x:c>
      <x:c r="F42" t="str">
        <x:v>strategy</x:v>
      </x:c>
    </x:row>
    <x:row r="43">
      <x:c r="A43" t="str">
        <x:v>EXP_044</x:v>
      </x:c>
      <x:c r="B43" t="str">
        <x:v>6</x:v>
      </x:c>
      <x:c r="C43" t="n">
        <x:v>6.3301671344928145</x:v>
      </x:c>
      <x:c r="D43" t="n">
        <x:v>5.087475957152376</x:v>
      </x:c>
      <x:c r="E43" t="n">
        <x:v>1.242691177340438</x:v>
      </x:c>
      <x:c r="F43" t="str">
        <x:v>strategy</x:v>
      </x:c>
    </x:row>
    <x:row r="44">
      <x:c r="A44" t="str">
        <x:v>EXP_044</x:v>
      </x:c>
      <x:c r="B44" t="str">
        <x:v>7</x:v>
      </x:c>
      <x:c r="C44" t="n">
        <x:v>13.40989182707084</x:v>
      </x:c>
      <x:c r="D44" t="n">
        <x:v>3.1546451543383203</x:v>
      </x:c>
      <x:c r="E44" t="n">
        <x:v>10.25524667273252</x:v>
      </x:c>
      <x:c r="F44" t="str">
        <x:v>strategy</x:v>
      </x:c>
    </x:row>
    <x:row r="45">
      <x:c r="A45" t="str">
        <x:v>EXP_044</x:v>
      </x:c>
      <x:c r="B45" t="str">
        <x:v>8</x:v>
      </x:c>
      <x:c r="C45" t="n">
        <x:v>-13.68103122425346</x:v>
      </x:c>
      <x:c r="D45" t="n">
        <x:v>-1.3428857201364108</x:v>
      </x:c>
      <x:c r="E45" t="n">
        <x:v>-12.338145504117048</x:v>
      </x:c>
      <x:c r="F45" t="str">
        <x:v>spy</x:v>
      </x:c>
    </x:row>
    <x:row r="46">
      <x:c r="A46" t="str">
        <x:v>EXP_044</x:v>
      </x:c>
      <x:c r="B46" t="str">
        <x:v>9</x:v>
      </x:c>
      <x:c r="C46" t="n">
        <x:v>0</x:v>
      </x:c>
      <x:c r="D46" t="n">
        <x:v>-5.25499043125569</x:v>
      </x:c>
      <x:c r="E46" t="n">
        <x:v>5.25499043125569</x:v>
      </x:c>
      <x:c r="F46" t="str">
        <x:v>strategy</x:v>
      </x:c>
    </x:row>
    <x:row r="47">
      <x:c r="A47" t="str">
        <x:v>EXP_044</x:v>
      </x:c>
      <x:c r="B47" t="str">
        <x:v>10</x:v>
      </x:c>
      <x:c r="C47" t="n">
        <x:v>0</x:v>
      </x:c>
      <x:c r="D47" t="n">
        <x:v>-2.131938265805078</x:v>
      </x:c>
      <x:c r="E47" t="n">
        <x:v>2.131938265805078</x:v>
      </x:c>
      <x:c r="F47" t="str">
        <x:v>strategy</x:v>
      </x:c>
    </x:row>
    <x:row r="48">
      <x:c r="A48" t="str">
        <x:v>EXP_044</x:v>
      </x:c>
      <x:c r="B48" t="str">
        <x:v>11</x:v>
      </x:c>
      <x:c r="C48" t="n">
        <x:v>0.043598659707067</x:v>
      </x:c>
      <x:c r="D48" t="n">
        <x:v>7.982773373879026</x:v>
      </x:c>
      <x:c r="E48" t="n">
        <x:v>-7.939174714171959</x:v>
      </x:c>
      <x:c r="F48" t="str">
        <x:v>spy</x:v>
      </x:c>
    </x:row>
    <x:row r="49">
      <x:c r="A49" t="str">
        <x:v>EXP_044</x:v>
      </x:c>
      <x:c r="B49" t="str">
        <x:v>12</x:v>
      </x:c>
      <x:c r="C49" t="n">
        <x:v>14.536376392773942</x:v>
      </x:c>
      <x:c r="D49" t="n">
        <x:v>3.5308192636841707</x:v>
      </x:c>
      <x:c r="E49" t="n">
        <x:v>11.005557129089771</x:v>
      </x:c>
      <x:c r="F49" t="str">
        <x:v>strategy</x:v>
      </x:c>
    </x:row>
    <x:row r="50">
      <x:c r="A50" t="str">
        <x:v>EXP_044</x:v>
      </x:c>
      <x:c r="B50" t="str">
        <x:v>1</x:v>
      </x:c>
      <x:c r="C50" t="n">
        <x:v>-1.790329839853344</x:v>
      </x:c>
      <x:c r="D50" t="n">
        <x:v>2.1643946087871235</x:v>
      </x:c>
      <x:c r="E50" t="n">
        <x:v>-3.9547244486404676</x:v>
      </x:c>
      <x:c r="F50" t="str">
        <x:v>spy</x:v>
      </x:c>
    </x:row>
    <x:row r="51">
      <x:c r="A51" t="str">
        <x:v>EXP_044</x:v>
      </x:c>
      <x:c r="B51" t="str">
        <x:v>2</x:v>
      </x:c>
      <x:c r="C51" t="n">
        <x:v>35.41237687797021</x:v>
      </x:c>
      <x:c r="D51" t="n">
        <x:v>3.8593568875963546</x:v>
      </x:c>
      <x:c r="E51" t="n">
        <x:v>31.553019990373855</x:v>
      </x:c>
      <x:c r="F51" t="str">
        <x:v>strategy</x:v>
      </x:c>
    </x:row>
    <x:row r="52">
      <x:c r="A52" t="str">
        <x:v>EXP_044</x:v>
      </x:c>
      <x:c r="B52" t="str">
        <x:v>3</x:v>
      </x:c>
      <x:c r="C52" t="n">
        <x:v>10.37145312754979</x:v>
      </x:c>
      <x:c r="D52" t="n">
        <x:v>1.992791698313856</x:v>
      </x:c>
      <x:c r="E52" t="n">
        <x:v>8.378661429235933</x:v>
      </x:c>
      <x:c r="F52" t="str">
        <x:v>strategy</x:v>
      </x:c>
    </x:row>
    <x:row r="53">
      <x:c r="A53" t="str">
        <x:v>EXP_044</x:v>
      </x:c>
      <x:c r="B53" t="str">
        <x:v>4</x:v>
      </x:c>
      <x:c r="C53" t="n">
        <x:v>-6.4715135949628415</x:v>
      </x:c>
      <x:c r="D53" t="n">
        <x:v>-3.8647087475273345</x:v>
      </x:c>
      <x:c r="E53" t="n">
        <x:v>-2.606804847435507</x:v>
      </x:c>
      <x:c r="F53" t="str">
        <x:v>spy</x:v>
      </x:c>
    </x:row>
    <x:row r="54">
      <x:c r="A54" t="str">
        <x:v>EXP_044</x:v>
      </x:c>
      <x:c r="B54" t="str">
        <x:v>5</x:v>
      </x:c>
      <x:c r="C54" t="n">
        <x:v>0</x:v>
      </x:c>
      <x:c r="D54" t="n">
        <x:v>5.400217584504596</x:v>
      </x:c>
      <x:c r="E54" t="n">
        <x:v>-5.400217584504596</x:v>
      </x:c>
      <x:c r="F54" t="str">
        <x:v>spy</x:v>
      </x:c>
    </x:row>
    <x:row r="55">
      <x:c r="A55" t="str">
        <x:v>EXP_044</x:v>
      </x:c>
      <x:c r="B55" t="str">
        <x:v>6</x:v>
      </x:c>
      <x:c r="C55" t="n">
        <x:v>7.57742316371286</x:v>
      </x:c>
      <x:c r="D55" t="n">
        <x:v>3.111023738143226</x:v>
      </x:c>
      <x:c r="E55" t="n">
        <x:v>4.466399425569634</x:v>
      </x:c>
      <x:c r="F55" t="str">
        <x:v>strategy</x:v>
      </x:c>
    </x:row>
    <x:row r="56">
      <x:c r="A56" t="str">
        <x:v>EXP_044</x:v>
      </x:c>
      <x:c r="B56" t="str">
        <x:v>7</x:v>
      </x:c>
      <x:c r="C56" t="n">
        <x:v>-9.549746878216203</x:v>
      </x:c>
      <x:c r="D56" t="n">
        <x:v>1.0030385509506523</x:v>
      </x:c>
      <x:c r="E56" t="n">
        <x:v>-10.552785429166855</x:v>
      </x:c>
      <x:c r="F56" t="str">
        <x:v>spy</x:v>
      </x:c>
    </x:row>
    <x:row r="57">
      <x:c r="A57" t="str">
        <x:v>EXP_044</x:v>
      </x:c>
      <x:c r="B57" t="str">
        <x:v>8</x:v>
      </x:c>
      <x:c r="C57" t="n">
        <x:v>4.007453790346149</x:v>
      </x:c>
      <x:c r="D57" t="n">
        <x:v>3.806556516164017</x:v>
      </x:c>
      <x:c r="E57" t="n">
        <x:v>0.20089727418213243</x:v>
      </x:c>
      <x:c r="F57" t="str">
        <x:v>strategy</x:v>
      </x:c>
    </x:row>
    <x:row r="58">
      <x:c r="A58" t="str">
        <x:v>EXP_044</x:v>
      </x:c>
      <x:c r="B58" t="str">
        <x:v>9</x:v>
      </x:c>
      <x:c r="C58" t="n">
        <x:v>21.798328476713525</x:v>
      </x:c>
      <x:c r="D58" t="n">
        <x:v>3.9269656579968393</x:v>
      </x:c>
      <x:c r="E58" t="n">
        <x:v>17.871362818716687</x:v>
      </x:c>
      <x:c r="F58" t="str">
        <x:v>strategy</x:v>
      </x:c>
    </x:row>
    <x:row r="59">
      <x:c r="A59" t="str">
        <x:v>EXP_044</x:v>
      </x:c>
      <x:c r="B59" t="str">
        <x:v>10</x:v>
      </x:c>
      <x:c r="C59" t="n">
        <x:v>17.224362555657336</x:v>
      </x:c>
      <x:c r="D59" t="n">
        <x:v>0.0035207223491706685</x:v>
      </x:c>
      <x:c r="E59" t="n">
        <x:v>17.220841833308164</x:v>
      </x:c>
      <x:c r="F59" t="str">
        <x:v>strategy</x:v>
      </x:c>
    </x:row>
    <x:row r="60">
      <x:c r="A60" t="str">
        <x:v>EXP_044</x:v>
      </x:c>
      <x:c r="B60" t="str">
        <x:v>11</x:v>
      </x:c>
      <x:c r="C60" t="n">
        <x:v>39.91456546342687</x:v>
      </x:c>
      <x:c r="D60" t="n">
        <x:v>5.518004163994994</x:v>
      </x:c>
      <x:c r="E60" t="n">
        <x:v>34.39656129943187</x:v>
      </x:c>
      <x:c r="F60" t="str">
        <x:v>strategy</x:v>
      </x:c>
    </x:row>
    <x:row r="61">
      <x:c r="A61" t="str">
        <x:v>EXP_044</x:v>
      </x:c>
      <x:c r="B61" t="str">
        <x:v>12</x:v>
      </x:c>
      <x:c r="C61" t="n">
        <x:v>-7.742072017652967</x:v>
      </x:c>
      <x:c r="D61" t="n">
        <x:v>-2.907408122691979</x:v>
      </x:c>
      <x:c r="E61" t="n">
        <x:v>-4.834663894960988</x:v>
      </x:c>
      <x:c r="F61" t="str">
        <x:v>spy</x:v>
      </x:c>
    </x:row>
    <x:row r="62">
      <x:c r="A62" t="str">
        <x:v>EXP_044</x:v>
      </x:c>
      <x:c r="B62" t="str">
        <x:v>1</x:v>
      </x:c>
      <x:c r="C62" t="n">
        <x:v>12.957657766921438</x:v>
      </x:c>
      <x:c r="D62" t="n">
        <x:v>2.9385591552627766</x:v>
      </x:c>
      <x:c r="E62" t="n">
        <x:v>10.019098611658661</x:v>
      </x:c>
      <x:c r="F62" t="str">
        <x:v>strategy</x:v>
      </x:c>
    </x:row>
    <x:row r="63">
      <x:c r="A63" t="str">
        <x:v>EXP_044</x:v>
      </x:c>
      <x:c r="B63" t="str">
        <x:v>2</x:v>
      </x:c>
      <x:c r="C63" t="n">
        <x:v>-9.072724274545319</x:v>
      </x:c>
      <x:c r="D63" t="n">
        <x:v>-0.6005699078525106</x:v>
      </x:c>
      <x:c r="E63" t="n">
        <x:v>-8.47215436669281</x:v>
      </x:c>
      <x:c r="F63" t="str">
        <x:v>spy</x:v>
      </x:c>
    </x:row>
    <x:row r="64">
      <x:c r="A64" t="str">
        <x:v>EXP_044</x:v>
      </x:c>
      <x:c r="B64" t="str">
        <x:v>3</x:v>
      </x:c>
      <x:c r="C64" t="n">
        <x:v>0</x:v>
      </x:c>
      <x:c r="D64" t="n">
        <x:v>-4.176303007542071</x:v>
      </x:c>
      <x:c r="E64" t="n">
        <x:v>4.176303007542071</x:v>
      </x:c>
      <x:c r="F64" t="str">
        <x:v>strategy</x:v>
      </x:c>
    </x:row>
    <x:row r="65">
      <x:c r="A65" t="str">
        <x:v>EXP_044</x:v>
      </x:c>
      <x:c r="B65" t="str">
        <x:v>4</x:v>
      </x:c>
      <x:c r="C65" t="n">
        <x:v>0</x:v>
      </x:c>
      <x:c r="D65" t="n">
        <x:v>-1.1462276078204048</x:v>
      </x:c>
      <x:c r="E65" t="n">
        <x:v>1.1462276078204048</x:v>
      </x:c>
      <x:c r="F65" t="str">
        <x:v>strategy</x:v>
      </x:c>
    </x:row>
    <x:row r="66">
      <x:c r="A66" t="str">
        <x:v>EXP_044</x:v>
      </x:c>
      <x:c r="B66" t="str">
        <x:v>5</x:v>
      </x:c>
      <x:c r="C66" t="n">
        <x:v>0</x:v>
      </x:c>
      <x:c r="D66" t="n">
        <x:v>5.5365633905764655</x:v>
      </x:c>
      <x:c r="E66" t="n">
        <x:v>-5.5365633905764655</x:v>
      </x:c>
      <x:c r="F66" t="str">
        <x:v>spy</x:v>
      </x:c>
    </x:row>
    <x:row r="67">
      <x:c r="A67" t="str">
        <x:v>EXP_044</x:v>
      </x:c>
      <x:c r="B67" t="str">
        <x:v>6</x:v>
      </x:c>
      <x:c r="C67" t="n">
        <x:v>6.523541399711541</x:v>
      </x:c>
      <x:c r="D67" t="n">
        <x:v>4.241526662500239</x:v>
      </x:c>
      <x:c r="E67" t="n">
        <x:v>2.282014737211302</x:v>
      </x:c>
      <x:c r="F67" t="str">
        <x:v>strategy</x:v>
      </x:c>
    </x:row>
    <x:row r="68">
      <x:c r="A68" t="str">
        <x:v>EXP_044</x:v>
      </x:c>
      <x:c r="B68" t="str">
        <x:v>7</x:v>
      </x:c>
      <x:c r="C68" t="n">
        <x:v>5.977424787127372</x:v>
      </x:c>
      <x:c r="D68" t="n">
        <x:v>2.336273311001702</x:v>
      </x:c>
      <x:c r="E68" t="n">
        <x:v>3.6411514761256702</x:v>
      </x:c>
      <x:c r="F68" t="str">
        <x:v>strategy</x:v>
      </x:c>
    </x:row>
    <x:row r="69">
      <x:c r="A69" t="str">
        <x:v>EXP_044</x:v>
      </x:c>
      <x:c r="B69" t="str">
        <x:v>8</x:v>
      </x:c>
      <x:c r="C69" t="n">
        <x:v>2.081994510289409</x:v>
      </x:c>
      <x:c r="D69" t="n">
        <x:v>3.7524960093302084</x:v>
      </x:c>
      <x:c r="E69" t="n">
        <x:v>-1.6705014990407996</x:v>
      </x:c>
      <x:c r="F69" t="str">
        <x:v>spy</x:v>
      </x:c>
    </x:row>
    <x:row r="70">
      <x:c r="A70" t="str">
        <x:v>EXP_044</x:v>
      </x:c>
      <x:c r="B70" t="str">
        <x:v>9</x:v>
      </x:c>
      <x:c r="C70" t="n">
        <x:v>31.14412860000566</x:v>
      </x:c>
      <x:c r="D70" t="n">
        <x:v>4.046725967819076</x:v>
      </x:c>
      <x:c r="E70" t="n">
        <x:v>27.097402632186586</x:v>
      </x:c>
      <x:c r="F70" t="str">
        <x:v>strategy</x:v>
      </x:c>
    </x:row>
    <x:row r="71">
      <x:c r="A71" t="str">
        <x:v>EXP_044</x:v>
      </x:c>
      <x:c r="B71" t="str">
        <x:v>10</x:v>
      </x:c>
      <x:c r="C71" t="n">
        <x:v>3.891653567545972</x:v>
      </x:c>
      <x:c r="D71" t="n">
        <x:v>2.03605132815039</x:v>
      </x:c>
      <x:c r="E71" t="n">
        <x:v>1.8556022393955818</x:v>
      </x:c>
      <x:c r="F71" t="str">
        <x:v>strategy</x:v>
      </x:c>
    </x:row>
    <x:row r="72">
      <x:c r="A72" t="str">
        <x:v>EXP_044</x:v>
      </x:c>
      <x:c r="B72" t="str">
        <x:v>11</x:v>
      </x:c>
      <x:c r="C72" t="n">
        <x:v>10.039968452543025</x:v>
      </x:c>
      <x:c r="D72" t="n">
        <x:v>0.007315215120473617</x:v>
      </x:c>
      <x:c r="E72" t="n">
        <x:v>10.03265323742255</x:v>
      </x:c>
      <x:c r="F72" t="str">
        <x:v>strategy</x:v>
      </x:c>
    </x:row>
    <x:row r="73">
      <x:c r="A73" t="str">
        <x:v>EXP_044</x:v>
      </x:c>
      <x:c r="B73" t="str">
        <x:v>12</x:v>
      </x:c>
      <x:c r="C73" t="n">
        <x:v>20.197239103064078</x:v>
      </x:c>
      <x:c r="D73" t="n">
        <x:v>0.24254536162613416</x:v>
      </x:c>
      <x:c r="E73" t="n">
        <x:v>19.954693741437943</x:v>
      </x:c>
      <x:c r="F73" t="str">
        <x:v>strategy</x:v>
      </x:c>
    </x:row>
    <x:row r="74">
      <x:c r="A74" t="str">
        <x:v>EXP_044</x:v>
      </x:c>
      <x:c r="B74" t="str">
        <x:v>1</x:v>
      </x:c>
      <x:c r="C74" t="n">
        <x:v>7.232282495421516</x:v>
      </x:c>
      <x:c r="D74" t="n">
        <x:v>1.2881110138186491</x:v>
      </x:c>
      <x:c r="E74" t="n">
        <x:v>5.944171481602867</x:v>
      </x:c>
      <x:c r="F74" t="str">
        <x:v>strategy</x:v>
      </x:c>
    </x:row>
    <x:row r="75">
      <x:c r="A75" t="str">
        <x:v>EXP_044</x:v>
      </x:c>
      <x:c r="B75" t="str">
        <x:v>2</x:v>
      </x:c>
      <x:c r="C75" t="n">
        <x:v>16.56438114231684</x:v>
      </x:c>
      <x:c r="D75" t="n">
        <x:v>-1.354594163721956</x:v>
      </x:c>
      <x:c r="E75" t="n">
        <x:v>17.918975306038796</x:v>
      </x:c>
      <x:c r="F75" t="str">
        <x:v>strategy</x:v>
      </x:c>
    </x:row>
    <x:row r="76">
      <x:c r="A76" t="str">
        <x:v>EXP_044</x:v>
      </x:c>
      <x:c r="B76" t="str">
        <x:v>3</x:v>
      </x:c>
      <x:c r="C76" t="n">
        <x:v>0</x:v>
      </x:c>
      <x:c r="D76" t="n">
        <x:v>-7.9271007011600165</x:v>
      </x:c>
      <x:c r="E76" t="n">
        <x:v>7.9271007011600165</x:v>
      </x:c>
      <x:c r="F76" t="str">
        <x:v>strategy</x:v>
      </x:c>
    </x:row>
    <x:row r="77">
      <x:c r="A77" t="str">
        <x:v>EXP_051</x:v>
      </x:c>
      <x:c r="B77" t="str">
        <x:v>1</x:v>
      </x:c>
      <x:c r="C77" t="n">
        <x:v>0</x:v>
      </x:c>
      <x:c r="D77" t="n">
        <x:v>-0.966535592099449</x:v>
      </x:c>
      <x:c r="E77" t="n">
        <x:v>0.966535592099449</x:v>
      </x:c>
      <x:c r="F77" t="str">
        <x:v>strategy</x:v>
      </x:c>
    </x:row>
    <x:row r="78">
      <x:c r="A78" t="str">
        <x:v>EXP_051</x:v>
      </x:c>
      <x:c r="B78" t="str">
        <x:v>2</x:v>
      </x:c>
      <x:c r="C78" t="n">
        <x:v>-2.9828693450069443</x:v>
      </x:c>
      <x:c r="D78" t="n">
        <x:v>-8.595577493295192</x:v>
      </x:c>
      <x:c r="E78" t="n">
        <x:v>5.612708148288247</x:v>
      </x:c>
      <x:c r="F78" t="str">
        <x:v>strategy</x:v>
      </x:c>
    </x:row>
    <x:row r="79">
      <x:c r="A79" t="str">
        <x:v>EXP_051</x:v>
      </x:c>
      <x:c r="B79" t="str">
        <x:v>3</x:v>
      </x:c>
      <x:c r="C79" t="n">
        <x:v>0</x:v>
      </x:c>
      <x:c r="D79" t="n">
        <x:v>-16.610047865077725</x:v>
      </x:c>
      <x:c r="E79" t="n">
        <x:v>16.610047865077725</x:v>
      </x:c>
      <x:c r="F79" t="str">
        <x:v>strategy</x:v>
      </x:c>
    </x:row>
    <x:row r="80">
      <x:c r="A80" t="str">
        <x:v>EXP_051</x:v>
      </x:c>
      <x:c r="B80" t="str">
        <x:v>4</x:v>
      </x:c>
      <x:c r="C80" t="n">
        <x:v>-3.9910830889241744</x:v>
      </x:c>
      <x:c r="D80" t="n">
        <x:v>18.009351285414276</x:v>
      </x:c>
      <x:c r="E80" t="n">
        <x:v>-22.00043437433845</x:v>
      </x:c>
      <x:c r="F80" t="str">
        <x:v>spy</x:v>
      </x:c>
    </x:row>
    <x:row r="81">
      <x:c r="A81" t="str">
        <x:v>EXP_051</x:v>
      </x:c>
      <x:c r="B81" t="str">
        <x:v>5</x:v>
      </x:c>
      <x:c r="C81" t="n">
        <x:v>13.099152078078834</x:v>
      </x:c>
      <x:c r="D81" t="n">
        <x:v>7.613422726664942</x:v>
      </x:c>
      <x:c r="E81" t="n">
        <x:v>5.485729351413892</x:v>
      </x:c>
      <x:c r="F81" t="str">
        <x:v>strategy</x:v>
      </x:c>
    </x:row>
    <x:row r="82">
      <x:c r="A82" t="str">
        <x:v>EXP_051</x:v>
      </x:c>
      <x:c r="B82" t="str">
        <x:v>6</x:v>
      </x:c>
      <x:c r="C82" t="n">
        <x:v>5.594608355154462</x:v>
      </x:c>
      <x:c r="D82" t="n">
        <x:v>0.9196523223223618</x:v>
      </x:c>
      <x:c r="E82" t="n">
        <x:v>4.6749560328321005</x:v>
      </x:c>
      <x:c r="F82" t="str">
        <x:v>strategy</x:v>
      </x:c>
    </x:row>
    <x:row r="83">
      <x:c r="A83" t="str">
        <x:v>EXP_051</x:v>
      </x:c>
      <x:c r="B83" t="str">
        <x:v>7</x:v>
      </x:c>
      <x:c r="C83" t="n">
        <x:v>13.051861872584114</x:v>
      </x:c>
      <x:c r="D83" t="n">
        <x:v>5.152647354787687</x:v>
      </x:c>
      <x:c r="E83" t="n">
        <x:v>7.899214517796427</x:v>
      </x:c>
      <x:c r="F83" t="str">
        <x:v>strategy</x:v>
      </x:c>
    </x:row>
    <x:row r="84">
      <x:c r="A84" t="str">
        <x:v>EXP_051</x:v>
      </x:c>
      <x:c r="B84" t="str">
        <x:v>8</x:v>
      </x:c>
      <x:c r="C84" t="n">
        <x:v>20.26628689018153</x:v>
      </x:c>
      <x:c r="D84" t="n">
        <x:v>6.2410622222019985</x:v>
      </x:c>
      <x:c r="E84" t="n">
        <x:v>14.025224667979531</x:v>
      </x:c>
      <x:c r="F84" t="str">
        <x:v>strategy</x:v>
      </x:c>
    </x:row>
    <x:row r="85">
      <x:c r="A85" t="str">
        <x:v>EXP_051</x:v>
      </x:c>
      <x:c r="B85" t="str">
        <x:v>9</x:v>
      </x:c>
      <x:c r="C85" t="n">
        <x:v>-2.7203965604073566</x:v>
      </x:c>
      <x:c r="D85" t="n">
        <x:v>-5.022686088632334</x:v>
      </x:c>
      <x:c r="E85" t="n">
        <x:v>2.302289528224977</x:v>
      </x:c>
      <x:c r="F85" t="str">
        <x:v>strategy</x:v>
      </x:c>
    </x:row>
    <x:row r="86">
      <x:c r="A86" t="str">
        <x:v>EXP_051</x:v>
      </x:c>
      <x:c r="B86" t="str">
        <x:v>10</x:v>
      </x:c>
      <x:c r="C86" t="n">
        <x:v>0</x:v>
      </x:c>
      <x:c r="D86" t="n">
        <x:v>-3.1153571486456144</x:v>
      </x:c>
      <x:c r="E86" t="n">
        <x:v>3.1153571486456144</x:v>
      </x:c>
      <x:c r="F86" t="str">
        <x:v>strategy</x:v>
      </x:c>
    </x:row>
    <x:row r="87">
      <x:c r="A87" t="str">
        <x:v>EXP_051</x:v>
      </x:c>
      <x:c r="B87" t="str">
        <x:v>11</x:v>
      </x:c>
      <x:c r="C87" t="n">
        <x:v>-0.239425379090219</x:v>
      </x:c>
      <x:c r="D87" t="n">
        <x:v>9.64869296600348</x:v>
      </x:c>
      <x:c r="E87" t="n">
        <x:v>-9.8881183450937</x:v>
      </x:c>
      <x:c r="F87" t="str">
        <x:v>spy</x:v>
      </x:c>
    </x:row>
    <x:row r="88">
      <x:c r="A88" t="str">
        <x:v>EXP_051</x:v>
      </x:c>
      <x:c r="B88" t="str">
        <x:v>12</x:v>
      </x:c>
      <x:c r="C88" t="n">
        <x:v>-0.5561722050727802</x:v>
      </x:c>
      <x:c r="D88" t="n">
        <x:v>2.147428038102883</x:v>
      </x:c>
      <x:c r="E88" t="n">
        <x:v>-2.7036002431756634</x:v>
      </x:c>
      <x:c r="F88" t="str">
        <x:v>spy</x:v>
      </x:c>
    </x:row>
    <x:row r="89">
      <x:c r="A89" t="str">
        <x:v>EXP_051</x:v>
      </x:c>
      <x:c r="B89" t="str">
        <x:v>1</x:v>
      </x:c>
      <x:c r="C89" t="n">
        <x:v>11.620692057880788</x:v>
      </x:c>
      <x:c r="D89" t="n">
        <x:v>0.34708065555983936</x:v>
      </x:c>
      <x:c r="E89" t="n">
        <x:v>11.273611402320949</x:v>
      </x:c>
      <x:c r="F89" t="str">
        <x:v>strategy</x:v>
      </x:c>
    </x:row>
    <x:row r="90">
      <x:c r="A90" t="str">
        <x:v>EXP_051</x:v>
      </x:c>
      <x:c r="B90" t="str">
        <x:v>2</x:v>
      </x:c>
      <x:c r="C90" t="n">
        <x:v>0</x:v>
      </x:c>
      <x:c r="D90" t="n">
        <x:v>1.0977259242044957</x:v>
      </x:c>
      <x:c r="E90" t="n">
        <x:v>-1.0977259242044957</x:v>
      </x:c>
      <x:c r="F90" t="str">
        <x:v>spy</x:v>
      </x:c>
    </x:row>
    <x:row r="91">
      <x:c r="A91" t="str">
        <x:v>EXP_051</x:v>
      </x:c>
      <x:c r="B91" t="str">
        <x:v>3</x:v>
      </x:c>
      <x:c r="C91" t="n">
        <x:v>-9.876989204486353</x:v>
      </x:c>
      <x:c r="D91" t="n">
        <x:v>1.7326352052604355</x:v>
      </x:c>
      <x:c r="E91" t="n">
        <x:v>-11.60962440974679</x:v>
      </x:c>
      <x:c r="F91" t="str">
        <x:v>spy</x:v>
      </x:c>
    </x:row>
    <x:row r="92">
      <x:c r="A92" t="str">
        <x:v>EXP_051</x:v>
      </x:c>
      <x:c r="B92" t="str">
        <x:v>4</x:v>
      </x:c>
      <x:c r="C92" t="n">
        <x:v>0.4632163240795295</x:v>
      </x:c>
      <x:c r="D92" t="n">
        <x:v>4.166147388153507</x:v>
      </x:c>
      <x:c r="E92" t="n">
        <x:v>-3.7029310640739777</x:v>
      </x:c>
      <x:c r="F92" t="str">
        <x:v>spy</x:v>
      </x:c>
    </x:row>
    <x:row r="93">
      <x:c r="A93" t="str">
        <x:v>EXP_051</x:v>
      </x:c>
      <x:c r="B93" t="str">
        <x:v>5</x:v>
      </x:c>
      <x:c r="C93" t="n">
        <x:v>2.4329137600765938</x:v>
      </x:c>
      <x:c r="D93" t="n">
        <x:v>0.43997998187041976</x:v>
      </x:c>
      <x:c r="E93" t="n">
        <x:v>1.992933778206174</x:v>
      </x:c>
      <x:c r="F93" t="str">
        <x:v>strategy</x:v>
      </x:c>
    </x:row>
    <x:row r="94">
      <x:c r="A94" t="str">
        <x:v>EXP_051</x:v>
      </x:c>
      <x:c r="B94" t="str">
        <x:v>6</x:v>
      </x:c>
      <x:c r="C94" t="n">
        <x:v>-1.062791941988095</x:v>
      </x:c>
      <x:c r="D94" t="n">
        <x:v>1.9991859943321977</x:v>
      </x:c>
      <x:c r="E94" t="n">
        <x:v>-3.0619779363202926</x:v>
      </x:c>
      <x:c r="F94" t="str">
        <x:v>spy</x:v>
      </x:c>
    </x:row>
    <x:row r="95">
      <x:c r="A95" t="str">
        <x:v>EXP_051</x:v>
      </x:c>
      <x:c r="B95" t="str">
        <x:v>7</x:v>
      </x:c>
      <x:c r="C95" t="n">
        <x:v>-2.1746583563446387</x:v>
      </x:c>
      <x:c r="D95" t="n">
        <x:v>1.8771965772212962</x:v>
      </x:c>
      <x:c r="E95" t="n">
        <x:v>-4.051854933565934</x:v>
      </x:c>
      <x:c r="F95" t="str">
        <x:v>spy</x:v>
      </x:c>
    </x:row>
    <x:row r="96">
      <x:c r="A96" t="str">
        <x:v>EXP_051</x:v>
      </x:c>
      <x:c r="B96" t="str">
        <x:v>8</x:v>
      </x:c>
      <x:c r="C96" t="n">
        <x:v>11.923874721341177</x:v>
      </x:c>
      <x:c r="D96" t="n">
        <x:v>3.192486422819396</x:v>
      </x:c>
      <x:c r="E96" t="n">
        <x:v>8.73138829852178</x:v>
      </x:c>
      <x:c r="F96" t="str">
        <x:v>strategy</x:v>
      </x:c>
    </x:row>
    <x:row r="97">
      <x:c r="A97" t="str">
        <x:v>EXP_051</x:v>
      </x:c>
      <x:c r="B97" t="str">
        <x:v>9</x:v>
      </x:c>
      <x:c r="C97" t="n">
        <x:v>-1.8829324643509615</x:v>
      </x:c>
      <x:c r="D97" t="n">
        <x:v>-5.015487772636906</x:v>
      </x:c>
      <x:c r="E97" t="n">
        <x:v>3.1325553082859443</x:v>
      </x:c>
      <x:c r="F97" t="str">
        <x:v>strategy</x:v>
      </x:c>
    </x:row>
    <x:row r="98">
      <x:c r="A98" t="str">
        <x:v>EXP_051</x:v>
      </x:c>
      <x:c r="B98" t="str">
        <x:v>10</x:v>
      </x:c>
      <x:c r="C98" t="n">
        <x:v>9.52491705428573</x:v>
      </x:c>
      <x:c r="D98" t="n">
        <x:v>5.759490219250929</x:v>
      </x:c>
      <x:c r="E98" t="n">
        <x:v>3.765426835034801</x:v>
      </x:c>
      <x:c r="F98" t="str">
        <x:v>strategy</x:v>
      </x:c>
    </x:row>
    <x:row r="99">
      <x:c r="A99" t="str">
        <x:v>EXP_051</x:v>
      </x:c>
      <x:c r="B99" t="str">
        <x:v>11</x:v>
      </x:c>
      <x:c r="C99" t="n">
        <x:v>5.654510323069317</x:v>
      </x:c>
      <x:c r="D99" t="n">
        <x:v>-0.9738307327873619</x:v>
      </x:c>
      <x:c r="E99" t="n">
        <x:v>6.628341055856679</x:v>
      </x:c>
      <x:c r="F99" t="str">
        <x:v>strategy</x:v>
      </x:c>
    </x:row>
    <x:row r="100">
      <x:c r="A100" t="str">
        <x:v>EXP_051</x:v>
      </x:c>
      <x:c r="B100" t="str">
        <x:v>12</x:v>
      </x:c>
      <x:c r="C100" t="n">
        <x:v>5.832293053885551</x:v>
      </x:c>
      <x:c r="D100" t="n">
        <x:v>5.429520855733205</x:v>
      </x:c>
      <x:c r="E100" t="n">
        <x:v>0.4027721981523458</x:v>
      </x:c>
      <x:c r="F100" t="str">
        <x:v>strategy</x:v>
      </x:c>
    </x:row>
    <x:row r="101">
      <x:c r="A101" t="str">
        <x:v>EXP_051</x:v>
      </x:c>
      <x:c r="B101" t="str">
        <x:v>1</x:v>
      </x:c>
      <x:c r="C101" t="n">
        <x:v>-10.177337675337217</x:v>
      </x:c>
      <x:c r="D101" t="n">
        <x:v>-5.819427747008499</x:v>
      </x:c>
      <x:c r="E101" t="n">
        <x:v>-4.357909928328718</x:v>
      </x:c>
      <x:c r="F101" t="str">
        <x:v>spy</x:v>
      </x:c>
    </x:row>
    <x:row r="102">
      <x:c r="A102" t="str">
        <x:v>EXP_051</x:v>
      </x:c>
      <x:c r="B102" t="str">
        <x:v>2</x:v>
      </x:c>
      <x:c r="C102" t="n">
        <x:v>0</x:v>
      </x:c>
      <x:c r="D102" t="n">
        <x:v>-3.603048213797033</x:v>
      </x:c>
      <x:c r="E102" t="n">
        <x:v>3.603048213797033</x:v>
      </x:c>
      <x:c r="F102" t="str">
        <x:v>strategy</x:v>
      </x:c>
    </x:row>
    <x:row r="103">
      <x:c r="A103" t="str">
        <x:v>EXP_051</x:v>
      </x:c>
      <x:c r="B103" t="str">
        <x:v>3</x:v>
      </x:c>
      <x:c r="C103" t="n">
        <x:v>-1.483390748339286</x:v>
      </x:c>
      <x:c r="D103" t="n">
        <x:v>5.037444325010276</x:v>
      </x:c>
      <x:c r="E103" t="n">
        <x:v>-6.520835073349563</x:v>
      </x:c>
      <x:c r="F103" t="str">
        <x:v>spy</x:v>
      </x:c>
    </x:row>
    <x:row r="104">
      <x:c r="A104" t="str">
        <x:v>EXP_051</x:v>
      </x:c>
      <x:c r="B104" t="str">
        <x:v>4</x:v>
      </x:c>
      <x:c r="C104" t="n">
        <x:v>-2.684245104547933</x:v>
      </x:c>
      <x:c r="D104" t="n">
        <x:v>-9.034710813074598</x:v>
      </x:c>
      <x:c r="E104" t="n">
        <x:v>6.350465708526665</x:v>
      </x:c>
      <x:c r="F104" t="str">
        <x:v>strategy</x:v>
      </x:c>
    </x:row>
    <x:row r="105">
      <x:c r="A105" t="str">
        <x:v>EXP_051</x:v>
      </x:c>
      <x:c r="B105" t="str">
        <x:v>5</x:v>
      </x:c>
      <x:c r="C105" t="n">
        <x:v>0</x:v>
      </x:c>
      <x:c r="D105" t="n">
        <x:v>-0.3739669632941589</x:v>
      </x:c>
      <x:c r="E105" t="n">
        <x:v>0.3739669632941589</x:v>
      </x:c>
      <x:c r="F105" t="str">
        <x:v>strategy</x:v>
      </x:c>
    </x:row>
    <x:row r="106">
      <x:c r="A106" t="str">
        <x:v>EXP_051</x:v>
      </x:c>
      <x:c r="B106" t="str">
        <x:v>6</x:v>
      </x:c>
      <x:c r="C106" t="n">
        <x:v>0</x:v>
      </x:c>
      <x:c r="D106" t="n">
        <x:v>-7.895699755130692</x:v>
      </x:c>
      <x:c r="E106" t="n">
        <x:v>7.895699755130692</x:v>
      </x:c>
      <x:c r="F106" t="str">
        <x:v>strategy</x:v>
      </x:c>
    </x:row>
    <x:row r="107">
      <x:c r="A107" t="str">
        <x:v>EXP_051</x:v>
      </x:c>
      <x:c r="B107" t="str">
        <x:v>7</x:v>
      </x:c>
      <x:c r="C107" t="n">
        <x:v>0</x:v>
      </x:c>
      <x:c r="D107" t="n">
        <x:v>8.065785538682801</x:v>
      </x:c>
      <x:c r="E107" t="n">
        <x:v>-8.065785538682801</x:v>
      </x:c>
      <x:c r="F107" t="str">
        <x:v>spy</x:v>
      </x:c>
    </x:row>
    <x:row r="108">
      <x:c r="A108" t="str">
        <x:v>EXP_051</x:v>
      </x:c>
      <x:c r="B108" t="str">
        <x:v>8</x:v>
      </x:c>
      <x:c r="C108" t="n">
        <x:v>8.249236412789207</x:v>
      </x:c>
      <x:c r="D108" t="n">
        <x:v>-3.7953104547205907</x:v>
      </x:c>
      <x:c r="E108" t="n">
        <x:v>12.044546867509798</x:v>
      </x:c>
      <x:c r="F108" t="str">
        <x:v>strategy</x:v>
      </x:c>
    </x:row>
    <x:row r="109">
      <x:c r="A109" t="str">
        <x:v>EXP_051</x:v>
      </x:c>
      <x:c r="B109" t="str">
        <x:v>9</x:v>
      </x:c>
      <x:c r="C109" t="n">
        <x:v>-7.615060305533383</x:v>
      </x:c>
      <x:c r="D109" t="n">
        <x:v>-9.898597301547795</x:v>
      </x:c>
      <x:c r="E109" t="n">
        <x:v>2.283536996014412</x:v>
      </x:c>
      <x:c r="F109" t="str">
        <x:v>strategy</x:v>
      </x:c>
    </x:row>
    <x:row r="110">
      <x:c r="A110" t="str">
        <x:v>EXP_051</x:v>
      </x:c>
      <x:c r="B110" t="str">
        <x:v>10</x:v>
      </x:c>
      <x:c r="C110" t="n">
        <x:v>-0.2394253790902079</x:v>
      </x:c>
      <x:c r="D110" t="n">
        <x:v>5.346282667320179</x:v>
      </x:c>
      <x:c r="E110" t="n">
        <x:v>-5.585708046410387</x:v>
      </x:c>
      <x:c r="F110" t="str">
        <x:v>spy</x:v>
      </x:c>
    </x:row>
    <x:row r="111">
      <x:c r="A111" t="str">
        <x:v>EXP_051</x:v>
      </x:c>
      <x:c r="B111" t="str">
        <x:v>11</x:v>
      </x:c>
      <x:c r="C111" t="n">
        <x:v>8.508910095187172</x:v>
      </x:c>
      <x:c r="D111" t="n">
        <x:v>6.023094851718103</x:v>
      </x:c>
      <x:c r="E111" t="n">
        <x:v>2.4858152434690695</x:v>
      </x:c>
      <x:c r="F111" t="str">
        <x:v>strategy</x:v>
      </x:c>
    </x:row>
    <x:row r="112">
      <x:c r="A112" t="str">
        <x:v>EXP_051</x:v>
      </x:c>
      <x:c r="B112" t="str">
        <x:v>12</x:v>
      </x:c>
      <x:c r="C112" t="n">
        <x:v>-9.107285452048586</x:v>
      </x:c>
      <x:c r="D112" t="n">
        <x:v>-6.124505844170813</x:v>
      </x:c>
      <x:c r="E112" t="n">
        <x:v>-2.982779607877773</x:v>
      </x:c>
      <x:c r="F112" t="str">
        <x:v>spy</x:v>
      </x:c>
    </x:row>
    <x:row r="113">
      <x:c r="A113" t="str">
        <x:v>EXP_051</x:v>
      </x:c>
      <x:c r="B113" t="str">
        <x:v>1</x:v>
      </x:c>
      <x:c r="C113" t="n">
        <x:v>2.329108446892847</x:v>
      </x:c>
      <x:c r="D113" t="n">
        <x:v>6.738092318837441</x:v>
      </x:c>
      <x:c r="E113" t="n">
        <x:v>-4.408983871944594</x:v>
      </x:c>
      <x:c r="F113" t="str">
        <x:v>spy</x:v>
      </x:c>
    </x:row>
    <x:row r="114">
      <x:c r="A114" t="str">
        <x:v>EXP_051</x:v>
      </x:c>
      <x:c r="B114" t="str">
        <x:v>2</x:v>
      </x:c>
      <x:c r="C114" t="n">
        <x:v>-3.1489427210269927</x:v>
      </x:c>
      <x:c r="D114" t="n">
        <x:v>-3.539430004723232</x:v>
      </x:c>
      <x:c r="E114" t="n">
        <x:v>0.3904872836962392</x:v>
      </x:c>
      <x:c r="F114" t="str">
        <x:v>strategy</x:v>
      </x:c>
    </x:row>
    <x:row r="115">
      <x:c r="A115" t="str">
        <x:v>EXP_051</x:v>
      </x:c>
      <x:c r="B115" t="str">
        <x:v>3</x:v>
      </x:c>
      <x:c r="C115" t="n">
        <x:v>0</x:v>
      </x:c>
      <x:c r="D115" t="n">
        <x:v>3.711309919566075</x:v>
      </x:c>
      <x:c r="E115" t="n">
        <x:v>-3.711309919566075</x:v>
      </x:c>
      <x:c r="F115" t="str">
        <x:v>spy</x:v>
      </x:c>
    </x:row>
    <x:row r="116">
      <x:c r="A116" t="str">
        <x:v>EXP_051</x:v>
      </x:c>
      <x:c r="B116" t="str">
        <x:v>4</x:v>
      </x:c>
      <x:c r="C116" t="n">
        <x:v>-3.2271657131244136</x:v>
      </x:c>
      <x:c r="D116" t="n">
        <x:v>1.2118214675319594</x:v>
      </x:c>
      <x:c r="E116" t="n">
        <x:v>-4.4389871806563725</x:v>
      </x:c>
      <x:c r="F116" t="str">
        <x:v>spy</x:v>
      </x:c>
    </x:row>
    <x:row r="117">
      <x:c r="A117" t="str">
        <x:v>EXP_051</x:v>
      </x:c>
      <x:c r="B117" t="str">
        <x:v>5</x:v>
      </x:c>
      <x:c r="C117" t="n">
        <x:v>22.442247436391582</x:v>
      </x:c>
      <x:c r="D117" t="n">
        <x:v>0.5631624468470875</x:v>
      </x:c>
      <x:c r="E117" t="n">
        <x:v>21.879084989544495</x:v>
      </x:c>
      <x:c r="F117" t="str">
        <x:v>strategy</x:v>
      </x:c>
    </x:row>
    <x:row r="118">
      <x:c r="A118" t="str">
        <x:v>EXP_051</x:v>
      </x:c>
      <x:c r="B118" t="str">
        <x:v>6</x:v>
      </x:c>
      <x:c r="C118" t="n">
        <x:v>6.3301671344928145</x:v>
      </x:c>
      <x:c r="D118" t="n">
        <x:v>5.087475957152376</x:v>
      </x:c>
      <x:c r="E118" t="n">
        <x:v>1.242691177340438</x:v>
      </x:c>
      <x:c r="F118" t="str">
        <x:v>strategy</x:v>
      </x:c>
    </x:row>
    <x:row r="119">
      <x:c r="A119" t="str">
        <x:v>EXP_051</x:v>
      </x:c>
      <x:c r="B119" t="str">
        <x:v>7</x:v>
      </x:c>
      <x:c r="C119" t="n">
        <x:v>13.40989182707084</x:v>
      </x:c>
      <x:c r="D119" t="n">
        <x:v>3.1546451543383203</x:v>
      </x:c>
      <x:c r="E119" t="n">
        <x:v>10.25524667273252</x:v>
      </x:c>
      <x:c r="F119" t="str">
        <x:v>strategy</x:v>
      </x:c>
    </x:row>
    <x:row r="120">
      <x:c r="A120" t="str">
        <x:v>EXP_051</x:v>
      </x:c>
      <x:c r="B120" t="str">
        <x:v>8</x:v>
      </x:c>
      <x:c r="C120" t="n">
        <x:v>-13.68103122425346</x:v>
      </x:c>
      <x:c r="D120" t="n">
        <x:v>-1.3428857201364108</x:v>
      </x:c>
      <x:c r="E120" t="n">
        <x:v>-12.338145504117048</x:v>
      </x:c>
      <x:c r="F120" t="str">
        <x:v>spy</x:v>
      </x:c>
    </x:row>
    <x:row r="121">
      <x:c r="A121" t="str">
        <x:v>EXP_051</x:v>
      </x:c>
      <x:c r="B121" t="str">
        <x:v>9</x:v>
      </x:c>
      <x:c r="C121" t="n">
        <x:v>0</x:v>
      </x:c>
      <x:c r="D121" t="n">
        <x:v>-5.25499043125569</x:v>
      </x:c>
      <x:c r="E121" t="n">
        <x:v>5.25499043125569</x:v>
      </x:c>
      <x:c r="F121" t="str">
        <x:v>strategy</x:v>
      </x:c>
    </x:row>
    <x:row r="122">
      <x:c r="A122" t="str">
        <x:v>EXP_051</x:v>
      </x:c>
      <x:c r="B122" t="str">
        <x:v>10</x:v>
      </x:c>
      <x:c r="C122" t="n">
        <x:v>0</x:v>
      </x:c>
      <x:c r="D122" t="n">
        <x:v>-2.131938265805078</x:v>
      </x:c>
      <x:c r="E122" t="n">
        <x:v>2.131938265805078</x:v>
      </x:c>
      <x:c r="F122" t="str">
        <x:v>strategy</x:v>
      </x:c>
    </x:row>
    <x:row r="123">
      <x:c r="A123" t="str">
        <x:v>EXP_051</x:v>
      </x:c>
      <x:c r="B123" t="str">
        <x:v>11</x:v>
      </x:c>
      <x:c r="C123" t="n">
        <x:v>0.043598659707067</x:v>
      </x:c>
      <x:c r="D123" t="n">
        <x:v>7.982773373879026</x:v>
      </x:c>
      <x:c r="E123" t="n">
        <x:v>-7.939174714171959</x:v>
      </x:c>
      <x:c r="F123" t="str">
        <x:v>spy</x:v>
      </x:c>
    </x:row>
    <x:row r="124">
      <x:c r="A124" t="str">
        <x:v>EXP_051</x:v>
      </x:c>
      <x:c r="B124" t="str">
        <x:v>12</x:v>
      </x:c>
      <x:c r="C124" t="n">
        <x:v>14.536376392773942</x:v>
      </x:c>
      <x:c r="D124" t="n">
        <x:v>3.5308192636841707</x:v>
      </x:c>
      <x:c r="E124" t="n">
        <x:v>11.005557129089771</x:v>
      </x:c>
      <x:c r="F124" t="str">
        <x:v>strategy</x:v>
      </x:c>
    </x:row>
    <x:row r="125">
      <x:c r="A125" t="str">
        <x:v>EXP_051</x:v>
      </x:c>
      <x:c r="B125" t="str">
        <x:v>1</x:v>
      </x:c>
      <x:c r="C125" t="n">
        <x:v>-1.790329839853344</x:v>
      </x:c>
      <x:c r="D125" t="n">
        <x:v>2.1643946087871235</x:v>
      </x:c>
      <x:c r="E125" t="n">
        <x:v>-3.9547244486404676</x:v>
      </x:c>
      <x:c r="F125" t="str">
        <x:v>spy</x:v>
      </x:c>
    </x:row>
    <x:row r="126">
      <x:c r="A126" t="str">
        <x:v>EXP_051</x:v>
      </x:c>
      <x:c r="B126" t="str">
        <x:v>2</x:v>
      </x:c>
      <x:c r="C126" t="n">
        <x:v>35.41237687797021</x:v>
      </x:c>
      <x:c r="D126" t="n">
        <x:v>3.8593568875963546</x:v>
      </x:c>
      <x:c r="E126" t="n">
        <x:v>31.553019990373855</x:v>
      </x:c>
      <x:c r="F126" t="str">
        <x:v>strategy</x:v>
      </x:c>
    </x:row>
    <x:row r="127">
      <x:c r="A127" t="str">
        <x:v>EXP_051</x:v>
      </x:c>
      <x:c r="B127" t="str">
        <x:v>3</x:v>
      </x:c>
      <x:c r="C127" t="n">
        <x:v>10.37145312754979</x:v>
      </x:c>
      <x:c r="D127" t="n">
        <x:v>1.992791698313856</x:v>
      </x:c>
      <x:c r="E127" t="n">
        <x:v>8.378661429235933</x:v>
      </x:c>
      <x:c r="F127" t="str">
        <x:v>strategy</x:v>
      </x:c>
    </x:row>
    <x:row r="128">
      <x:c r="A128" t="str">
        <x:v>EXP_051</x:v>
      </x:c>
      <x:c r="B128" t="str">
        <x:v>4</x:v>
      </x:c>
      <x:c r="C128" t="n">
        <x:v>-6.4715135949628415</x:v>
      </x:c>
      <x:c r="D128" t="n">
        <x:v>-3.8647087475273345</x:v>
      </x:c>
      <x:c r="E128" t="n">
        <x:v>-2.606804847435507</x:v>
      </x:c>
      <x:c r="F128" t="str">
        <x:v>spy</x:v>
      </x:c>
    </x:row>
    <x:row r="129">
      <x:c r="A129" t="str">
        <x:v>EXP_051</x:v>
      </x:c>
      <x:c r="B129" t="str">
        <x:v>5</x:v>
      </x:c>
      <x:c r="C129" t="n">
        <x:v>0</x:v>
      </x:c>
      <x:c r="D129" t="n">
        <x:v>5.400217584504596</x:v>
      </x:c>
      <x:c r="E129" t="n">
        <x:v>-5.400217584504596</x:v>
      </x:c>
      <x:c r="F129" t="str">
        <x:v>spy</x:v>
      </x:c>
    </x:row>
    <x:row r="130">
      <x:c r="A130" t="str">
        <x:v>EXP_051</x:v>
      </x:c>
      <x:c r="B130" t="str">
        <x:v>6</x:v>
      </x:c>
      <x:c r="C130" t="n">
        <x:v>7.57742316371286</x:v>
      </x:c>
      <x:c r="D130" t="n">
        <x:v>3.111023738143226</x:v>
      </x:c>
      <x:c r="E130" t="n">
        <x:v>4.466399425569634</x:v>
      </x:c>
      <x:c r="F130" t="str">
        <x:v>strategy</x:v>
      </x:c>
    </x:row>
    <x:row r="131">
      <x:c r="A131" t="str">
        <x:v>EXP_051</x:v>
      </x:c>
      <x:c r="B131" t="str">
        <x:v>7</x:v>
      </x:c>
      <x:c r="C131" t="n">
        <x:v>-9.549746878216203</x:v>
      </x:c>
      <x:c r="D131" t="n">
        <x:v>1.0030385509506523</x:v>
      </x:c>
      <x:c r="E131" t="n">
        <x:v>-10.552785429166855</x:v>
      </x:c>
      <x:c r="F131" t="str">
        <x:v>spy</x:v>
      </x:c>
    </x:row>
    <x:row r="132">
      <x:c r="A132" t="str">
        <x:v>EXP_051</x:v>
      </x:c>
      <x:c r="B132" t="str">
        <x:v>8</x:v>
      </x:c>
      <x:c r="C132" t="n">
        <x:v>4.007453790346149</x:v>
      </x:c>
      <x:c r="D132" t="n">
        <x:v>3.806556516164017</x:v>
      </x:c>
      <x:c r="E132" t="n">
        <x:v>0.20089727418213243</x:v>
      </x:c>
      <x:c r="F132" t="str">
        <x:v>strategy</x:v>
      </x:c>
    </x:row>
    <x:row r="133">
      <x:c r="A133" t="str">
        <x:v>EXP_051</x:v>
      </x:c>
      <x:c r="B133" t="str">
        <x:v>9</x:v>
      </x:c>
      <x:c r="C133" t="n">
        <x:v>21.798328476713525</x:v>
      </x:c>
      <x:c r="D133" t="n">
        <x:v>3.9269656579968393</x:v>
      </x:c>
      <x:c r="E133" t="n">
        <x:v>17.871362818716687</x:v>
      </x:c>
      <x:c r="F133" t="str">
        <x:v>strategy</x:v>
      </x:c>
    </x:row>
    <x:row r="134">
      <x:c r="A134" t="str">
        <x:v>EXP_051</x:v>
      </x:c>
      <x:c r="B134" t="str">
        <x:v>10</x:v>
      </x:c>
      <x:c r="C134" t="n">
        <x:v>17.224362555657336</x:v>
      </x:c>
      <x:c r="D134" t="n">
        <x:v>0.0035207223491706685</x:v>
      </x:c>
      <x:c r="E134" t="n">
        <x:v>17.220841833308164</x:v>
      </x:c>
      <x:c r="F134" t="str">
        <x:v>strategy</x:v>
      </x:c>
    </x:row>
    <x:row r="135">
      <x:c r="A135" t="str">
        <x:v>EXP_051</x:v>
      </x:c>
      <x:c r="B135" t="str">
        <x:v>11</x:v>
      </x:c>
      <x:c r="C135" t="n">
        <x:v>39.91456546342687</x:v>
      </x:c>
      <x:c r="D135" t="n">
        <x:v>5.518004163994994</x:v>
      </x:c>
      <x:c r="E135" t="n">
        <x:v>34.39656129943187</x:v>
      </x:c>
      <x:c r="F135" t="str">
        <x:v>strategy</x:v>
      </x:c>
    </x:row>
    <x:row r="136">
      <x:c r="A136" t="str">
        <x:v>EXP_051</x:v>
      </x:c>
      <x:c r="B136" t="str">
        <x:v>12</x:v>
      </x:c>
      <x:c r="C136" t="n">
        <x:v>-7.742072017652967</x:v>
      </x:c>
      <x:c r="D136" t="n">
        <x:v>-2.907408122691979</x:v>
      </x:c>
      <x:c r="E136" t="n">
        <x:v>-4.834663894960988</x:v>
      </x:c>
      <x:c r="F136" t="str">
        <x:v>spy</x:v>
      </x:c>
    </x:row>
    <x:row r="137">
      <x:c r="A137" t="str">
        <x:v>EXP_051</x:v>
      </x:c>
      <x:c r="B137" t="str">
        <x:v>1</x:v>
      </x:c>
      <x:c r="C137" t="n">
        <x:v>12.957657766921438</x:v>
      </x:c>
      <x:c r="D137" t="n">
        <x:v>2.9385591552627766</x:v>
      </x:c>
      <x:c r="E137" t="n">
        <x:v>10.019098611658661</x:v>
      </x:c>
      <x:c r="F137" t="str">
        <x:v>strategy</x:v>
      </x:c>
    </x:row>
    <x:row r="138">
      <x:c r="A138" t="str">
        <x:v>EXP_051</x:v>
      </x:c>
      <x:c r="B138" t="str">
        <x:v>2</x:v>
      </x:c>
      <x:c r="C138" t="n">
        <x:v>-9.072724274545319</x:v>
      </x:c>
      <x:c r="D138" t="n">
        <x:v>-0.6005699078525106</x:v>
      </x:c>
      <x:c r="E138" t="n">
        <x:v>-8.47215436669281</x:v>
      </x:c>
      <x:c r="F138" t="str">
        <x:v>spy</x:v>
      </x:c>
    </x:row>
    <x:row r="139">
      <x:c r="A139" t="str">
        <x:v>EXP_051</x:v>
      </x:c>
      <x:c r="B139" t="str">
        <x:v>3</x:v>
      </x:c>
      <x:c r="C139" t="n">
        <x:v>0</x:v>
      </x:c>
      <x:c r="D139" t="n">
        <x:v>-4.176303007542071</x:v>
      </x:c>
      <x:c r="E139" t="n">
        <x:v>4.176303007542071</x:v>
      </x:c>
      <x:c r="F139" t="str">
        <x:v>strategy</x:v>
      </x:c>
    </x:row>
    <x:row r="140">
      <x:c r="A140" t="str">
        <x:v>EXP_051</x:v>
      </x:c>
      <x:c r="B140" t="str">
        <x:v>4</x:v>
      </x:c>
      <x:c r="C140" t="n">
        <x:v>0</x:v>
      </x:c>
      <x:c r="D140" t="n">
        <x:v>-1.1462276078204048</x:v>
      </x:c>
      <x:c r="E140" t="n">
        <x:v>1.1462276078204048</x:v>
      </x:c>
      <x:c r="F140" t="str">
        <x:v>strategy</x:v>
      </x:c>
    </x:row>
    <x:row r="141">
      <x:c r="A141" t="str">
        <x:v>EXP_051</x:v>
      </x:c>
      <x:c r="B141" t="str">
        <x:v>5</x:v>
      </x:c>
      <x:c r="C141" t="n">
        <x:v>0</x:v>
      </x:c>
      <x:c r="D141" t="n">
        <x:v>5.5365633905764655</x:v>
      </x:c>
      <x:c r="E141" t="n">
        <x:v>-5.5365633905764655</x:v>
      </x:c>
      <x:c r="F141" t="str">
        <x:v>spy</x:v>
      </x:c>
    </x:row>
    <x:row r="142">
      <x:c r="A142" t="str">
        <x:v>EXP_051</x:v>
      </x:c>
      <x:c r="B142" t="str">
        <x:v>6</x:v>
      </x:c>
      <x:c r="C142" t="n">
        <x:v>6.523541399711541</x:v>
      </x:c>
      <x:c r="D142" t="n">
        <x:v>4.241526662500239</x:v>
      </x:c>
      <x:c r="E142" t="n">
        <x:v>2.282014737211302</x:v>
      </x:c>
      <x:c r="F142" t="str">
        <x:v>strategy</x:v>
      </x:c>
    </x:row>
    <x:row r="143">
      <x:c r="A143" t="str">
        <x:v>EXP_051</x:v>
      </x:c>
      <x:c r="B143" t="str">
        <x:v>7</x:v>
      </x:c>
      <x:c r="C143" t="n">
        <x:v>5.977424787127372</x:v>
      </x:c>
      <x:c r="D143" t="n">
        <x:v>2.336273311001702</x:v>
      </x:c>
      <x:c r="E143" t="n">
        <x:v>3.6411514761256702</x:v>
      </x:c>
      <x:c r="F143" t="str">
        <x:v>strategy</x:v>
      </x:c>
    </x:row>
    <x:row r="144">
      <x:c r="A144" t="str">
        <x:v>EXP_051</x:v>
      </x:c>
      <x:c r="B144" t="str">
        <x:v>8</x:v>
      </x:c>
      <x:c r="C144" t="n">
        <x:v>2.081994510289409</x:v>
      </x:c>
      <x:c r="D144" t="n">
        <x:v>3.7524960093302084</x:v>
      </x:c>
      <x:c r="E144" t="n">
        <x:v>-1.6705014990407996</x:v>
      </x:c>
      <x:c r="F144" t="str">
        <x:v>spy</x:v>
      </x:c>
    </x:row>
    <x:row r="145">
      <x:c r="A145" t="str">
        <x:v>EXP_051</x:v>
      </x:c>
      <x:c r="B145" t="str">
        <x:v>9</x:v>
      </x:c>
      <x:c r="C145" t="n">
        <x:v>31.14412860000566</x:v>
      </x:c>
      <x:c r="D145" t="n">
        <x:v>4.046725967819076</x:v>
      </x:c>
      <x:c r="E145" t="n">
        <x:v>27.097402632186586</x:v>
      </x:c>
      <x:c r="F145" t="str">
        <x:v>strategy</x:v>
      </x:c>
    </x:row>
    <x:row r="146">
      <x:c r="A146" t="str">
        <x:v>EXP_051</x:v>
      </x:c>
      <x:c r="B146" t="str">
        <x:v>10</x:v>
      </x:c>
      <x:c r="C146" t="n">
        <x:v>3.891653567545972</x:v>
      </x:c>
      <x:c r="D146" t="n">
        <x:v>2.03605132815039</x:v>
      </x:c>
      <x:c r="E146" t="n">
        <x:v>1.8556022393955818</x:v>
      </x:c>
      <x:c r="F146" t="str">
        <x:v>strategy</x:v>
      </x:c>
    </x:row>
    <x:row r="147">
      <x:c r="A147" t="str">
        <x:v>EXP_051</x:v>
      </x:c>
      <x:c r="B147" t="str">
        <x:v>11</x:v>
      </x:c>
      <x:c r="C147" t="n">
        <x:v>10.039968452543025</x:v>
      </x:c>
      <x:c r="D147" t="n">
        <x:v>0.007315215120473617</x:v>
      </x:c>
      <x:c r="E147" t="n">
        <x:v>10.03265323742255</x:v>
      </x:c>
      <x:c r="F147" t="str">
        <x:v>strategy</x:v>
      </x:c>
    </x:row>
    <x:row r="148">
      <x:c r="A148" t="str">
        <x:v>EXP_051</x:v>
      </x:c>
      <x:c r="B148" t="str">
        <x:v>12</x:v>
      </x:c>
      <x:c r="C148" t="n">
        <x:v>20.197239103064078</x:v>
      </x:c>
      <x:c r="D148" t="n">
        <x:v>0.24254536162613416</x:v>
      </x:c>
      <x:c r="E148" t="n">
        <x:v>19.954693741437943</x:v>
      </x:c>
      <x:c r="F148" t="str">
        <x:v>strategy</x:v>
      </x:c>
    </x:row>
    <x:row r="149">
      <x:c r="A149" t="str">
        <x:v>EXP_051</x:v>
      </x:c>
      <x:c r="B149" t="str">
        <x:v>1</x:v>
      </x:c>
      <x:c r="C149" t="n">
        <x:v>7.232282495421516</x:v>
      </x:c>
      <x:c r="D149" t="n">
        <x:v>1.2881110138186491</x:v>
      </x:c>
      <x:c r="E149" t="n">
        <x:v>5.944171481602867</x:v>
      </x:c>
      <x:c r="F149" t="str">
        <x:v>strategy</x:v>
      </x:c>
    </x:row>
    <x:row r="150">
      <x:c r="A150" t="str">
        <x:v>EXP_051</x:v>
      </x:c>
      <x:c r="B150" t="str">
        <x:v>2</x:v>
      </x:c>
      <x:c r="C150" t="n">
        <x:v>16.56438114231684</x:v>
      </x:c>
      <x:c r="D150" t="n">
        <x:v>-1.354594163721956</x:v>
      </x:c>
      <x:c r="E150" t="n">
        <x:v>17.918975306038796</x:v>
      </x:c>
      <x:c r="F150" t="str">
        <x:v>strategy</x:v>
      </x:c>
    </x:row>
    <x:row r="151">
      <x:c r="A151" t="str">
        <x:v>EXP_051</x:v>
      </x:c>
      <x:c r="B151" t="str">
        <x:v>3</x:v>
      </x:c>
      <x:c r="C151" t="n">
        <x:v>0</x:v>
      </x:c>
      <x:c r="D151" t="n">
        <x:v>-7.9271007011600165</x:v>
      </x:c>
      <x:c r="E151" t="n">
        <x:v>7.9271007011600165</x:v>
      </x:c>
      <x:c r="F151" t="str">
        <x:v>strategy</x:v>
      </x:c>
    </x:row>
  </x:sheetData>
  <x:pageMargins left="0.7" right="0.7" top="0.75" bottom="0.75" header="0.3" footer="0.3"/>
  <x:tableParts count="1">
    <x:tablePart xmlns:r="http://schemas.openxmlformats.org/officeDocument/2006/relationships" r:id="Rb76e99fe3211473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.460000038146973" hidden="0" customWidth="1"/>
    <x:col min="6" max="6" width="22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1.569999694824219" hidden="0" customWidth="1"/>
    <x:col min="22" max="22" width="10.229999542236328" hidden="0" customWidth="1"/>
    <x:col min="23" max="23" width="16" hidden="0" customWidth="1"/>
    <x:col min="24" max="24" width="16" hidden="0" customWidth="1"/>
  </x:cols>
  <x:sheetData>
    <x:row r="1">
      <x:c r="A1" s="52" t="str">
        <x:v>ticker</x:v>
      </x:c>
      <x:c r="B1" s="53" t="str">
        <x:v>signal_date</x:v>
      </x:c>
      <x:c r="C1" s="53" t="str">
        <x:v>entry_date</x:v>
      </x:c>
      <x:c r="D1" s="53" t="str">
        <x:v>exit_date</x:v>
      </x:c>
      <x:c r="E1" s="52" t="str">
        <x:v>holding_days</x:v>
      </x:c>
      <x:c r="F1" s="52" t="str">
        <x:v>entry_reason</x:v>
      </x:c>
      <x:c r="G1" s="52" t="str">
        <x:v>exit_reason</x:v>
      </x:c>
      <x:c r="H1" s="52" t="str">
        <x:v>entry_rank</x:v>
      </x:c>
      <x:c r="I1" s="54" t="str">
        <x:v>entry_ranking_value</x:v>
      </x:c>
      <x:c r="J1" s="54" t="str">
        <x:v>shares</x:v>
      </x:c>
      <x:c r="K1" s="55" t="str">
        <x:v>entry_price</x:v>
      </x:c>
      <x:c r="L1" s="55" t="str">
        <x:v>exit_price</x:v>
      </x:c>
      <x:c r="M1" s="55" t="str">
        <x:v>notional_entry</x:v>
      </x:c>
      <x:c r="N1" s="55" t="str">
        <x:v>notional_exit</x:v>
      </x:c>
      <x:c r="O1" s="55" t="str">
        <x:v>entry_cost</x:v>
      </x:c>
      <x:c r="P1" s="55" t="str">
        <x:v>exit_cost</x:v>
      </x:c>
      <x:c r="Q1" s="55" t="str">
        <x:v>max_price_since_entry</x:v>
      </x:c>
      <x:c r="R1" s="54" t="str">
        <x:v>drawdown_from_peak_%</x:v>
      </x:c>
      <x:c r="S1" s="54" t="str">
        <x:v>gross_return_%</x:v>
      </x:c>
      <x:c r="T1" s="54" t="str">
        <x:v>net_return_%</x:v>
      </x:c>
      <x:c r="U1" s="56" t="str">
        <x:v>entry_year</x:v>
      </x:c>
      <x:c r="V1" s="56" t="str">
        <x:v>exit_year</x:v>
      </x:c>
      <x:c r="W1" s="55" t="str">
        <x:v>net_pnl_$</x:v>
      </x:c>
      <x:c r="X1" s="52" t="str">
        <x:v>resultado_regla</x:v>
      </x:c>
    </x:row>
    <x:row r="2">
      <x:c r="A2" t="str">
        <x:v>AAPL</x:v>
      </x:c>
      <x:c r="B2" t="n">
        <x:v>43861</x:v>
      </x:c>
      <x:c r="C2" t="n">
        <x:v>43864</x:v>
      </x:c>
      <x:c r="D2" t="n">
        <x:v>43892</x:v>
      </x:c>
      <x:c r="E2" t="n">
        <x:v>28</x:v>
      </x:c>
      <x:c r="F2" t="str">
        <x:v>enter_or_hold</x:v>
      </x:c>
      <x:c r="G2" t="str">
        <x:v>market_filter_failed</x:v>
      </x:c>
      <x:c r="H2" t="n">
        <x:v>5</x:v>
      </x:c>
      <x:c r="I2" t="n">
        <x:v>38.745028922064265</x:v>
      </x:c>
      <x:c r="J2" t="n">
        <x:v>21.54702551616587</x:v>
      </x:c>
      <x:c r="K2" t="n">
        <x:v>77.16500091552734</x:v>
      </x:c>
      <x:c r="L2" t="n">
        <x:v>74.70249938964844</x:v>
      </x:c>
      <x:c r="M2" t="n">
        <x:v>1662.6762436818303</x:v>
      </x:c>
      <x:c r="N2" t="n">
        <x:v>1609.6166604701202</x:v>
      </x:c>
      <x:c r="O2" t="n">
        <x:v>3.9904229848363926</x:v>
      </x:c>
      <x:c r="P2" t="n">
        <x:v>3.863079985128288</x:v>
      </x:c>
      <x:c r="Q2" t="n">
        <x:v>77.16500091552734</x:v>
      </x:c>
      <x:c r="R2" t="n">
        <x:v>-3.191215572685102</x:v>
      </x:c>
      <x:c r="S2" t="n">
        <x:v>-3.191215572685102</x:v>
      </x:c>
      <x:c r="T2" t="n">
        <x:v>-3.671215572685102</x:v>
      </x:c>
      <x:c r="U2" t="n">
        <x:f>YEAR(C2)</x:f>
        <x:v>2020</x:v>
      </x:c>
      <x:c r="V2" t="n">
        <x:f>YEAR(D2)</x:f>
        <x:v>2020</x:v>
      </x:c>
      <x:c r="W2" t="n">
        <x:f>N2-M2-O2-P2</x:f>
        <x:v>-60.913086181674785</x:v>
      </x:c>
      <x:c r="X2" t="str">
        <x:f>IF(T2&gt;1,"Ganador",IF(T2&lt;0,"Perdedor","Empate"))</x:f>
        <x:v>Perdedor</x:v>
      </x:c>
    </x:row>
    <x:row r="3">
      <x:c r="A3" t="str">
        <x:v>AMD</x:v>
      </x:c>
      <x:c r="B3" t="n">
        <x:v>43861</x:v>
      </x:c>
      <x:c r="C3" t="n">
        <x:v>43864</x:v>
      </x:c>
      <x:c r="D3" t="n">
        <x:v>43892</x:v>
      </x:c>
      <x:c r="E3" t="n">
        <x:v>28</x:v>
      </x:c>
      <x:c r="F3" t="str">
        <x:v>enter_or_hold</x:v>
      </x:c>
      <x:c r="G3" t="str">
        <x:v>market_filter_failed</x:v>
      </x:c>
      <x:c r="H3" t="n">
        <x:v>3</x:v>
      </x:c>
      <x:c r="I3" t="n">
        <x:v>43.94929939263695</x:v>
      </x:c>
      <x:c r="J3" t="n">
        <x:v>34.62466113769093</x:v>
      </x:c>
      <x:c r="K3" t="n">
        <x:v>48.02000045776367</x:v>
      </x:c>
      <x:c r="L3" t="n">
        <x:v>47.459999084472656</x:v>
      </x:c>
      <x:c r="M3" t="n">
        <x:v>1662.6762436818303</x:v>
      </x:c>
      <x:c r="N3" t="n">
        <x:v>1643.2863858949875</x:v>
      </x:c>
      <x:c r="O3" t="n">
        <x:v>3.9904229848363926</x:v>
      </x:c>
      <x:c r="P3" t="n">
        <x:v>3.9438873261479697</x:v>
      </x:c>
      <x:c r="Q3" t="n">
        <x:v>48.02000045776367</x:v>
      </x:c>
      <x:c r="R3" t="n">
        <x:v>-1.1661836067318854</x:v>
      </x:c>
      <x:c r="S3" t="n">
        <x:v>-1.1661836067318854</x:v>
      </x:c>
      <x:c r="T3" t="n">
        <x:v>-1.6461836067318854</x:v>
      </x:c>
      <x:c r="U3" t="n">
        <x:f>YEAR(C3)</x:f>
        <x:v>2020</x:v>
      </x:c>
      <x:c r="V3" t="n">
        <x:f>YEAR(D3)</x:f>
        <x:v>2020</x:v>
      </x:c>
      <x:c r="W3" t="n">
        <x:f>N3-M3-O3-P3</x:f>
        <x:v>-27.32416809782723</x:v>
      </x:c>
      <x:c r="X3" t="str">
        <x:f>IF(T3&gt;1,"Ganador",IF(T3&lt;0,"Perdedor","Empate"))</x:f>
        <x:v>Perdedor</x:v>
      </x:c>
    </x:row>
    <x:row r="4">
      <x:c r="A4" t="str">
        <x:v>DXCM</x:v>
      </x:c>
      <x:c r="B4" t="n">
        <x:v>43861</x:v>
      </x:c>
      <x:c r="C4" t="n">
        <x:v>43864</x:v>
      </x:c>
      <x:c r="D4" t="n">
        <x:v>43892</x:v>
      </x:c>
      <x:c r="E4" t="n">
        <x:v>28</x:v>
      </x:c>
      <x:c r="F4" t="str">
        <x:v>enter_or_hold</x:v>
      </x:c>
      <x:c r="G4" t="str">
        <x:v>market_filter_failed</x:v>
      </x:c>
      <x:c r="H4" t="n">
        <x:v>2</x:v>
      </x:c>
      <x:c r="I4" t="n">
        <x:v>48.33096555020087</x:v>
      </x:c>
      <x:c r="J4" t="n">
        <x:v>28.051394312094967</x:v>
      </x:c>
      <x:c r="K4" t="n">
        <x:v>59.272499084472656</x:v>
      </x:c>
      <x:c r="L4" t="n">
        <x:v>71.43250274658203</x:v>
      </x:c>
      <x:c r="M4" t="n">
        <x:v>1662.6762436818303</x:v>
      </x:c>
      <x:c r="N4" t="n">
        <x:v>2003.7813012441793</x:v>
      </x:c>
      <x:c r="O4" t="n">
        <x:v>3.9904229848363926</x:v>
      </x:c>
      <x:c r="P4" t="n">
        <x:v>4.80907512298603</x:v>
      </x:c>
      <x:c r="Q4" t="n">
        <x:v>59.272499084472656</x:v>
      </x:c>
      <x:c r="R4" t="n">
        <x:v>20.51542258202992</x:v>
      </x:c>
      <x:c r="S4" t="n">
        <x:v>20.51542258202992</x:v>
      </x:c>
      <x:c r="T4" t="n">
        <x:v>20.03542258202992</x:v>
      </x:c>
      <x:c r="U4" t="n">
        <x:f>YEAR(C4)</x:f>
        <x:v>2020</x:v>
      </x:c>
      <x:c r="V4" t="n">
        <x:f>YEAR(D4)</x:f>
        <x:v>2020</x:v>
      </x:c>
      <x:c r="W4" t="n">
        <x:f>N4-M4-O4-P4</x:f>
        <x:v>332.30555945452653</x:v>
      </x:c>
      <x:c r="X4" t="str">
        <x:f>IF(T4&gt;1,"Ganador",IF(T4&lt;0,"Perdedor","Empate"))</x:f>
        <x:v>Ganador</x:v>
      </x:c>
    </x:row>
    <x:row r="5">
      <x:c r="A5" t="str">
        <x:v>GNRC</x:v>
      </x:c>
      <x:c r="B5" t="n">
        <x:v>43861</x:v>
      </x:c>
      <x:c r="C5" t="n">
        <x:v>43864</x:v>
      </x:c>
      <x:c r="D5" t="n">
        <x:v>43892</x:v>
      </x:c>
      <x:c r="E5" t="n">
        <x:v>28</x:v>
      </x:c>
      <x:c r="F5" t="str">
        <x:v>enter_or_hold</x:v>
      </x:c>
      <x:c r="G5" t="str">
        <x:v>market_filter_failed</x:v>
      </x:c>
      <x:c r="H5" t="n">
        <x:v>6</x:v>
      </x:c>
      <x:c r="I5" t="n">
        <x:v>38.54059000907382</x:v>
      </x:c>
      <x:c r="J5" t="n">
        <x:v>16.02734025371046</x:v>
      </x:c>
      <x:c r="K5" t="n">
        <x:v>103.73999786376952</x:v>
      </x:c>
      <x:c r="L5" t="n">
        <x:v>108.91000366210938</x:v>
      </x:c>
      <x:c r="M5" t="n">
        <x:v>1662.6762436818303</x:v>
      </x:c>
      <x:c r="N5" t="n">
        <x:v>1745.5376857254792</x:v>
      </x:c>
      <x:c r="O5" t="n">
        <x:v>3.9904229848363926</x:v>
      </x:c>
      <x:c r="P5" t="n">
        <x:v>4.1892904457411495</x:v>
      </x:c>
      <x:c r="Q5" t="n">
        <x:v>103.73999786376952</x:v>
      </x:c>
      <x:c r="R5" t="n">
        <x:v>4.983618570273229</x:v>
      </x:c>
      <x:c r="S5" t="n">
        <x:v>4.983618570273229</x:v>
      </x:c>
      <x:c r="T5" t="n">
        <x:v>4.503618570273229</x:v>
      </x:c>
      <x:c r="U5" t="n">
        <x:f>YEAR(C5)</x:f>
        <x:v>2020</x:v>
      </x:c>
      <x:c r="V5" t="n">
        <x:f>YEAR(D5)</x:f>
        <x:v>2020</x:v>
      </x:c>
      <x:c r="W5" t="n">
        <x:f>N5-M5-O5-P5</x:f>
        <x:v>74.68172861307129</x:v>
      </x:c>
      <x:c r="X5" t="str">
        <x:f>IF(T5&gt;1,"Ganador",IF(T5&lt;0,"Perdedor","Empate"))</x:f>
        <x:v>Ganador</x:v>
      </x:c>
    </x:row>
    <x:row r="6">
      <x:c r="A6" t="str">
        <x:v>PODD</x:v>
      </x:c>
      <x:c r="B6" t="n">
        <x:v>43861</x:v>
      </x:c>
      <x:c r="C6" t="n">
        <x:v>43864</x:v>
      </x:c>
      <x:c r="D6" t="n">
        <x:v>43892</x:v>
      </x:c>
      <x:c r="E6" t="n">
        <x:v>28</x:v>
      </x:c>
      <x:c r="F6" t="str">
        <x:v>enter_or_hold</x:v>
      </x:c>
      <x:c r="G6" t="str">
        <x:v>market_filter_failed</x:v>
      </x:c>
      <x:c r="H6" t="n">
        <x:v>4</x:v>
      </x:c>
      <x:c r="I6" t="n">
        <x:v>43.77060330772278</x:v>
      </x:c>
      <x:c r="J6" t="n">
        <x:v>8.533546884277419</x:v>
      </x:c>
      <x:c r="K6" t="n">
        <x:v>194.83999633789065</x:v>
      </x:c>
      <x:c r="L6" t="n">
        <x:v>181.50999450683597</x:v>
      </x:c>
      <x:c r="M6" t="n">
        <x:v>1662.6762436818303</x:v>
      </x:c>
      <x:c r="N6" t="n">
        <x:v>1548.9240480890214</x:v>
      </x:c>
      <x:c r="O6" t="n">
        <x:v>3.9904229848363926</x:v>
      </x:c>
      <x:c r="P6" t="n">
        <x:v>3.717417715413651</x:v>
      </x:c>
      <x:c r="Q6" t="n">
        <x:v>194.83999633789065</x:v>
      </x:c>
      <x:c r="R6" t="n">
        <x:v>-6.8415120517339005</x:v>
      </x:c>
      <x:c r="S6" t="n">
        <x:v>-6.8415120517339005</x:v>
      </x:c>
      <x:c r="T6" t="n">
        <x:v>-7.321512051733901</x:v>
      </x:c>
      <x:c r="U6" t="n">
        <x:f>YEAR(C6)</x:f>
        <x:v>2020</x:v>
      </x:c>
      <x:c r="V6" t="n">
        <x:f>YEAR(D6)</x:f>
        <x:v>2020</x:v>
      </x:c>
      <x:c r="W6" t="n">
        <x:f>N6-M6-O6-P6</x:f>
        <x:v>-121.46003629305893</x:v>
      </x:c>
      <x:c r="X6" t="str">
        <x:f>IF(T6&gt;1,"Ganador",IF(T6&lt;0,"Perdedor","Empate"))</x:f>
        <x:v>Perdedor</x:v>
      </x:c>
    </x:row>
    <x:row r="7">
      <x:c r="A7" t="str">
        <x:v>TSLA</x:v>
      </x:c>
      <x:c r="B7" t="n">
        <x:v>43861</x:v>
      </x:c>
      <x:c r="C7" t="n">
        <x:v>43864</x:v>
      </x:c>
      <x:c r="D7" t="n">
        <x:v>43892</x:v>
      </x:c>
      <x:c r="E7" t="n">
        <x:v>28</x:v>
      </x:c>
      <x:c r="F7" t="str">
        <x:v>enter_or_hold</x:v>
      </x:c>
      <x:c r="G7" t="str">
        <x:v>market_filter_failed</x:v>
      </x:c>
      <x:c r="H7" t="n">
        <x:v>1</x:v>
      </x:c>
      <x:c r="I7" t="n">
        <x:v>121.72161161305324</x:v>
      </x:c>
      <x:c r="J7" t="n">
        <x:v>31.974543147727505</x:v>
      </x:c>
      <x:c r="K7" t="n">
        <x:v>52</x:v>
      </x:c>
      <x:c r="L7" t="n">
        <x:v>49.574668884277344</x:v>
      </x:c>
      <x:c r="M7" t="n">
        <x:v>1662.6762436818303</x:v>
      </x:c>
      <x:c r="N7" t="n">
        <x:v>1585.12738927463</x:v>
      </x:c>
      <x:c r="O7" t="n">
        <x:v>3.9904229848363926</x:v>
      </x:c>
      <x:c r="P7" t="n">
        <x:v>3.804305734259112</x:v>
      </x:c>
      <x:c r="Q7" t="n">
        <x:v>52</x:v>
      </x:c>
      <x:c r="R7" t="n">
        <x:v>-4.664098299466646</x:v>
      </x:c>
      <x:c r="S7" t="n">
        <x:v>-4.664098299466646</x:v>
      </x:c>
      <x:c r="T7" t="n">
        <x:v>-5.144098299466647</x:v>
      </x:c>
      <x:c r="U7" t="n">
        <x:f>YEAR(C7)</x:f>
        <x:v>2020</x:v>
      </x:c>
      <x:c r="V7" t="n">
        <x:f>YEAR(D7)</x:f>
        <x:v>2020</x:v>
      </x:c>
      <x:c r="W7" t="n">
        <x:f>N7-M7-O7-P7</x:f>
        <x:v>-85.34358312629573</x:v>
      </x:c>
      <x:c r="X7" t="str">
        <x:f>IF(T7&gt;1,"Ganador",IF(T7&lt;0,"Perdedor","Empate"))</x:f>
        <x:v>Perdedor</x:v>
      </x:c>
    </x:row>
    <x:row r="8">
      <x:c r="A8" t="str">
        <x:v>AMD</x:v>
      </x:c>
      <x:c r="B8" t="n">
        <x:v>43945</x:v>
      </x:c>
      <x:c r="C8" t="n">
        <x:v>43948</x:v>
      </x:c>
      <x:c r="D8" t="n">
        <x:v>43983</x:v>
      </x:c>
      <x:c r="E8" t="n">
        <x:v>35</x:v>
      </x:c>
      <x:c r="F8" t="str">
        <x:v>enter_or_hold</x:v>
      </x:c>
      <x:c r="G8" t="str">
        <x:v>left_top_n</x:v>
      </x:c>
      <x:c r="H8" t="n">
        <x:v>6</x:v>
      </x:c>
      <x:c r="I8" t="n">
        <x:v>47.565793257267</x:v>
      </x:c>
      <x:c r="J8" t="n">
        <x:v>29.76259971853286</x:v>
      </x:c>
      <x:c r="K8" t="n">
        <x:v>56.4900016784668</x:v>
      </x:c>
      <x:c r="L8" t="n">
        <x:v>53.630001068115234</x:v>
      </x:c>
      <x:c r="M8" t="n">
        <x:v>1681.2893080554568</x:v>
      </x:c>
      <x:c r="N8" t="n">
        <x:v>1596.1682546948036</x:v>
      </x:c>
      <x:c r="O8" t="n">
        <x:v>4.035094339333096</x:v>
      </x:c>
      <x:c r="P8" t="n">
        <x:v>3.8308038112675282</x:v>
      </x:c>
      <x:c r="Q8" t="n">
        <x:v>56.4900016784668</x:v>
      </x:c>
      <x:c r="R8" t="n">
        <x:v>-5.062843911087644</x:v>
      </x:c>
      <x:c r="S8" t="n">
        <x:v>-5.062843911087644</x:v>
      </x:c>
      <x:c r="T8" t="n">
        <x:v>-5.542843911087644</x:v>
      </x:c>
      <x:c r="U8" t="n">
        <x:f>YEAR(C8)</x:f>
        <x:v>2020</x:v>
      </x:c>
      <x:c r="V8" t="n">
        <x:f>YEAR(D8)</x:f>
        <x:v>2020</x:v>
      </x:c>
      <x:c r="W8" t="n">
        <x:f>N8-M8-O8-P8</x:f>
        <x:v>-92.98695151125378</x:v>
      </x:c>
      <x:c r="X8" t="str">
        <x:f>IF(T8&gt;1,"Ganador",IF(T8&lt;0,"Perdedor","Empate"))</x:f>
        <x:v>Perdedor</x:v>
      </x:c>
    </x:row>
    <x:row r="9">
      <x:c r="A9" t="str">
        <x:v>NEM</x:v>
      </x:c>
      <x:c r="B9" t="n">
        <x:v>43945</x:v>
      </x:c>
      <x:c r="C9" t="n">
        <x:v>43948</x:v>
      </x:c>
      <x:c r="D9" t="n">
        <x:v>43983</x:v>
      </x:c>
      <x:c r="E9" t="n">
        <x:v>35</x:v>
      </x:c>
      <x:c r="F9" t="str">
        <x:v>enter_or_hold</x:v>
      </x:c>
      <x:c r="G9" t="str">
        <x:v>left_top_n</x:v>
      </x:c>
      <x:c r="H9" t="n">
        <x:v>5</x:v>
      </x:c>
      <x:c r="I9" t="n">
        <x:v>54.67043835692576</x:v>
      </x:c>
      <x:c r="J9" t="n">
        <x:v>26.853366741182917</x:v>
      </x:c>
      <x:c r="K9" t="n">
        <x:v>62.61000061035156</x:v>
      </x:c>
      <x:c r="L9" t="n">
        <x:v>60.4900016784668</x:v>
      </x:c>
      <x:c r="M9" t="n">
        <x:v>1681.2893080554568</x:v>
      </x:c>
      <x:c r="N9" t="n">
        <x:v>1624.360199246639</x:v>
      </x:c>
      <x:c r="O9" t="n">
        <x:v>4.035094339333096</x:v>
      </x:c>
      <x:c r="P9" t="n">
        <x:v>3.8984644781919333</x:v>
      </x:c>
      <x:c r="Q9" t="n">
        <x:v>62.61000061035156</x:v>
      </x:c>
      <x:c r="R9" t="n">
        <x:v>-3.3860388296087285</x:v>
      </x:c>
      <x:c r="S9" t="n">
        <x:v>-3.3860388296087285</x:v>
      </x:c>
      <x:c r="T9" t="n">
        <x:v>-3.8660388296087285</x:v>
      </x:c>
      <x:c r="U9" t="n">
        <x:f>YEAR(C9)</x:f>
        <x:v>2020</x:v>
      </x:c>
      <x:c r="V9" t="n">
        <x:f>YEAR(D9)</x:f>
        <x:v>2020</x:v>
      </x:c>
      <x:c r="W9" t="n">
        <x:f>N9-M9-O9-P9</x:f>
        <x:v>-64.86266762634281</x:v>
      </x:c>
      <x:c r="X9" t="str">
        <x:f>IF(T9&gt;1,"Ganador",IF(T9&lt;0,"Perdedor","Empate"))</x:f>
        <x:v>Perdedor</x:v>
      </x:c>
    </x:row>
    <x:row r="10">
      <x:c r="A10" t="str">
        <x:v>DXCM</x:v>
      </x:c>
      <x:c r="B10" t="n">
        <x:v>43945</x:v>
      </x:c>
      <x:c r="C10" t="n">
        <x:v>43948</x:v>
      </x:c>
      <x:c r="D10" t="n">
        <x:v>43983</x:v>
      </x:c>
      <x:c r="E10" t="n">
        <x:v>35</x:v>
      </x:c>
      <x:c r="F10" t="str">
        <x:v>enter_or_hold</x:v>
      </x:c>
      <x:c r="G10" t="str">
        <x:v>rebalance_trim</x:v>
      </x:c>
      <x:c r="H10" t="n">
        <x:v>3</x:v>
      </x:c>
      <x:c r="I10" t="n">
        <x:v>70.54613382172508</x:v>
      </x:c>
      <x:c r="J10" t="n">
        <x:v>0.672305336763177</x:v>
      </x:c>
      <x:c r="K10" t="n">
        <x:v>83.76249694824219</x:v>
      </x:c>
      <x:c r="L10" t="n">
        <x:v>94.6750030517578</x:v>
      </x:c>
      <x:c r="M10" t="n">
        <x:v>56.31397371891256</x:v>
      </x:c>
      <x:c r="N10" t="n">
        <x:v>63.650509809766845</x:v>
      </x:c>
      <x:c r="O10" t="n">
        <x:v>0.13515353692539012</x:v>
      </x:c>
      <x:c r="P10" t="n">
        <x:v>0.1527612235434404</x:v>
      </x:c>
      <x:c r="Q10" t="n">
        <x:v>83.76249694824219</x:v>
      </x:c>
      <x:c r="R10" t="n">
        <x:v>13.027914043988641</x:v>
      </x:c>
      <x:c r="S10" t="n">
        <x:v>13.027914043988641</x:v>
      </x:c>
      <x:c r="T10" t="n">
        <x:v>12.54791404398864</x:v>
      </x:c>
      <x:c r="U10" t="n">
        <x:f>YEAR(C10)</x:f>
        <x:v>2020</x:v>
      </x:c>
      <x:c r="V10" t="n">
        <x:f>YEAR(D10)</x:f>
        <x:v>2020</x:v>
      </x:c>
      <x:c r="W10" t="n">
        <x:f>N10-M10-O10-P10</x:f>
        <x:v>7.0486213303854575</x:v>
      </x:c>
      <x:c r="X10" t="str">
        <x:f>IF(T10&gt;1,"Ganador",IF(T10&lt;0,"Perdedor","Empate"))</x:f>
        <x:v>Ganador</x:v>
      </x:c>
    </x:row>
    <x:row r="11">
      <x:c r="A11" t="str">
        <x:v>MRNA</x:v>
      </x:c>
      <x:c r="B11" t="n">
        <x:v>43945</x:v>
      </x:c>
      <x:c r="C11" t="n">
        <x:v>43948</x:v>
      </x:c>
      <x:c r="D11" t="n">
        <x:v>43983</x:v>
      </x:c>
      <x:c r="E11" t="n">
        <x:v>35</x:v>
      </x:c>
      <x:c r="F11" t="str">
        <x:v>enter_or_hold</x:v>
      </x:c>
      <x:c r="G11" t="str">
        <x:v>rebalance_trim</x:v>
      </x:c>
      <x:c r="H11" t="n">
        <x:v>1</x:v>
      </x:c>
      <x:c r="I11" t="n">
        <x:v>146.66425520000547</x:v>
      </x:c>
      <x:c r="J11" t="n">
        <x:v>5.452366555394242</x:v>
      </x:c>
      <x:c r="K11" t="n">
        <x:v>48.04999923706055</x:v>
      </x:c>
      <x:c r="L11" t="n">
        <x:v>62.18000030517578</x:v>
      </x:c>
      <x:c r="M11" t="n">
        <x:v>261.98620882686777</x:v>
      </x:c>
      <x:c r="N11" t="n">
        <x:v>339.0281540783442</x:v>
      </x:c>
      <x:c r="O11" t="n">
        <x:v>0.6287669011844826</x:v>
      </x:c>
      <x:c r="P11" t="n">
        <x:v>0.813667569788026</x:v>
      </x:c>
      <x:c r="Q11" t="n">
        <x:v>48.04999923706055</x:v>
      </x:c>
      <x:c r="R11" t="n">
        <x:v>29.406870535841524</x:v>
      </x:c>
      <x:c r="S11" t="n">
        <x:v>29.406870535841524</x:v>
      </x:c>
      <x:c r="T11" t="n">
        <x:v>28.926870535841523</x:v>
      </x:c>
      <x:c r="U11" t="n">
        <x:f>YEAR(C11)</x:f>
        <x:v>2020</x:v>
      </x:c>
      <x:c r="V11" t="n">
        <x:f>YEAR(D11)</x:f>
        <x:v>2020</x:v>
      </x:c>
      <x:c r="W11" t="n">
        <x:f>N11-M11-O11-P11</x:f>
        <x:v>75.59951078050392</x:v>
      </x:c>
      <x:c r="X11" t="str">
        <x:f>IF(T11&gt;1,"Ganador",IF(T11&lt;0,"Perdedor","Empate"))</x:f>
        <x:v>Ganador</x:v>
      </x:c>
    </x:row>
    <x:row r="12">
      <x:c r="A12" t="str">
        <x:v>REGN</x:v>
      </x:c>
      <x:c r="B12" t="n">
        <x:v>43945</x:v>
      </x:c>
      <x:c r="C12" t="n">
        <x:v>43948</x:v>
      </x:c>
      <x:c r="D12" t="n">
        <x:v>43983</x:v>
      </x:c>
      <x:c r="E12" t="n">
        <x:v>35</x:v>
      </x:c>
      <x:c r="F12" t="str">
        <x:v>enter_or_hold</x:v>
      </x:c>
      <x:c r="G12" t="str">
        <x:v>rebalance_trim</x:v>
      </x:c>
      <x:c r="H12" t="n">
        <x:v>4</x:v>
      </x:c>
      <x:c r="I12" t="n">
        <x:v>59.14670994184368</x:v>
      </x:c>
      <x:c r="J12" t="n">
        <x:v>0.006903026629535048</x:v>
      </x:c>
      <x:c r="K12" t="n">
        <x:v>547.52001953125</x:v>
      </x:c>
      <x:c r="L12" t="n">
        <x:v>599.469970703125</x:v>
      </x:c>
      <x:c r="M12" t="n">
        <x:v>3.7795452750277683</x:v>
      </x:c>
      <x:c r="N12" t="n">
        <x:v>4.138157171370267</x:v>
      </x:c>
      <x:c r="O12" t="n">
        <x:v>0.009070908660066643</x:v>
      </x:c>
      <x:c r="P12" t="n">
        <x:v>0.00993157721128864</x:v>
      </x:c>
      <x:c r="Q12" t="n">
        <x:v>547.52001953125</x:v>
      </x:c>
      <x:c r="R12" t="n">
        <x:v>9.488228616069794</x:v>
      </x:c>
      <x:c r="S12" t="n">
        <x:v>9.488228616069794</x:v>
      </x:c>
      <x:c r="T12" t="n">
        <x:v>9.008228616069793</x:v>
      </x:c>
      <x:c r="U12" t="n">
        <x:f>YEAR(C12)</x:f>
        <x:v>2020</x:v>
      </x:c>
      <x:c r="V12" t="n">
        <x:f>YEAR(D12)</x:f>
        <x:v>2020</x:v>
      </x:c>
      <x:c r="W12" t="n">
        <x:f>N12-M12-O12-P12</x:f>
        <x:v>0.3396094104711434</x:v>
      </x:c>
      <x:c r="X12" t="str">
        <x:f>IF(T12&gt;1,"Ganador",IF(T12&lt;0,"Perdedor","Empate"))</x:f>
        <x:v>Ganador</x:v>
      </x:c>
    </x:row>
    <x:row r="13">
      <x:c r="A13" t="str">
        <x:v>TSLA</x:v>
      </x:c>
      <x:c r="B13" t="n">
        <x:v>43945</x:v>
      </x:c>
      <x:c r="C13" t="n">
        <x:v>43948</x:v>
      </x:c>
      <x:c r="D13" t="n">
        <x:v>43983</x:v>
      </x:c>
      <x:c r="E13" t="n">
        <x:v>35</x:v>
      </x:c>
      <x:c r="F13" t="str">
        <x:v>enter_or_hold</x:v>
      </x:c>
      <x:c r="G13" t="str">
        <x:v>rebalance_trim</x:v>
      </x:c>
      <x:c r="H13" t="n">
        <x:v>2</x:v>
      </x:c>
      <x:c r="I13" t="n">
        <x:v>91.01609867002064</x:v>
      </x:c>
      <x:c r="J13" t="n">
        <x:v>0.8974853891759076</x:v>
      </x:c>
      <x:c r="K13" t="n">
        <x:v>53.25</x:v>
      </x:c>
      <x:c r="L13" t="n">
        <x:v>59.87333297729492</x:v>
      </x:c>
      <x:c r="M13" t="n">
        <x:v>47.79109697361708</x:v>
      </x:c>
      <x:c r="N13" t="n">
        <x:v>53.735441548386234</x:v>
      </x:c>
      <x:c r="O13" t="n">
        <x:v>0.11469863273668097</x:v>
      </x:c>
      <x:c r="P13" t="n">
        <x:v>0.12896505971612696</x:v>
      </x:c>
      <x:c r="Q13" t="n">
        <x:v>53.25</x:v>
      </x:c>
      <x:c r="R13" t="n">
        <x:v>12.438183994920049</x:v>
      </x:c>
      <x:c r="S13" t="n">
        <x:v>12.438183994920049</x:v>
      </x:c>
      <x:c r="T13" t="n">
        <x:v>11.958183994920049</x:v>
      </x:c>
      <x:c r="U13" t="n">
        <x:f>YEAR(C13)</x:f>
        <x:v>2020</x:v>
      </x:c>
      <x:c r="V13" t="n">
        <x:f>YEAR(D13)</x:f>
        <x:v>2020</x:v>
      </x:c>
      <x:c r="W13" t="n">
        <x:f>N13-M13-O13-P13</x:f>
        <x:v>5.700680882316346</x:v>
      </x:c>
      <x:c r="X13" t="str">
        <x:f>IF(T13&gt;1,"Ganador",IF(T13&lt;0,"Perdedor","Empate"))</x:f>
        <x:v>Ganador</x:v>
      </x:c>
    </x:row>
    <x:row r="14">
      <x:c r="A14" t="str">
        <x:v>FTNT</x:v>
      </x:c>
      <x:c r="B14" t="n">
        <x:v>43980</x:v>
      </x:c>
      <x:c r="C14" t="n">
        <x:v>43983</x:v>
      </x:c>
      <x:c r="D14" t="n">
        <x:v>44011</x:v>
      </x:c>
      <x:c r="E14" t="n">
        <x:v>28</x:v>
      </x:c>
      <x:c r="F14" t="str">
        <x:v>enter_or_hold</x:v>
      </x:c>
      <x:c r="G14" t="str">
        <x:v>left_top_n</x:v>
      </x:c>
      <x:c r="H14" t="n">
        <x:v>6</x:v>
      </x:c>
      <x:c r="I14" t="n">
        <x:v>42.63025862517571</x:v>
      </x:c>
      <x:c r="J14" t="n">
        <x:v>63.272085269142366</x:v>
      </x:c>
      <x:c r="K14" t="n">
        <x:v>28.950000762939453</x:v>
      </x:c>
      <x:c r="L14" t="n">
        <x:v>26.694000244140625</x:v>
      </x:c>
      <x:c r="M14" t="n">
        <x:v>1831.7269168144417</x:v>
      </x:c>
      <x:c r="N14" t="n">
        <x:v>1688.9850596217727</x:v>
      </x:c>
      <x:c r="O14" t="n">
        <x:v>4.39614460035466</x:v>
      </x:c>
      <x:c r="P14" t="n">
        <x:v>4.053564143092254</x:v>
      </x:c>
      <x:c r="Q14" t="n">
        <x:v>28.950000762939453</x:v>
      </x:c>
      <x:c r="R14" t="n">
        <x:v>-7.792747700673164</x:v>
      </x:c>
      <x:c r="S14" t="n">
        <x:v>-7.792747700673164</x:v>
      </x:c>
      <x:c r="T14" t="n">
        <x:v>-8.272747700673165</x:v>
      </x:c>
      <x:c r="U14" t="n">
        <x:f>YEAR(C14)</x:f>
        <x:v>2020</x:v>
      </x:c>
      <x:c r="V14" t="n">
        <x:f>YEAR(D14)</x:f>
        <x:v>2020</x:v>
      </x:c>
      <x:c r="W14" t="n">
        <x:f>N14-M14-O14-P14</x:f>
        <x:v>-151.19156593611584</x:v>
      </x:c>
      <x:c r="X14" t="str">
        <x:f>IF(T14&gt;1,"Ganador",IF(T14&lt;0,"Perdedor","Empate"))</x:f>
        <x:v>Perdedor</x:v>
      </x:c>
    </x:row>
    <x:row r="15">
      <x:c r="A15" t="str">
        <x:v>DXCM</x:v>
      </x:c>
      <x:c r="B15" t="n">
        <x:v>43945</x:v>
      </x:c>
      <x:c r="C15" t="n">
        <x:v>43948</x:v>
      </x:c>
      <x:c r="D15" t="n">
        <x:v>44011</x:v>
      </x:c>
      <x:c r="E15" t="n">
        <x:v>63</x:v>
      </x:c>
      <x:c r="F15" t="str">
        <x:v>enter_or_hold</x:v>
      </x:c>
      <x:c r="G15" t="str">
        <x:v>rebalance_trim</x:v>
      </x:c>
      <x:c r="H15" t="n">
        <x:v>3</x:v>
      </x:c>
      <x:c r="I15" t="n">
        <x:v>70.54613382172508</x:v>
      </x:c>
      <x:c r="J15" t="n">
        <x:v>0.4824609401106039</x:v>
      </x:c>
      <x:c r="K15" t="n">
        <x:v>83.76249694824219</x:v>
      </x:c>
      <x:c r="L15" t="n">
        <x:v>99.5500030517578</x:v>
      </x:c>
      <x:c r="M15" t="n">
        <x:v>40.41213302366052</x:v>
      </x:c>
      <x:c r="N15" t="n">
        <x:v>48.028988060364554</x:v>
      </x:c>
      <x:c r="O15" t="n">
        <x:v>0.09698911925678524</x:v>
      </x:c>
      <x:c r="P15" t="n">
        <x:v>0.11526957134487492</x:v>
      </x:c>
      <x:c r="Q15" t="n">
        <x:v>83.76249694824219</x:v>
      </x:c>
      <x:c r="R15" t="n">
        <x:v>18.847941117694834</x:v>
      </x:c>
      <x:c r="S15" t="n">
        <x:v>18.847941117694834</x:v>
      </x:c>
      <x:c r="T15" t="n">
        <x:v>18.367941117694834</x:v>
      </x:c>
      <x:c r="U15" t="n">
        <x:f>YEAR(C15)</x:f>
        <x:v>2020</x:v>
      </x:c>
      <x:c r="V15" t="n">
        <x:f>YEAR(D15)</x:f>
        <x:v>2020</x:v>
      </x:c>
      <x:c r="W15" t="n">
        <x:f>N15-M15-O15-P15</x:f>
        <x:v>7.4045963461023705</x:v>
      </x:c>
      <x:c r="X15" t="str">
        <x:f>IF(T15&gt;1,"Ganador",IF(T15&lt;0,"Perdedor","Empate"))</x:f>
        <x:v>Ganador</x:v>
      </x:c>
    </x:row>
    <x:row r="16">
      <x:c r="A16" t="str">
        <x:v>NVDA</x:v>
      </x:c>
      <x:c r="B16" t="n">
        <x:v>43980</x:v>
      </x:c>
      <x:c r="C16" t="n">
        <x:v>43983</x:v>
      </x:c>
      <x:c r="D16" t="n">
        <x:v>44011</x:v>
      </x:c>
      <x:c r="E16" t="n">
        <x:v>28</x:v>
      </x:c>
      <x:c r="F16" t="str">
        <x:v>enter_or_hold</x:v>
      </x:c>
      <x:c r="G16" t="str">
        <x:v>rebalance_trim</x:v>
      </x:c>
      <x:c r="H16" t="n">
        <x:v>5</x:v>
      </x:c>
      <x:c r="I16" t="n">
        <x:v>60.0826849463052</x:v>
      </x:c>
      <x:c r="J16" t="n">
        <x:v>3.305154751829287</x:v>
      </x:c>
      <x:c r="K16" t="n">
        <x:v>8.806249618530273</x:v>
      </x:c>
      <x:c r="L16" t="n">
        <x:v>9.199999809265137</x:v>
      </x:c>
      <x:c r="M16" t="n">
        <x:v>29.106017772480183</x:v>
      </x:c>
      <x:c r="N16" t="n">
        <x:v>30.407423086421204</x:v>
      </x:c>
      <x:c r="O16" t="n">
        <x:v>0.06985444265395244</x:v>
      </x:c>
      <x:c r="P16" t="n">
        <x:v>0.07297781540741088</x:v>
      </x:c>
      <x:c r="Q16" t="n">
        <x:v>8.806249618530273</x:v>
      </x:c>
      <x:c r="R16" t="n">
        <x:v>4.471258569667702</x:v>
      </x:c>
      <x:c r="S16" t="n">
        <x:v>4.471258569667702</x:v>
      </x:c>
      <x:c r="T16" t="n">
        <x:v>3.991258569667702</x:v>
      </x:c>
      <x:c r="U16" t="n">
        <x:f>YEAR(C16)</x:f>
        <x:v>2020</x:v>
      </x:c>
      <x:c r="V16" t="n">
        <x:f>YEAR(D16)</x:f>
        <x:v>2020</x:v>
      </x:c>
      <x:c r="W16" t="n">
        <x:f>N16-M16-O16-P16</x:f>
        <x:v>1.1585730558796583</x:v>
      </x:c>
      <x:c r="X16" t="str">
        <x:f>IF(T16&gt;1,"Ganador",IF(T16&lt;0,"Perdedor","Empate"))</x:f>
        <x:v>Ganador</x:v>
      </x:c>
    </x:row>
    <x:row r="17">
      <x:c r="A17" t="str">
        <x:v>TSLA</x:v>
      </x:c>
      <x:c r="B17" t="n">
        <x:v>43945</x:v>
      </x:c>
      <x:c r="C17" t="n">
        <x:v>43948</x:v>
      </x:c>
      <x:c r="D17" t="n">
        <x:v>44011</x:v>
      </x:c>
      <x:c r="E17" t="n">
        <x:v>63</x:v>
      </x:c>
      <x:c r="F17" t="str">
        <x:v>enter_or_hold</x:v>
      </x:c>
      <x:c r="G17" t="str">
        <x:v>rebalance_trim</x:v>
      </x:c>
      <x:c r="H17" t="n">
        <x:v>2</x:v>
      </x:c>
      <x:c r="I17" t="n">
        <x:v>91.01609867002064</x:v>
      </x:c>
      <x:c r="J17" t="n">
        <x:v>2.6893870642235043</x:v>
      </x:c>
      <x:c r="K17" t="n">
        <x:v>53.25</x:v>
      </x:c>
      <x:c r="L17" t="n">
        <x:v>67.29000091552734</x:v>
      </x:c>
      <x:c r="M17" t="n">
        <x:v>143.20986116990161</x:v>
      </x:c>
      <x:c r="N17" t="n">
        <x:v>180.968858013807</x:v>
      </x:c>
      <x:c r="O17" t="n">
        <x:v>0.3437036668077639</x:v>
      </x:c>
      <x:c r="P17" t="n">
        <x:v>0.43432525923313675</x:v>
      </x:c>
      <x:c r="Q17" t="n">
        <x:v>53.25</x:v>
      </x:c>
      <x:c r="R17" t="n">
        <x:v>26.366198902398775</x:v>
      </x:c>
      <x:c r="S17" t="n">
        <x:v>26.366198902398775</x:v>
      </x:c>
      <x:c r="T17" t="n">
        <x:v>25.886198902398775</x:v>
      </x:c>
      <x:c r="U17" t="n">
        <x:f>YEAR(C17)</x:f>
        <x:v>2020</x:v>
      </x:c>
      <x:c r="V17" t="n">
        <x:f>YEAR(D17)</x:f>
        <x:v>2020</x:v>
      </x:c>
      <x:c r="W17" t="n">
        <x:f>N17-M17-O17-P17</x:f>
        <x:v>36.98096791786448</x:v>
      </x:c>
      <x:c r="X17" t="str">
        <x:f>IF(T17&gt;1,"Ganador",IF(T17&lt;0,"Perdedor","Empate"))</x:f>
        <x:v>Ganador</x:v>
      </x:c>
    </x:row>
    <x:row r="18">
      <x:c r="A18" t="str">
        <x:v>DXCM</x:v>
      </x:c>
      <x:c r="B18" t="n">
        <x:v>43945</x:v>
      </x:c>
      <x:c r="C18" t="n">
        <x:v>43948</x:v>
      </x:c>
      <x:c r="D18" t="n">
        <x:v>44046</x:v>
      </x:c>
      <x:c r="E18" t="n">
        <x:v>98</x:v>
      </x:c>
      <x:c r="F18" t="str">
        <x:v>enter_or_hold</x:v>
      </x:c>
      <x:c r="G18" t="str">
        <x:v>left_top_n</x:v>
      </x:c>
      <x:c r="H18" t="n">
        <x:v>3</x:v>
      </x:c>
      <x:c r="I18" t="n">
        <x:v>70.54613382172508</x:v>
      </x:c>
      <x:c r="J18" t="n">
        <x:v>18.917334834132316</x:v>
      </x:c>
      <x:c r="K18" t="n">
        <x:v>83.76249694824219</x:v>
      </x:c>
      <x:c r="L18" t="n">
        <x:v>110.9175033569336</x:v>
      </x:c>
      <x:c r="M18" t="n">
        <x:v>1584.5632013128836</x:v>
      </x:c>
      <x:c r="N18" t="n">
        <x:v>2098.2635499691078</x:v>
      </x:c>
      <x:c r="O18" t="n">
        <x:v>3.8029516831509205</x:v>
      </x:c>
      <x:c r="P18" t="n">
        <x:v>5.035832519925858</x:v>
      </x:c>
      <x:c r="Q18" t="n">
        <x:v>83.76249694824219</x:v>
      </x:c>
      <x:c r="R18" t="n">
        <x:v>32.41905076620484</x:v>
      </x:c>
      <x:c r="S18" t="n">
        <x:v>32.41905076620484</x:v>
      </x:c>
      <x:c r="T18" t="n">
        <x:v>31.93905076620484</x:v>
      </x:c>
      <x:c r="U18" t="n">
        <x:f>YEAR(C18)</x:f>
        <x:v>2020</x:v>
      </x:c>
      <x:c r="V18" t="n">
        <x:f>YEAR(D18)</x:f>
        <x:v>2020</x:v>
      </x:c>
      <x:c r="W18" t="n">
        <x:f>N18-M18-O18-P18</x:f>
        <x:v>504.86156445314737</x:v>
      </x:c>
      <x:c r="X18" t="str">
        <x:f>IF(T18&gt;1,"Ganador",IF(T18&lt;0,"Perdedor","Empate"))</x:f>
        <x:v>Ganador</x:v>
      </x:c>
    </x:row>
    <x:row r="19">
      <x:c r="A19" t="str">
        <x:v>REGN</x:v>
      </x:c>
      <x:c r="B19" t="n">
        <x:v>43945</x:v>
      </x:c>
      <x:c r="C19" t="n">
        <x:v>43948</x:v>
      </x:c>
      <x:c r="D19" t="n">
        <x:v>44046</x:v>
      </x:c>
      <x:c r="E19" t="n">
        <x:v>98</x:v>
      </x:c>
      <x:c r="F19" t="str">
        <x:v>enter_or_hold</x:v>
      </x:c>
      <x:c r="G19" t="str">
        <x:v>left_top_n</x:v>
      </x:c>
      <x:c r="H19" t="n">
        <x:v>6</x:v>
      </x:c>
      <x:c r="I19" t="n">
        <x:v>51.56257206443176</x:v>
      </x:c>
      <x:c r="J19" t="n">
        <x:v>3.082632291693604</x:v>
      </x:c>
      <x:c r="K19" t="n">
        <x:v>547.9063617533454</x:v>
      </x:c>
      <x:c r="L19" t="n">
        <x:v>645.1799926757812</x:v>
      </x:c>
      <x:c r="M19" t="n">
        <x:v>1688.9938435652202</x:v>
      </x:c>
      <x:c r="N19" t="n">
        <x:v>1988.8526793770063</x:v>
      </x:c>
      <x:c r="O19" t="n">
        <x:v>4.053585224556528</x:v>
      </x:c>
      <x:c r="P19" t="n">
        <x:v>4.773246430504814</x:v>
      </x:c>
      <x:c r="Q19" t="n">
        <x:v>547.52001953125</x:v>
      </x:c>
      <x:c r="R19" t="n">
        <x:v>17.836785808880773</x:v>
      </x:c>
      <x:c r="S19" t="n">
        <x:v>17.753696199319926</x:v>
      </x:c>
      <x:c r="T19" t="n">
        <x:v>17.273696199319925</x:v>
      </x:c>
      <x:c r="U19" t="n">
        <x:f>YEAR(C19)</x:f>
        <x:v>2020</x:v>
      </x:c>
      <x:c r="V19" t="n">
        <x:f>YEAR(D19)</x:f>
        <x:v>2020</x:v>
      </x:c>
      <x:c r="W19" t="n">
        <x:f>N19-M19-O19-P19</x:f>
        <x:v>291.0320041567248</x:v>
      </x:c>
      <x:c r="X19" t="str">
        <x:f>IF(T19&gt;1,"Ganador",IF(T19&lt;0,"Perdedor","Empate"))</x:f>
        <x:v>Ganador</x:v>
      </x:c>
    </x:row>
    <x:row r="20">
      <x:c r="A20" t="str">
        <x:v>NVDA</x:v>
      </x:c>
      <x:c r="B20" t="n">
        <x:v>43980</x:v>
      </x:c>
      <x:c r="C20" t="n">
        <x:v>43983</x:v>
      </x:c>
      <x:c r="D20" t="n">
        <x:v>44046</x:v>
      </x:c>
      <x:c r="E20" t="n">
        <x:v>63</x:v>
      </x:c>
      <x:c r="F20" t="str">
        <x:v>enter_or_hold</x:v>
      </x:c>
      <x:c r="G20" t="str">
        <x:v>left_top_n</x:v>
      </x:c>
      <x:c r="H20" t="n">
        <x:v>5</x:v>
      </x:c>
      <x:c r="I20" t="n">
        <x:v>60.0826849463052</x:v>
      </x:c>
      <x:c r="J20" t="n">
        <x:v>204.69791081652434</x:v>
      </x:c>
      <x:c r="K20" t="n">
        <x:v>8.806249618530273</x:v>
      </x:c>
      <x:c r="L20" t="n">
        <x:v>11.010250091552734</x:v>
      </x:c>
      <x:c r="M20" t="n">
        <x:v>1802.6208990419616</x:v>
      </x:c>
      <x:c r="N20" t="n">
        <x:v>2253.7751913082907</x:v>
      </x:c>
      <x:c r="O20" t="n">
        <x:v>4.326290157700708</x:v>
      </x:c>
      <x:c r="P20" t="n">
        <x:v>5.409060459139897</x:v>
      </x:c>
      <x:c r="Q20" t="n">
        <x:v>8.806249618530273</x:v>
      </x:c>
      <x:c r="R20" t="n">
        <x:v>25.02768566070126</x:v>
      </x:c>
      <x:c r="S20" t="n">
        <x:v>25.02768566070126</x:v>
      </x:c>
      <x:c r="T20" t="n">
        <x:v>24.54768566070126</x:v>
      </x:c>
      <x:c r="U20" t="n">
        <x:f>YEAR(C20)</x:f>
        <x:v>2020</x:v>
      </x:c>
      <x:c r="V20" t="n">
        <x:f>YEAR(D20)</x:f>
        <x:v>2020</x:v>
      </x:c>
      <x:c r="W20" t="n">
        <x:f>N20-M20-O20-P20</x:f>
        <x:v>441.4189416494885</x:v>
      </x:c>
      <x:c r="X20" t="str">
        <x:f>IF(T20&gt;1,"Ganador",IF(T20&lt;0,"Perdedor","Empate"))</x:f>
        <x:v>Ganador</x:v>
      </x:c>
    </x:row>
    <x:row r="21">
      <x:c r="A21" t="str">
        <x:v>MRNA</x:v>
      </x:c>
      <x:c r="B21" t="n">
        <x:v>43945</x:v>
      </x:c>
      <x:c r="C21" t="n">
        <x:v>43948</x:v>
      </x:c>
      <x:c r="D21" t="n">
        <x:v>44046</x:v>
      </x:c>
      <x:c r="E21" t="n">
        <x:v>98</x:v>
      </x:c>
      <x:c r="F21" t="str">
        <x:v>enter_or_hold</x:v>
      </x:c>
      <x:c r="G21" t="str">
        <x:v>rebalance_trim</x:v>
      </x:c>
      <x:c r="H21" t="n">
        <x:v>1</x:v>
      </x:c>
      <x:c r="I21" t="n">
        <x:v>121.79331032678826</x:v>
      </x:c>
      <x:c r="J21" t="n">
        <x:v>1.136567573013991</x:v>
      </x:c>
      <x:c r="K21" t="n">
        <x:v>48.41709726704799</x:v>
      </x:c>
      <x:c r="L21" t="n">
        <x:v>77.9800033569336</x:v>
      </x:c>
      <x:c r="M21" t="n">
        <x:v>55.02930273319108</x:v>
      </x:c>
      <x:c r="N21" t="n">
        <x:v>88.62954315901288</x:v>
      </x:c>
      <x:c r="O21" t="n">
        <x:v>0.13207032655965859</x:v>
      </x:c>
      <x:c r="P21" t="n">
        <x:v>0.2127109035816309</x:v>
      </x:c>
      <x:c r="Q21" t="n">
        <x:v>48.04999923706055</x:v>
      </x:c>
      <x:c r="R21" t="n">
        <x:v>62.289291561087666</x:v>
      </x:c>
      <x:c r="S21" t="n">
        <x:v>61.05881549823042</x:v>
      </x:c>
      <x:c r="T21" t="n">
        <x:v>60.578815498230426</x:v>
      </x:c>
      <x:c r="U21" t="n">
        <x:f>YEAR(C21)</x:f>
        <x:v>2020</x:v>
      </x:c>
      <x:c r="V21" t="n">
        <x:f>YEAR(D21)</x:f>
        <x:v>2020</x:v>
      </x:c>
      <x:c r="W21" t="n">
        <x:f>N21-M21-O21-P21</x:f>
        <x:v>33.255459195680515</x:v>
      </x:c>
      <x:c r="X21" t="str">
        <x:f>IF(T21&gt;1,"Ganador",IF(T21&lt;0,"Perdedor","Empate"))</x:f>
        <x:v>Ganador</x:v>
      </x:c>
    </x:row>
    <x:row r="22">
      <x:c r="A22" t="str">
        <x:v>TSLA</x:v>
      </x:c>
      <x:c r="B22" t="n">
        <x:v>43945</x:v>
      </x:c>
      <x:c r="C22" t="n">
        <x:v>43948</x:v>
      </x:c>
      <x:c r="D22" t="n">
        <x:v>44046</x:v>
      </x:c>
      <x:c r="E22" t="n">
        <x:v>98</x:v>
      </x:c>
      <x:c r="F22" t="str">
        <x:v>enter_or_hold</x:v>
      </x:c>
      <x:c r="G22" t="str">
        <x:v>rebalance_trim</x:v>
      </x:c>
      <x:c r="H22" t="n">
        <x:v>2</x:v>
      </x:c>
      <x:c r="I22" t="n">
        <x:v>91.01609867002064</x:v>
      </x:c>
      <x:c r="J22" t="n">
        <x:v>4.990321964269614</x:v>
      </x:c>
      <x:c r="K22" t="n">
        <x:v>53.25</x:v>
      </x:c>
      <x:c r="L22" t="n">
        <x:v>99</x:v>
      </x:c>
      <x:c r="M22" t="n">
        <x:v>265.7346445973569</x:v>
      </x:c>
      <x:c r="N22" t="n">
        <x:v>494.0418744626918</x:v>
      </x:c>
      <x:c r="O22" t="n">
        <x:v>0.6377631470336566</x:v>
      </x:c>
      <x:c r="P22" t="n">
        <x:v>1.1857004987104602</x:v>
      </x:c>
      <x:c r="Q22" t="n">
        <x:v>53.25</x:v>
      </x:c>
      <x:c r="R22" t="n">
        <x:v>85.91549295774648</x:v>
      </x:c>
      <x:c r="S22" t="n">
        <x:v>85.91549295774648</x:v>
      </x:c>
      <x:c r="T22" t="n">
        <x:v>85.43549295774648</x:v>
      </x:c>
      <x:c r="U22" t="n">
        <x:f>YEAR(C22)</x:f>
        <x:v>2020</x:v>
      </x:c>
      <x:c r="V22" t="n">
        <x:f>YEAR(D22)</x:f>
        <x:v>2020</x:v>
      </x:c>
      <x:c r="W22" t="n">
        <x:f>N22-M22-O22-P22</x:f>
        <x:v>226.48376621959073</x:v>
      </x:c>
      <x:c r="X22" t="str">
        <x:f>IF(T22&gt;1,"Ganador",IF(T22&lt;0,"Perdedor","Empate"))</x:f>
        <x:v>Ganador</x:v>
      </x:c>
    </x:row>
    <x:row r="23">
      <x:c r="A23" t="str">
        <x:v>TTD</x:v>
      </x:c>
      <x:c r="B23" t="n">
        <x:v>44008</x:v>
      </x:c>
      <x:c r="C23" t="n">
        <x:v>44011</x:v>
      </x:c>
      <x:c r="D23" t="n">
        <x:v>44074</x:v>
      </x:c>
      <x:c r="E23" t="n">
        <x:v>63</x:v>
      </x:c>
      <x:c r="F23" t="str">
        <x:v>enter_or_hold</x:v>
      </x:c>
      <x:c r="G23" t="str">
        <x:v>left_top_n</x:v>
      </x:c>
      <x:c r="H23" t="n">
        <x:v>6</x:v>
      </x:c>
      <x:c r="I23" t="n">
        <x:v>64.26891547482354</x:v>
      </x:c>
      <x:c r="J23" t="n">
        <x:v>47.88793668406363</x:v>
      </x:c>
      <x:c r="K23" t="n">
        <x:v>40.85207232354806</x:v>
      </x:c>
      <x:c r="L23" t="n">
        <x:v>48.130001068115234</x:v>
      </x:c>
      <x:c r="M23" t="n">
        <x:v>1956.3214528428578</x:v>
      </x:c>
      <x:c r="N23" t="n">
        <x:v>2304.8464437538173</x:v>
      </x:c>
      <x:c r="O23" t="n">
        <x:v>4.695171486822859</x:v>
      </x:c>
      <x:c r="P23" t="n">
        <x:v>5.531631465009161</x:v>
      </x:c>
      <x:c r="Q23" t="n">
        <x:v>40.6150016784668</x:v>
      </x:c>
      <x:c r="R23" t="n">
        <x:v>18.503013859612196</x:v>
      </x:c>
      <x:c r="S23" t="n">
        <x:v>17.815323264205652</x:v>
      </x:c>
      <x:c r="T23" t="n">
        <x:v>17.335323264205652</x:v>
      </x:c>
      <x:c r="U23" t="n">
        <x:f>YEAR(C23)</x:f>
        <x:v>2020</x:v>
      </x:c>
      <x:c r="V23" t="n">
        <x:f>YEAR(D23)</x:f>
        <x:v>2020</x:v>
      </x:c>
      <x:c r="W23" t="n">
        <x:f>N23-M23-O23-P23</x:f>
        <x:v>338.2981879591275</x:v>
      </x:c>
      <x:c r="X23" t="str">
        <x:f>IF(T23&gt;1,"Ganador",IF(T23&lt;0,"Perdedor","Empate"))</x:f>
        <x:v>Ganador</x:v>
      </x:c>
    </x:row>
    <x:row r="24">
      <x:c r="A24" t="str">
        <x:v>AMD</x:v>
      </x:c>
      <x:c r="B24" t="n">
        <x:v>44043</x:v>
      </x:c>
      <x:c r="C24" t="n">
        <x:v>44046</x:v>
      </x:c>
      <x:c r="D24" t="n">
        <x:v>44074</x:v>
      </x:c>
      <x:c r="E24" t="n">
        <x:v>28</x:v>
      </x:c>
      <x:c r="F24" t="str">
        <x:v>enter_or_hold</x:v>
      </x:c>
      <x:c r="G24" t="str">
        <x:v>left_top_n</x:v>
      </x:c>
      <x:c r="H24" t="n">
        <x:v>5</x:v>
      </x:c>
      <x:c r="I24" t="n">
        <x:v>71.58929682510586</x:v>
      </x:c>
      <x:c r="J24" t="n">
        <x:v>29.23649422712067</x:v>
      </x:c>
      <x:c r="K24" t="n">
        <x:v>77.66999816894531</x:v>
      </x:c>
      <x:c r="L24" t="n">
        <x:v>90.81999969482422</x:v>
      </x:c>
      <x:c r="M24" t="n">
        <x:v>2270.7984530868425</x:v>
      </x:c>
      <x:c r="N24" t="n">
        <x:v>2655.258396784829</x:v>
      </x:c>
      <x:c r="O24" t="n">
        <x:v>5.4499162874084215</x:v>
      </x:c>
      <x:c r="P24" t="n">
        <x:v>6.372620152283589</x:v>
      </x:c>
      <x:c r="Q24" t="n">
        <x:v>77.66999816894531</x:v>
      </x:c>
      <x:c r="R24" t="n">
        <x:v>16.930606200447485</x:v>
      </x:c>
      <x:c r="S24" t="n">
        <x:v>16.930606200447485</x:v>
      </x:c>
      <x:c r="T24" t="n">
        <x:v>16.450606200447485</x:v>
      </x:c>
      <x:c r="U24" t="n">
        <x:f>YEAR(C24)</x:f>
        <x:v>2020</x:v>
      </x:c>
      <x:c r="V24" t="n">
        <x:f>YEAR(D24)</x:f>
        <x:v>2020</x:v>
      </x:c>
      <x:c r="W24" t="n">
        <x:f>N24-M24-O24-P24</x:f>
        <x:v>372.6374072582945</x:v>
      </x:c>
      <x:c r="X24" t="str">
        <x:f>IF(T24&gt;1,"Ganador",IF(T24&lt;0,"Perdedor","Empate"))</x:f>
        <x:v>Ganador</x:v>
      </x:c>
    </x:row>
    <x:row r="25">
      <x:c r="A25" t="str">
        <x:v>CVNA</x:v>
      </x:c>
      <x:c r="B25" t="n">
        <x:v>44043</x:v>
      </x:c>
      <x:c r="C25" t="n">
        <x:v>44046</x:v>
      </x:c>
      <x:c r="D25" t="n">
        <x:v>44074</x:v>
      </x:c>
      <x:c r="E25" t="n">
        <x:v>28</x:v>
      </x:c>
      <x:c r="F25" t="str">
        <x:v>enter_or_hold</x:v>
      </x:c>
      <x:c r="G25" t="str">
        <x:v>rebalance_trim</x:v>
      </x:c>
      <x:c r="H25" t="n">
        <x:v>4</x:v>
      </x:c>
      <x:c r="I25" t="n">
        <x:v>74.22836499563795</x:v>
      </x:c>
      <x:c r="J25" t="n">
        <x:v>1.5617440980462693</x:v>
      </x:c>
      <x:c r="K25" t="n">
        <x:v>159.49000549316406</x:v>
      </x:c>
      <x:c r="L25" t="n">
        <x:v>215.9600067138672</x:v>
      </x:c>
      <x:c r="M25" t="n">
        <x:v>249.08257477631608</x:v>
      </x:c>
      <x:c r="N25" t="n">
        <x:v>337.2742658994148</x:v>
      </x:c>
      <x:c r="O25" t="n">
        <x:v>0.5977981794631585</x:v>
      </x:c>
      <x:c r="P25" t="n">
        <x:v>0.8094582381585954</x:v>
      </x:c>
      <x:c r="Q25" t="n">
        <x:v>159.49000549316406</x:v>
      </x:c>
      <x:c r="R25" t="n">
        <x:v>35.406608110702905</x:v>
      </x:c>
      <x:c r="S25" t="n">
        <x:v>35.406608110702905</x:v>
      </x:c>
      <x:c r="T25" t="n">
        <x:v>34.92660811070291</x:v>
      </x:c>
      <x:c r="U25" t="n">
        <x:f>YEAR(C25)</x:f>
        <x:v>2020</x:v>
      </x:c>
      <x:c r="V25" t="n">
        <x:f>YEAR(D25)</x:f>
        <x:v>2020</x:v>
      </x:c>
      <x:c r="W25" t="n">
        <x:f>N25-M25-O25-P25</x:f>
        <x:v>86.78443470547695</x:v>
      </x:c>
      <x:c r="X25" t="str">
        <x:f>IF(T25&gt;1,"Ganador",IF(T25&lt;0,"Perdedor","Empate"))</x:f>
        <x:v>Ganador</x:v>
      </x:c>
    </x:row>
    <x:row r="26">
      <x:c r="A26" t="str">
        <x:v>TSLA</x:v>
      </x:c>
      <x:c r="B26" t="n">
        <x:v>43945</x:v>
      </x:c>
      <x:c r="C26" t="n">
        <x:v>43948</x:v>
      </x:c>
      <x:c r="D26" t="n">
        <x:v>44074</x:v>
      </x:c>
      <x:c r="E26" t="n">
        <x:v>126</x:v>
      </x:c>
      <x:c r="F26" t="str">
        <x:v>enter_or_hold</x:v>
      </x:c>
      <x:c r="G26" t="str">
        <x:v>rebalance_trim</x:v>
      </x:c>
      <x:c r="H26" t="n">
        <x:v>2</x:v>
      </x:c>
      <x:c r="I26" t="n">
        <x:v>91.01609867002064</x:v>
      </x:c>
      <x:c r="J26" t="n">
        <x:v>6.515718279794194</x:v>
      </x:c>
      <x:c r="K26" t="n">
        <x:v>53.25</x:v>
      </x:c>
      <x:c r="L26" t="n">
        <x:v>166.10667419433594</x:v>
      </x:c>
      <x:c r="M26" t="n">
        <x:v>346.96199839904085</x:v>
      </x:c>
      <x:c r="N26" t="n">
        <x:v>1082.304293443853</x:v>
      </x:c>
      <x:c r="O26" t="n">
        <x:v>0.832708796157698</x:v>
      </x:c>
      <x:c r="P26" t="n">
        <x:v>2.597530304265247</x:v>
      </x:c>
      <x:c r="Q26" t="n">
        <x:v>53.25</x:v>
      </x:c>
      <x:c r="R26" t="n">
        <x:v>211.93741632739145</x:v>
      </x:c>
      <x:c r="S26" t="n">
        <x:v>211.93741632739145</x:v>
      </x:c>
      <x:c r="T26" t="n">
        <x:v>211.45741632739146</x:v>
      </x:c>
      <x:c r="U26" t="n">
        <x:f>YEAR(C26)</x:f>
        <x:v>2020</x:v>
      </x:c>
      <x:c r="V26" t="n">
        <x:f>YEAR(D26)</x:f>
        <x:v>2020</x:v>
      </x:c>
      <x:c r="W26" t="n">
        <x:f>N26-M26-O26-P26</x:f>
        <x:v>731.9120559443894</x:v>
      </x:c>
      <x:c r="X26" t="str">
        <x:f>IF(T26&gt;1,"Ganador",IF(T26&lt;0,"Perdedor","Empate"))</x:f>
        <x:v>Ganador</x:v>
      </x:c>
    </x:row>
    <x:row r="27">
      <x:c r="A27" t="str">
        <x:v>MRNA</x:v>
      </x:c>
      <x:c r="B27" t="n">
        <x:v>43945</x:v>
      </x:c>
      <x:c r="C27" t="n">
        <x:v>43948</x:v>
      </x:c>
      <x:c r="D27" t="n">
        <x:v>44102</x:v>
      </x:c>
      <x:c r="E27" t="n">
        <x:v>154</x:v>
      </x:c>
      <x:c r="F27" t="str">
        <x:v>enter_or_hold</x:v>
      </x:c>
      <x:c r="G27" t="str">
        <x:v>market_filter_failed</x:v>
      </x:c>
      <x:c r="H27" t="n">
        <x:v>5</x:v>
      </x:c>
      <x:c r="I27" t="n">
        <x:v>79.87785472398387</x:v>
      </x:c>
      <x:c r="J27" t="n">
        <x:v>42.14519936974094</x:v>
      </x:c>
      <x:c r="K27" t="n">
        <x:v>53.47877684844133</x:v>
      </x:c>
      <x:c r="L27" t="n">
        <x:v>70.55000305175781</x:v>
      </x:c>
      <x:c r="M27" t="n">
        <x:v>2253.873712327446</x:v>
      </x:c>
      <x:c r="N27" t="n">
        <x:v>2973.343944152165</x:v>
      </x:c>
      <x:c r="O27" t="n">
        <x:v>5.40929690958587</x:v>
      </x:c>
      <x:c r="P27" t="n">
        <x:v>7.136025465965195</x:v>
      </x:c>
      <x:c r="Q27" t="n">
        <x:v>48.04999923706055</x:v>
      </x:c>
      <x:c r="R27" t="n">
        <x:v>46.82623136722801</x:v>
      </x:c>
      <x:c r="S27" t="n">
        <x:v>31.92149710472303</x:v>
      </x:c>
      <x:c r="T27" t="n">
        <x:v>31.44149710472303</x:v>
      </x:c>
      <x:c r="U27" t="n">
        <x:f>YEAR(C27)</x:f>
        <x:v>2020</x:v>
      </x:c>
      <x:c r="V27" t="n">
        <x:f>YEAR(D27)</x:f>
        <x:v>2020</x:v>
      </x:c>
      <x:c r="W27" t="n">
        <x:f>N27-M27-O27-P27</x:f>
        <x:v>706.924909449168</x:v>
      </x:c>
      <x:c r="X27" t="str">
        <x:f>IF(T27&gt;1,"Ganador",IF(T27&lt;0,"Perdedor","Empate"))</x:f>
        <x:v>Ganador</x:v>
      </x:c>
    </x:row>
    <x:row r="28">
      <x:c r="A28" t="str">
        <x:v>TSLA</x:v>
      </x:c>
      <x:c r="B28" t="n">
        <x:v>43945</x:v>
      </x:c>
      <x:c r="C28" t="n">
        <x:v>43948</x:v>
      </x:c>
      <x:c r="D28" t="n">
        <x:v>44102</x:v>
      </x:c>
      <x:c r="E28" t="n">
        <x:v>154</x:v>
      </x:c>
      <x:c r="F28" t="str">
        <x:v>enter_or_hold</x:v>
      </x:c>
      <x:c r="G28" t="str">
        <x:v>market_filter_failed</x:v>
      </x:c>
      <x:c r="H28" t="n">
        <x:v>2</x:v>
      </x:c>
      <x:c r="I28" t="n">
        <x:v>91.01609867002064</x:v>
      </x:c>
      <x:c r="J28" t="n">
        <x:v>16.48059543503362</x:v>
      </x:c>
      <x:c r="K28" t="n">
        <x:v>53.25</x:v>
      </x:c>
      <x:c r="L28" t="n">
        <x:v>140.39999389648438</x:v>
      </x:c>
      <x:c r="M28" t="n">
        <x:v>877.5917069155403</x:v>
      </x:c>
      <x:c r="N28" t="n">
        <x:v>2313.8754984891484</x:v>
      </x:c>
      <x:c r="O28" t="n">
        <x:v>2.106220096597297</x:v>
      </x:c>
      <x:c r="P28" t="n">
        <x:v>5.553301196373956</x:v>
      </x:c>
      <x:c r="Q28" t="n">
        <x:v>53.25</x:v>
      </x:c>
      <x:c r="R28" t="n">
        <x:v>163.66196036898475</x:v>
      </x:c>
      <x:c r="S28" t="n">
        <x:v>163.66196036898475</x:v>
      </x:c>
      <x:c r="T28" t="n">
        <x:v>163.18196036898476</x:v>
      </x:c>
      <x:c r="U28" t="n">
        <x:f>YEAR(C28)</x:f>
        <x:v>2020</x:v>
      </x:c>
      <x:c r="V28" t="n">
        <x:f>YEAR(D28)</x:f>
        <x:v>2020</x:v>
      </x:c>
      <x:c r="W28" t="n">
        <x:f>N28-M28-O28-P28</x:f>
        <x:v>1428.624270280637</x:v>
      </x:c>
      <x:c r="X28" t="str">
        <x:f>IF(T28&gt;1,"Ganador",IF(T28&lt;0,"Perdedor","Empate"))</x:f>
        <x:v>Ganador</x:v>
      </x:c>
    </x:row>
    <x:row r="29">
      <x:c r="A29" t="str">
        <x:v>CVNA</x:v>
      </x:c>
      <x:c r="B29" t="n">
        <x:v>44043</x:v>
      </x:c>
      <x:c r="C29" t="n">
        <x:v>44046</x:v>
      </x:c>
      <x:c r="D29" t="n">
        <x:v>44102</x:v>
      </x:c>
      <x:c r="E29" t="n">
        <x:v>56</x:v>
      </x:c>
      <x:c r="F29" t="str">
        <x:v>enter_or_hold</x:v>
      </x:c>
      <x:c r="G29" t="str">
        <x:v>market_filter_failed</x:v>
      </x:c>
      <x:c r="H29" t="n">
        <x:v>4</x:v>
      </x:c>
      <x:c r="I29" t="n">
        <x:v>74.22836499563795</x:v>
      </x:c>
      <x:c r="J29" t="n">
        <x:v>12.676128965317389</x:v>
      </x:c>
      <x:c r="K29" t="n">
        <x:v>159.49000549316406</x:v>
      </x:c>
      <x:c r="L29" t="n">
        <x:v>218.0200042724609</x:v>
      </x:c>
      <x:c r="M29" t="n">
        <x:v>2021.7158783105265</x:v>
      </x:c>
      <x:c r="N29" t="n">
        <x:v>2763.6496911767626</x:v>
      </x:c>
      <x:c r="O29" t="n">
        <x:v>4.852118107945263</x:v>
      </x:c>
      <x:c r="P29" t="n">
        <x:v>6.63275925882423</x:v>
      </x:c>
      <x:c r="Q29" t="n">
        <x:v>159.49000549316406</x:v>
      </x:c>
      <x:c r="R29" t="n">
        <x:v>36.69822356473962</x:v>
      </x:c>
      <x:c r="S29" t="n">
        <x:v>36.69822356473962</x:v>
      </x:c>
      <x:c r="T29" t="n">
        <x:v>36.218223564739624</x:v>
      </x:c>
      <x:c r="U29" t="n">
        <x:f>YEAR(C29)</x:f>
        <x:v>2020</x:v>
      </x:c>
      <x:c r="V29" t="n">
        <x:f>YEAR(D29)</x:f>
        <x:v>2020</x:v>
      </x:c>
      <x:c r="W29" t="n">
        <x:f>N29-M29-O29-P29</x:f>
        <x:v>730.4489354994668</x:v>
      </x:c>
      <x:c r="X29" t="str">
        <x:f>IF(T29&gt;1,"Ganador",IF(T29&lt;0,"Perdedor","Empate"))</x:f>
        <x:v>Ganador</x:v>
      </x:c>
    </x:row>
    <x:row r="30">
      <x:c r="A30" t="str">
        <x:v>XYZ</x:v>
      </x:c>
      <x:c r="B30" t="n">
        <x:v>44043</x:v>
      </x:c>
      <x:c r="C30" t="n">
        <x:v>44046</x:v>
      </x:c>
      <x:c r="D30" t="n">
        <x:v>44102</x:v>
      </x:c>
      <x:c r="E30" t="n">
        <x:v>56</x:v>
      </x:c>
      <x:c r="F30" t="str">
        <x:v>enter_or_hold</x:v>
      </x:c>
      <x:c r="G30" t="str">
        <x:v>market_filter_failed</x:v>
      </x:c>
      <x:c r="H30" t="n">
        <x:v>3</x:v>
      </x:c>
      <x:c r="I30" t="n">
        <x:v>94.4562648264008</x:v>
      </x:c>
      <x:c r="J30" t="n">
        <x:v>17.15243722344181</x:v>
      </x:c>
      <x:c r="K30" t="n">
        <x:v>135.2428072767269</x:v>
      </x:c>
      <x:c r="L30" t="n">
        <x:v>160.75999450683594</x:v>
      </x:c>
      <x:c r="M30" t="n">
        <x:v>2319.7437617360974</x:v>
      </x:c>
      <x:c r="N30" t="n">
        <x:v>2757.425713819354</x:v>
      </x:c>
      <x:c r="O30" t="n">
        <x:v>5.567385028166634</x:v>
      </x:c>
      <x:c r="P30" t="n">
        <x:v>6.617821713166449</x:v>
      </x:c>
      <x:c r="Q30" t="n">
        <x:v>134.8000030517578</x:v>
      </x:c>
      <x:c r="R30" t="n">
        <x:v>19.258153462437622</x:v>
      </x:c>
      <x:c r="S30" t="n">
        <x:v>18.867685272087776</x:v>
      </x:c>
      <x:c r="T30" t="n">
        <x:v>18.387685272087776</x:v>
      </x:c>
      <x:c r="U30" t="n">
        <x:f>YEAR(C30)</x:f>
        <x:v>2020</x:v>
      </x:c>
      <x:c r="V30" t="n">
        <x:f>YEAR(D30)</x:f>
        <x:v>2020</x:v>
      </x:c>
      <x:c r="W30" t="n">
        <x:f>N30-M30-O30-P30</x:f>
        <x:v>425.4967453419233</x:v>
      </x:c>
      <x:c r="X30" t="str">
        <x:f>IF(T30&gt;1,"Ganador",IF(T30&lt;0,"Perdedor","Empate"))</x:f>
        <x:v>Ganador</x:v>
      </x:c>
    </x:row>
    <x:row r="31">
      <x:c r="A31" t="str">
        <x:v>GNRC</x:v>
      </x:c>
      <x:c r="B31" t="n">
        <x:v>44071</x:v>
      </x:c>
      <x:c r="C31" t="n">
        <x:v>44074</x:v>
      </x:c>
      <x:c r="D31" t="n">
        <x:v>44102</x:v>
      </x:c>
      <x:c r="E31" t="n">
        <x:v>28</x:v>
      </x:c>
      <x:c r="F31" t="str">
        <x:v>enter_or_hold</x:v>
      </x:c>
      <x:c r="G31" t="str">
        <x:v>market_filter_failed</x:v>
      </x:c>
      <x:c r="H31" t="n">
        <x:v>6</x:v>
      </x:c>
      <x:c r="I31" t="n">
        <x:v>74.3365106028687</x:v>
      </x:c>
      <x:c r="J31" t="n">
        <x:v>14.369559940577874</x:v>
      </x:c>
      <x:c r="K31" t="n">
        <x:v>189.97999572753903</x:v>
      </x:c>
      <x:c r="L31" t="n">
        <x:v>190.17999267578125</x:v>
      </x:c>
      <x:c r="M31" t="n">
        <x:v>2729.9289361176006</x:v>
      </x:c>
      <x:c r="N31" t="n">
        <x:v>2732.8028042532997</x:v>
      </x:c>
      <x:c r="O31" t="n">
        <x:v>6.551829446682241</x:v>
      </x:c>
      <x:c r="P31" t="n">
        <x:v>6.558726730207918</x:v>
      </x:c>
      <x:c r="Q31" t="n">
        <x:v>189.97999572753903</x:v>
      </x:c>
      <x:c r="R31" t="n">
        <x:v>0.10527263540369702</x:v>
      </x:c>
      <x:c r="S31" t="n">
        <x:v>0.10527263540369702</x:v>
      </x:c>
      <x:c r="T31" t="n">
        <x:v>-0.37472736459630296</x:v>
      </x:c>
      <x:c r="U31" t="n">
        <x:f>YEAR(C31)</x:f>
        <x:v>2020</x:v>
      </x:c>
      <x:c r="V31" t="n">
        <x:f>YEAR(D31)</x:f>
        <x:v>2020</x:v>
      </x:c>
      <x:c r="W31" t="n">
        <x:f>N31-M31-O31-P31</x:f>
        <x:v>-10.236688041191147</x:v>
      </x:c>
      <x:c r="X31" t="str">
        <x:f>IF(T31&gt;1,"Ganador",IF(T31&lt;0,"Perdedor","Empate"))</x:f>
        <x:v>Perdedor</x:v>
      </x:c>
    </x:row>
    <x:row r="32">
      <x:c r="A32" t="str">
        <x:v>NVDA</x:v>
      </x:c>
      <x:c r="B32" t="n">
        <x:v>44071</x:v>
      </x:c>
      <x:c r="C32" t="n">
        <x:v>44074</x:v>
      </x:c>
      <x:c r="D32" t="n">
        <x:v>44102</x:v>
      </x:c>
      <x:c r="E32" t="n">
        <x:v>28</x:v>
      </x:c>
      <x:c r="F32" t="str">
        <x:v>enter_or_hold</x:v>
      </x:c>
      <x:c r="G32" t="str">
        <x:v>market_filter_failed</x:v>
      </x:c>
      <x:c r="H32" t="n">
        <x:v>4</x:v>
      </x:c>
      <x:c r="I32" t="n">
        <x:v>83.6813192656233</x:v>
      </x:c>
      <x:c r="J32" t="n">
        <x:v>204.11446260091137</x:v>
      </x:c>
      <x:c r="K32" t="n">
        <x:v>13.374500274658203</x:v>
      </x:c>
      <x:c r="L32" t="n">
        <x:v>13.03499984741211</x:v>
      </x:c>
      <x:c r="M32" t="n">
        <x:v>2729.9289361176006</x:v>
      </x:c>
      <x:c r="N32" t="n">
        <x:v>2660.6319888574844</x:v>
      </x:c>
      <x:c r="O32" t="n">
        <x:v>6.551829446682241</x:v>
      </x:c>
      <x:c r="P32" t="n">
        <x:v>6.385516773257962</x:v>
      </x:c>
      <x:c r="Q32" t="n">
        <x:v>13.374500274658203</x:v>
      </x:c>
      <x:c r="R32" t="n">
        <x:v>-2.5384157932941576</x:v>
      </x:c>
      <x:c r="S32" t="n">
        <x:v>-2.5384157932941576</x:v>
      </x:c>
      <x:c r="T32" t="n">
        <x:v>-3.0184157932941575</x:v>
      </x:c>
      <x:c r="U32" t="n">
        <x:f>YEAR(C32)</x:f>
        <x:v>2020</x:v>
      </x:c>
      <x:c r="V32" t="n">
        <x:f>YEAR(D32)</x:f>
        <x:v>2020</x:v>
      </x:c>
      <x:c r="W32" t="n">
        <x:f>N32-M32-O32-P32</x:f>
        <x:v>-82.23429348005641</x:v>
      </x:c>
      <x:c r="X32" t="str">
        <x:f>IF(T32&gt;1,"Ganador",IF(T32&lt;0,"Perdedor","Empate"))</x:f>
        <x:v>Perdedor</x:v>
      </x:c>
    </x:row>
    <x:row r="33">
      <x:c r="A33" t="str">
        <x:v>CVNA</x:v>
      </x:c>
      <x:c r="B33" t="n">
        <x:v>44162</x:v>
      </x:c>
      <x:c r="C33" t="n">
        <x:v>44165</x:v>
      </x:c>
      <x:c r="D33" t="n">
        <x:v>44193</x:v>
      </x:c>
      <x:c r="E33" t="n">
        <x:v>28</x:v>
      </x:c>
      <x:c r="F33" t="str">
        <x:v>enter_or_hold</x:v>
      </x:c>
      <x:c r="G33" t="str">
        <x:v>rebalance_trim</x:v>
      </x:c>
      <x:c r="H33" t="n">
        <x:v>5</x:v>
      </x:c>
      <x:c r="I33" t="n">
        <x:v>91.36533313267677</x:v>
      </x:c>
      <x:c r="J33" t="n">
        <x:v>0.16244088258323966</x:v>
      </x:c>
      <x:c r="K33" t="n">
        <x:v>250.2100067138672</x:v>
      </x:c>
      <x:c r="L33" t="n">
        <x:v>251.4900054931641</x:v>
      </x:c>
      <x:c r="M33" t="n">
        <x:v>40.644334321758905</x:v>
      </x:c>
      <x:c r="N33" t="n">
        <x:v>40.85225845317336</x:v>
      </x:c>
      <x:c r="O33" t="n">
        <x:v>0.09754640237222137</x:v>
      </x:c>
      <x:c r="P33" t="n">
        <x:v>0.09804542028761606</x:v>
      </x:c>
      <x:c r="Q33" t="n">
        <x:v>250.2100067138672</x:v>
      </x:c>
      <x:c r="R33" t="n">
        <x:v>0.5115697793656393</x:v>
      </x:c>
      <x:c r="S33" t="n">
        <x:v>0.5115697793656393</x:v>
      </x:c>
      <x:c r="T33" t="n">
        <x:v>0.03156977936563932</x:v>
      </x:c>
      <x:c r="U33" t="n">
        <x:f>YEAR(C33)</x:f>
        <x:v>2020</x:v>
      </x:c>
      <x:c r="V33" t="n">
        <x:f>YEAR(D33)</x:f>
        <x:v>2020</x:v>
      </x:c>
      <x:c r="W33" t="n">
        <x:f>N33-M33-O33-P33</x:f>
        <x:v>0.012332308754620769</x:v>
      </x:c>
      <x:c r="X33" t="str">
        <x:f>IF(T33&gt;1,"Ganador",IF(T33&lt;0,"Perdedor","Empate"))</x:f>
        <x:v>Empate</x:v>
      </x:c>
    </x:row>
    <x:row r="34">
      <x:c r="A34" t="str">
        <x:v>FCX</x:v>
      </x:c>
      <x:c r="B34" t="n">
        <x:v>44162</x:v>
      </x:c>
      <x:c r="C34" t="n">
        <x:v>44165</x:v>
      </x:c>
      <x:c r="D34" t="n">
        <x:v>44193</x:v>
      </x:c>
      <x:c r="E34" t="n">
        <x:v>28</x:v>
      </x:c>
      <x:c r="F34" t="str">
        <x:v>enter_or_hold</x:v>
      </x:c>
      <x:c r="G34" t="str">
        <x:v>rebalance_trim</x:v>
      </x:c>
      <x:c r="H34" t="n">
        <x:v>6</x:v>
      </x:c>
      <x:c r="I34" t="n">
        <x:v>85.0875507380582</x:v>
      </x:c>
      <x:c r="J34" t="n">
        <x:v>6.884791530402588</x:v>
      </x:c>
      <x:c r="K34" t="n">
        <x:v>23.38999938964844</x:v>
      </x:c>
      <x:c r="L34" t="n">
        <x:v>24.6299991607666</x:v>
      </x:c>
      <x:c r="M34" t="n">
        <x:v>161.0352696939733</x:v>
      </x:c>
      <x:c r="N34" t="n">
        <x:v>169.57240961586876</x:v>
      </x:c>
      <x:c r="O34" t="n">
        <x:v>0.3864846472655359</x:v>
      </x:c>
      <x:c r="P34" t="n">
        <x:v>0.406973783078085</x:v>
      </x:c>
      <x:c r="Q34" t="n">
        <x:v>23.38999938964844</x:v>
      </x:c>
      <x:c r="R34" t="n">
        <x:v>5.301410019133823</x:v>
      </x:c>
      <x:c r="S34" t="n">
        <x:v>5.301410019133823</x:v>
      </x:c>
      <x:c r="T34" t="n">
        <x:v>4.821410019133824</x:v>
      </x:c>
      <x:c r="U34" t="n">
        <x:f>YEAR(C34)</x:f>
        <x:v>2020</x:v>
      </x:c>
      <x:c r="V34" t="n">
        <x:f>YEAR(D34)</x:f>
        <x:v>2020</x:v>
      </x:c>
      <x:c r="W34" t="n">
        <x:f>N34-M34-O34-P34</x:f>
        <x:v>7.743681491551838</x:v>
      </x:c>
      <x:c r="X34" t="str">
        <x:f>IF(T34&gt;1,"Ganador",IF(T34&lt;0,"Perdedor","Empate"))</x:f>
        <x:v>Ganador</x:v>
      </x:c>
    </x:row>
    <x:row r="35">
      <x:c r="A35" t="str">
        <x:v>TSLA</x:v>
      </x:c>
      <x:c r="B35" t="n">
        <x:v>44162</x:v>
      </x:c>
      <x:c r="C35" t="n">
        <x:v>44165</x:v>
      </x:c>
      <x:c r="D35" t="n">
        <x:v>44193</x:v>
      </x:c>
      <x:c r="E35" t="n">
        <x:v>28</x:v>
      </x:c>
      <x:c r="F35" t="str">
        <x:v>enter_or_hold</x:v>
      </x:c>
      <x:c r="G35" t="str">
        <x:v>rebalance_trim</x:v>
      </x:c>
      <x:c r="H35" t="n">
        <x:v>1</x:v>
      </x:c>
      <x:c r="I35" t="n">
        <x:v>143.6784507256154</x:v>
      </x:c>
      <x:c r="J35" t="n">
        <x:v>2.1789634549635255</x:v>
      </x:c>
      <x:c r="K35" t="n">
        <x:v>189.1999969482422</x:v>
      </x:c>
      <x:c r="L35" t="n">
        <x:v>221.22999572753903</x:v>
      </x:c>
      <x:c r="M35" t="n">
        <x:v>412.25987902943024</x:v>
      </x:c>
      <x:c r="N35" t="n">
        <x:v>482.05207583204447</x:v>
      </x:c>
      <x:c r="O35" t="n">
        <x:v>0.9894237096706325</x:v>
      </x:c>
      <x:c r="P35" t="n">
        <x:v>1.1569249819969065</x:v>
      </x:c>
      <x:c r="Q35" t="n">
        <x:v>189.1999969482422</x:v>
      </x:c>
      <x:c r="R35" t="n">
        <x:v>16.929175103559334</x:v>
      </x:c>
      <x:c r="S35" t="n">
        <x:v>16.929175103559334</x:v>
      </x:c>
      <x:c r="T35" t="n">
        <x:v>16.449175103559334</x:v>
      </x:c>
      <x:c r="U35" t="n">
        <x:f>YEAR(C35)</x:f>
        <x:v>2020</x:v>
      </x:c>
      <x:c r="V35" t="n">
        <x:f>YEAR(D35)</x:f>
        <x:v>2020</x:v>
      </x:c>
      <x:c r="W35" t="n">
        <x:f>N35-M35-O35-P35</x:f>
        <x:v>67.64584811094669</x:v>
      </x:c>
      <x:c r="X35" t="str">
        <x:f>IF(T35&gt;1,"Ganador",IF(T35&lt;0,"Perdedor","Empate"))</x:f>
        <x:v>Ganador</x:v>
      </x:c>
    </x:row>
    <x:row r="36">
      <x:c r="A36" t="str">
        <x:v>XYZ</x:v>
      </x:c>
      <x:c r="B36" t="n">
        <x:v>44162</x:v>
      </x:c>
      <x:c r="C36" t="n">
        <x:v>44165</x:v>
      </x:c>
      <x:c r="D36" t="n">
        <x:v>44193</x:v>
      </x:c>
      <x:c r="E36" t="n">
        <x:v>28</x:v>
      </x:c>
      <x:c r="F36" t="str">
        <x:v>enter_or_hold</x:v>
      </x:c>
      <x:c r="G36" t="str">
        <x:v>rebalance_trim</x:v>
      </x:c>
      <x:c r="H36" t="n">
        <x:v>4</x:v>
      </x:c>
      <x:c r="I36" t="n">
        <x:v>97.27166159442352</x:v>
      </x:c>
      <x:c r="J36" t="n">
        <x:v>0.8274810745856345</x:v>
      </x:c>
      <x:c r="K36" t="n">
        <x:v>210.9600067138672</x:v>
      </x:c>
      <x:c r="L36" t="n">
        <x:v>223.33999633789065</x:v>
      </x:c>
      <x:c r="M36" t="n">
        <x:v>174.56541305018348</x:v>
      </x:c>
      <x:c r="N36" t="n">
        <x:v>184.80962016762942</x:v>
      </x:c>
      <x:c r="O36" t="n">
        <x:v>0.41895699132044034</x:v>
      </x:c>
      <x:c r="P36" t="n">
        <x:v>0.44354308840231055</x:v>
      </x:c>
      <x:c r="Q36" t="n">
        <x:v>210.9600067138672</x:v>
      </x:c>
      <x:c r="R36" t="n">
        <x:v>5.86840596796856</x:v>
      </x:c>
      <x:c r="S36" t="n">
        <x:v>5.86840596796856</x:v>
      </x:c>
      <x:c r="T36" t="n">
        <x:v>5.388405967968559</x:v>
      </x:c>
      <x:c r="U36" t="n">
        <x:f>YEAR(C36)</x:f>
        <x:v>2020</x:v>
      </x:c>
      <x:c r="V36" t="n">
        <x:f>YEAR(D36)</x:f>
        <x:v>2020</x:v>
      </x:c>
      <x:c r="W36" t="n">
        <x:f>N36-M36-O36-P36</x:f>
        <x:v>9.381707037723187</x:v>
      </x:c>
      <x:c r="X36" t="str">
        <x:f>IF(T36&gt;1,"Ganador",IF(T36&lt;0,"Perdedor","Empate"))</x:f>
        <x:v>Ganador</x:v>
      </x:c>
    </x:row>
    <x:row r="37">
      <x:c r="A37" t="str">
        <x:v>CVNA</x:v>
      </x:c>
      <x:c r="B37" t="n">
        <x:v>44162</x:v>
      </x:c>
      <x:c r="C37" t="n">
        <x:v>44165</x:v>
      </x:c>
      <x:c r="D37" t="n">
        <x:v>44228</x:v>
      </x:c>
      <x:c r="E37" t="n">
        <x:v>63</x:v>
      </x:c>
      <x:c r="F37" t="str">
        <x:v>enter_or_hold</x:v>
      </x:c>
      <x:c r="G37" t="str">
        <x:v>market_filter_failed</x:v>
      </x:c>
      <x:c r="H37" t="n">
        <x:v>5</x:v>
      </x:c>
      <x:c r="I37" t="n">
        <x:v>91.36533313267677</x:v>
      </x:c>
      <x:c r="J37" t="n">
        <x:v>10.577968575383442</x:v>
      </x:c>
      <x:c r="K37" t="n">
        <x:v>250.2100067138672</x:v>
      </x:c>
      <x:c r="L37" t="n">
        <x:v>264.239990234375</x:v>
      </x:c>
      <x:c r="M37" t="n">
        <x:v>2646.7135882657676</x:v>
      </x:c>
      <x:c r="N37" t="n">
        <x:v>2795.1223130588464</x:v>
      </x:c>
      <x:c r="O37" t="n">
        <x:v>6.352112611837842</x:v>
      </x:c>
      <x:c r="P37" t="n">
        <x:v>6.708293551341231</x:v>
      </x:c>
      <x:c r="Q37" t="n">
        <x:v>250.2100067138672</x:v>
      </x:c>
      <x:c r="R37" t="n">
        <x:v>5.607283139779495</x:v>
      </x:c>
      <x:c r="S37" t="n">
        <x:v>5.607283139779495</x:v>
      </x:c>
      <x:c r="T37" t="n">
        <x:v>5.127283139779495</x:v>
      </x:c>
      <x:c r="U37" t="n">
        <x:f>YEAR(C37)</x:f>
        <x:v>2020</x:v>
      </x:c>
      <x:c r="V37" t="n">
        <x:f>YEAR(D37)</x:f>
        <x:v>2021</x:v>
      </x:c>
      <x:c r="W37" t="n">
        <x:f>N37-M37-O37-P37</x:f>
        <x:v>135.34831862989975</x:v>
      </x:c>
      <x:c r="X37" t="str">
        <x:f>IF(T37&gt;1,"Ganador",IF(T37&lt;0,"Perdedor","Empate"))</x:f>
        <x:v>Ganador</x:v>
      </x:c>
    </x:row>
    <x:row r="38">
      <x:c r="A38" t="str">
        <x:v>FCX</x:v>
      </x:c>
      <x:c r="B38" t="n">
        <x:v>44162</x:v>
      </x:c>
      <x:c r="C38" t="n">
        <x:v>44165</x:v>
      </x:c>
      <x:c r="D38" t="n">
        <x:v>44228</x:v>
      </x:c>
      <x:c r="E38" t="n">
        <x:v>63</x:v>
      </x:c>
      <x:c r="F38" t="str">
        <x:v>enter_or_hold</x:v>
      </x:c>
      <x:c r="G38" t="str">
        <x:v>market_filter_failed</x:v>
      </x:c>
      <x:c r="H38" t="n">
        <x:v>6</x:v>
      </x:c>
      <x:c r="I38" t="n">
        <x:v>85.0875507380582</x:v>
      </x:c>
      <x:c r="J38" t="n">
        <x:v>108.00866690110351</x:v>
      </x:c>
      <x:c r="K38" t="n">
        <x:v>23.38999938964844</x:v>
      </x:c>
      <x:c r="L38" t="n">
        <x:v>28.229999542236328</x:v>
      </x:c>
      <x:c r="M38" t="n">
        <x:v>2526.322652893553</x:v>
      </x:c>
      <x:c r="N38" t="n">
        <x:v>3049.084617175708</x:v>
      </x:c>
      <x:c r="O38" t="n">
        <x:v>6.063174366944527</x:v>
      </x:c>
      <x:c r="P38" t="n">
        <x:v>7.317803081221698</x:v>
      </x:c>
      <x:c r="Q38" t="n">
        <x:v>23.38999938964844</x:v>
      </x:c>
      <x:c r="R38" t="n">
        <x:v>20.692604869112973</x:v>
      </x:c>
      <x:c r="S38" t="n">
        <x:v>20.692604869112973</x:v>
      </x:c>
      <x:c r="T38" t="n">
        <x:v>20.212604869112972</x:v>
      </x:c>
      <x:c r="U38" t="n">
        <x:f>YEAR(C38)</x:f>
        <x:v>2020</x:v>
      </x:c>
      <x:c r="V38" t="n">
        <x:f>YEAR(D38)</x:f>
        <x:v>2021</x:v>
      </x:c>
      <x:c r="W38" t="n">
        <x:f>N38-M38-O38-P38</x:f>
        <x:v>509.38098683398886</x:v>
      </x:c>
      <x:c r="X38" t="str">
        <x:f>IF(T38&gt;1,"Ganador",IF(T38&lt;0,"Perdedor","Empate"))</x:f>
        <x:v>Ganador</x:v>
      </x:c>
    </x:row>
    <x:row r="39">
      <x:c r="A39" t="str">
        <x:v>MRNA</x:v>
      </x:c>
      <x:c r="B39" t="n">
        <x:v>44162</x:v>
      </x:c>
      <x:c r="C39" t="n">
        <x:v>44165</x:v>
      </x:c>
      <x:c r="D39" t="n">
        <x:v>44228</x:v>
      </x:c>
      <x:c r="E39" t="n">
        <x:v>63</x:v>
      </x:c>
      <x:c r="F39" t="str">
        <x:v>enter_or_hold</x:v>
      </x:c>
      <x:c r="G39" t="str">
        <x:v>market_filter_failed</x:v>
      </x:c>
      <x:c r="H39" t="n">
        <x:v>3</x:v>
      </x:c>
      <x:c r="I39" t="n">
        <x:v>98.81940663282543</x:v>
      </x:c>
      <x:c r="J39" t="n">
        <x:v>23.851962800363534</x:v>
      </x:c>
      <x:c r="K39" t="n">
        <x:v>141.8943319366852</x:v>
      </x:c>
      <x:c r="L39" t="n">
        <x:v>157.47999572753906</x:v>
      </x:c>
      <x:c r="M39" t="n">
        <x:v>3384.458326936251</x:v>
      </x:c>
      <x:c r="N39" t="n">
        <x:v>3756.20699989467</x:v>
      </x:c>
      <x:c r="O39" t="n">
        <x:v>8.122699984647003</x:v>
      </x:c>
      <x:c r="P39" t="n">
        <x:v>9.014896799747207</x:v>
      </x:c>
      <x:c r="Q39" t="n">
        <x:v>152.74000549316406</x:v>
      </x:c>
      <x:c r="R39" t="n">
        <x:v>3.1033063139356276</x:v>
      </x:c>
      <x:c r="S39" t="n">
        <x:v>10.983993213913813</x:v>
      </x:c>
      <x:c r="T39" t="n">
        <x:v>10.503993213913812</x:v>
      </x:c>
      <x:c r="U39" t="n">
        <x:f>YEAR(C39)</x:f>
        <x:v>2020</x:v>
      </x:c>
      <x:c r="V39" t="n">
        <x:f>YEAR(D39)</x:f>
        <x:v>2021</x:v>
      </x:c>
      <x:c r="W39" t="n">
        <x:f>N39-M39-O39-P39</x:f>
        <x:v>354.6110761740247</x:v>
      </x:c>
      <x:c r="X39" t="str">
        <x:f>IF(T39&gt;1,"Ganador",IF(T39&lt;0,"Perdedor","Empate"))</x:f>
        <x:v>Ganador</x:v>
      </x:c>
    </x:row>
    <x:row r="40">
      <x:c r="A40" t="str">
        <x:v>TSLA</x:v>
      </x:c>
      <x:c r="B40" t="n">
        <x:v>44162</x:v>
      </x:c>
      <x:c r="C40" t="n">
        <x:v>44165</x:v>
      </x:c>
      <x:c r="D40" t="n">
        <x:v>44228</x:v>
      </x:c>
      <x:c r="E40" t="n">
        <x:v>63</x:v>
      </x:c>
      <x:c r="F40" t="str">
        <x:v>enter_or_hold</x:v>
      </x:c>
      <x:c r="G40" t="str">
        <x:v>market_filter_failed</x:v>
      </x:c>
      <x:c r="H40" t="n">
        <x:v>1</x:v>
      </x:c>
      <x:c r="I40" t="n">
        <x:v>143.6784507256154</x:v>
      </x:c>
      <x:c r="J40" t="n">
        <x:v>12.024831290988208</x:v>
      </x:c>
      <x:c r="K40" t="n">
        <x:v>189.1999969482422</x:v>
      </x:c>
      <x:c r="L40" t="n">
        <x:v>279.9366760253906</x:v>
      </x:c>
      <x:c r="M40" t="n">
        <x:v>2275.0980435580964</x:v>
      </x:c>
      <x:c r="N40" t="n">
        <x:v>3366.1913013653457</x:v>
      </x:c>
      <x:c r="O40" t="n">
        <x:v>5.46023530453943</x:v>
      </x:c>
      <x:c r="P40" t="n">
        <x:v>8.078859123276828</x:v>
      </x:c>
      <x:c r="Q40" t="n">
        <x:v>189.1999969482422</x:v>
      </x:c>
      <x:c r="R40" t="n">
        <x:v>47.95807639572558</x:v>
      </x:c>
      <x:c r="S40" t="n">
        <x:v>47.95807639572558</x:v>
      </x:c>
      <x:c r="T40" t="n">
        <x:v>47.47807639572558</x:v>
      </x:c>
      <x:c r="U40" t="n">
        <x:f>YEAR(C40)</x:f>
        <x:v>2020</x:v>
      </x:c>
      <x:c r="V40" t="n">
        <x:f>YEAR(D40)</x:f>
        <x:v>2021</x:v>
      </x:c>
      <x:c r="W40" t="n">
        <x:f>N40-M40-O40-P40</x:f>
        <x:v>1077.554163379433</x:v>
      </x:c>
      <x:c r="X40" t="str">
        <x:f>IF(T40&gt;1,"Ganador",IF(T40&lt;0,"Perdedor","Empate"))</x:f>
        <x:v>Ganador</x:v>
      </x:c>
    </x:row>
    <x:row r="41">
      <x:c r="A41" t="str">
        <x:v>TTD</x:v>
      </x:c>
      <x:c r="B41" t="n">
        <x:v>44162</x:v>
      </x:c>
      <x:c r="C41" t="n">
        <x:v>44165</x:v>
      </x:c>
      <x:c r="D41" t="n">
        <x:v>44228</x:v>
      </x:c>
      <x:c r="E41" t="n">
        <x:v>63</x:v>
      </x:c>
      <x:c r="F41" t="str">
        <x:v>enter_or_hold</x:v>
      </x:c>
      <x:c r="G41" t="str">
        <x:v>market_filter_failed</x:v>
      </x:c>
      <x:c r="H41" t="n">
        <x:v>2</x:v>
      </x:c>
      <x:c r="I41" t="n">
        <x:v>109.83411976889998</x:v>
      </x:c>
      <x:c r="J41" t="n">
        <x:v>31.937704263162672</x:v>
      </x:c>
      <x:c r="K41" t="n">
        <x:v>89.65400162479347</x:v>
      </x:c>
      <x:c r="L41" t="n">
        <x:v>79.32099914550781</x:v>
      </x:c>
      <x:c r="M41" t="n">
        <x:v>2863.342989901759</x:v>
      </x:c>
      <x:c r="N41" t="n">
        <x:v>2533.3306125678077</x:v>
      </x:c>
      <x:c r="O41" t="n">
        <x:v>6.872023175764221</x:v>
      </x:c>
      <x:c r="P41" t="n">
        <x:v>6.079993470162738</x:v>
      </x:c>
      <x:c r="Q41" t="n">
        <x:v>90.10700225830078</x:v>
      </x:c>
      <x:c r="R41" t="n">
        <x:v>-11.97021634553307</x:v>
      </x:c>
      <x:c r="S41" t="n">
        <x:v>-11.525422504318094</x:v>
      </x:c>
      <x:c r="T41" t="n">
        <x:v>-12.005422504318094</x:v>
      </x:c>
      <x:c r="U41" t="n">
        <x:f>YEAR(C41)</x:f>
        <x:v>2020</x:v>
      </x:c>
      <x:c r="V41" t="n">
        <x:f>YEAR(D41)</x:f>
        <x:v>2021</x:v>
      </x:c>
      <x:c r="W41" t="n">
        <x:f>N41-M41-O41-P41</x:f>
        <x:v>-342.9643939798784</x:v>
      </x:c>
      <x:c r="X41" t="str">
        <x:f>IF(T41&gt;1,"Ganador",IF(T41&lt;0,"Perdedor","Empate"))</x:f>
        <x:v>Perdedor</x:v>
      </x:c>
    </x:row>
    <x:row r="42">
      <x:c r="A42" t="str">
        <x:v>XYZ</x:v>
      </x:c>
      <x:c r="B42" t="n">
        <x:v>44162</x:v>
      </x:c>
      <x:c r="C42" t="n">
        <x:v>44165</x:v>
      </x:c>
      <x:c r="D42" t="n">
        <x:v>44228</x:v>
      </x:c>
      <x:c r="E42" t="n">
        <x:v>63</x:v>
      </x:c>
      <x:c r="F42" t="str">
        <x:v>enter_or_hold</x:v>
      </x:c>
      <x:c r="G42" t="str">
        <x:v>market_filter_failed</x:v>
      </x:c>
      <x:c r="H42" t="n">
        <x:v>4</x:v>
      </x:c>
      <x:c r="I42" t="n">
        <x:v>97.27166159442352</x:v>
      </x:c>
      <x:c r="J42" t="n">
        <x:v>11.911226913002215</x:v>
      </x:c>
      <x:c r="K42" t="n">
        <x:v>210.9600067138672</x:v>
      </x:c>
      <x:c r="L42" t="n">
        <x:v>221.94000244140625</x:v>
      </x:c>
      <x:c r="M42" t="n">
        <x:v>2512.792509537343</x:v>
      </x:c>
      <x:c r="N42" t="n">
        <x:v>2643.5777301518556</x:v>
      </x:c>
      <x:c r="O42" t="n">
        <x:v>6.030702022889622</x:v>
      </x:c>
      <x:c r="P42" t="n">
        <x:v>6.3445865523644525</x:v>
      </x:c>
      <x:c r="Q42" t="n">
        <x:v>210.9600067138672</x:v>
      </x:c>
      <x:c r="R42" t="n">
        <x:v>5.2047759661060455</x:v>
      </x:c>
      <x:c r="S42" t="n">
        <x:v>5.2047759661060455</x:v>
      </x:c>
      <x:c r="T42" t="n">
        <x:v>4.724775966106046</x:v>
      </x:c>
      <x:c r="U42" t="n">
        <x:f>YEAR(C42)</x:f>
        <x:v>2020</x:v>
      </x:c>
      <x:c r="V42" t="n">
        <x:f>YEAR(D42)</x:f>
        <x:v>2021</x:v>
      </x:c>
      <x:c r="W42" t="n">
        <x:f>N42-M42-O42-P42</x:f>
        <x:v>118.4099320392585</x:v>
      </x:c>
      <x:c r="X42" t="str">
        <x:f>IF(T42&gt;1,"Ganador",IF(T42&lt;0,"Perdedor","Empate"))</x:f>
        <x:v>Ganador</x:v>
      </x:c>
    </x:row>
    <x:row r="43">
      <x:c r="A43" t="str">
        <x:v>GNRC</x:v>
      </x:c>
      <x:c r="B43" t="n">
        <x:v>44253</x:v>
      </x:c>
      <x:c r="C43" t="n">
        <x:v>44256</x:v>
      </x:c>
      <x:c r="D43" t="n">
        <x:v>44284</x:v>
      </x:c>
      <x:c r="E43" t="n">
        <x:v>28</x:v>
      </x:c>
      <x:c r="F43" t="str">
        <x:v>enter_or_hold</x:v>
      </x:c>
      <x:c r="G43" t="str">
        <x:v>left_top_n</x:v>
      </x:c>
      <x:c r="H43" t="n">
        <x:v>4</x:v>
      </x:c>
      <x:c r="I43" t="n">
        <x:v>85.83572305693762</x:v>
      </x:c>
      <x:c r="J43" t="n">
        <x:v>8.691520203082337</x:v>
      </x:c>
      <x:c r="K43" t="n">
        <x:v>346.25</x:v>
      </x:c>
      <x:c r="L43" t="n">
        <x:v>303.1400146484375</x:v>
      </x:c>
      <x:c r="M43" t="n">
        <x:v>3009.438870317259</x:v>
      </x:c>
      <x:c r="N43" t="n">
        <x:v>2634.74756167957</x:v>
      </x:c>
      <x:c r="O43" t="n">
        <x:v>7.222653288761421</x:v>
      </x:c>
      <x:c r="P43" t="n">
        <x:v>6.323394148030967</x:v>
      </x:c>
      <x:c r="Q43" t="n">
        <x:v>346.25</x:v>
      </x:c>
      <x:c r="R43" t="n">
        <x:v>-12.45053728564982</x:v>
      </x:c>
      <x:c r="S43" t="n">
        <x:v>-12.45053728564982</x:v>
      </x:c>
      <x:c r="T43" t="n">
        <x:v>-12.930537285649821</x:v>
      </x:c>
      <x:c r="U43" t="n">
        <x:f>YEAR(C43)</x:f>
        <x:v>2021</x:v>
      </x:c>
      <x:c r="V43" t="n">
        <x:f>YEAR(D43)</x:f>
        <x:v>2021</x:v>
      </x:c>
      <x:c r="W43" t="n">
        <x:f>N43-M43-O43-P43</x:f>
        <x:v>-388.23735607448134</x:v>
      </x:c>
      <x:c r="X43" t="str">
        <x:f>IF(T43&gt;1,"Ganador",IF(T43&lt;0,"Perdedor","Empate"))</x:f>
        <x:v>Perdedor</x:v>
      </x:c>
    </x:row>
    <x:row r="44">
      <x:c r="A44" t="str">
        <x:v>MRNA</x:v>
      </x:c>
      <x:c r="B44" t="n">
        <x:v>44253</x:v>
      </x:c>
      <x:c r="C44" t="n">
        <x:v>44256</x:v>
      </x:c>
      <x:c r="D44" t="n">
        <x:v>44284</x:v>
      </x:c>
      <x:c r="E44" t="n">
        <x:v>28</x:v>
      </x:c>
      <x:c r="F44" t="str">
        <x:v>enter_or_hold</x:v>
      </x:c>
      <x:c r="G44" t="str">
        <x:v>left_top_n</x:v>
      </x:c>
      <x:c r="H44" t="n">
        <x:v>5</x:v>
      </x:c>
      <x:c r="I44" t="n">
        <x:v>83.74696433480915</x:v>
      </x:c>
      <x:c r="J44" t="n">
        <x:v>19.119688608733018</x:v>
      </x:c>
      <x:c r="K44" t="n">
        <x:v>157.39999389648438</x:v>
      </x:c>
      <x:c r="L44" t="n">
        <x:v>123.41999816894533</x:v>
      </x:c>
      <x:c r="M44" t="n">
        <x:v>3009.438870317259</x:v>
      </x:c>
      <x:c r="N44" t="n">
        <x:v>2359.751933080634</x:v>
      </x:c>
      <x:c r="O44" t="n">
        <x:v>7.222653288761421</x:v>
      </x:c>
      <x:c r="P44" t="n">
        <x:v>5.663404639393521</x:v>
      </x:c>
      <x:c r="Q44" t="n">
        <x:v>157.39999389648438</x:v>
      </x:c>
      <x:c r="R44" t="n">
        <x:v>-21.588308160854385</x:v>
      </x:c>
      <x:c r="S44" t="n">
        <x:v>-21.588308160854385</x:v>
      </x:c>
      <x:c r="T44" t="n">
        <x:v>-22.068308160854386</x:v>
      </x:c>
      <x:c r="U44" t="n">
        <x:f>YEAR(C44)</x:f>
        <x:v>2021</x:v>
      </x:c>
      <x:c r="V44" t="n">
        <x:f>YEAR(D44)</x:f>
        <x:v>2021</x:v>
      </x:c>
      <x:c r="W44" t="n">
        <x:f>N44-M44-O44-P44</x:f>
        <x:v>-662.57299516478</x:v>
      </x:c>
      <x:c r="X44" t="str">
        <x:f>IF(T44&gt;1,"Ganador",IF(T44&lt;0,"Perdedor","Empate"))</x:f>
        <x:v>Perdedor</x:v>
      </x:c>
    </x:row>
    <x:row r="45">
      <x:c r="A45" t="str">
        <x:v>PSKY</x:v>
      </x:c>
      <x:c r="B45" t="n">
        <x:v>44253</x:v>
      </x:c>
      <x:c r="C45" t="n">
        <x:v>44256</x:v>
      </x:c>
      <x:c r="D45" t="n">
        <x:v>44284</x:v>
      </x:c>
      <x:c r="E45" t="n">
        <x:v>28</x:v>
      </x:c>
      <x:c r="F45" t="str">
        <x:v>enter_or_hold</x:v>
      </x:c>
      <x:c r="G45" t="str">
        <x:v>left_top_n</x:v>
      </x:c>
      <x:c r="H45" t="n">
        <x:v>1</x:v>
      </x:c>
      <x:c r="I45" t="n">
        <x:v>119.41114197447908</x:v>
      </x:c>
      <x:c r="J45" t="n">
        <x:v>44.83001628849361</x:v>
      </x:c>
      <x:c r="K45" t="n">
        <x:v>67.12999725341797</x:v>
      </x:c>
      <x:c r="L45" t="n">
        <x:v>45.0099983215332</x:v>
      </x:c>
      <x:c r="M45" t="n">
        <x:v>3009.438870317259</x:v>
      </x:c>
      <x:c r="N45" t="n">
        <x:v>2017.7989578994036</x:v>
      </x:c>
      <x:c r="O45" t="n">
        <x:v>7.222653288761421</x:v>
      </x:c>
      <x:c r="P45" t="n">
        <x:v>4.842717498958568</x:v>
      </x:c>
      <x:c r="Q45" t="n">
        <x:v>67.12999725341797</x:v>
      </x:c>
      <x:c r="R45" t="n">
        <x:v>-32.950990372278774</x:v>
      </x:c>
      <x:c r="S45" t="n">
        <x:v>-32.950990372278774</x:v>
      </x:c>
      <x:c r="T45" t="n">
        <x:v>-33.43099037227877</x:v>
      </x:c>
      <x:c r="U45" t="n">
        <x:f>YEAR(C45)</x:f>
        <x:v>2021</x:v>
      </x:c>
      <x:c r="V45" t="n">
        <x:f>YEAR(D45)</x:f>
        <x:v>2021</x:v>
      </x:c>
      <x:c r="W45" t="n">
        <x:f>N45-M45-O45-P45</x:f>
        <x:v>-1003.7052832055754</x:v>
      </x:c>
      <x:c r="X45" t="str">
        <x:f>IF(T45&gt;1,"Ganador",IF(T45&lt;0,"Perdedor","Empate"))</x:f>
        <x:v>Perdedor</x:v>
      </x:c>
    </x:row>
    <x:row r="46">
      <x:c r="A46" t="str">
        <x:v>WBD</x:v>
      </x:c>
      <x:c r="B46" t="n">
        <x:v>44253</x:v>
      </x:c>
      <x:c r="C46" t="n">
        <x:v>44256</x:v>
      </x:c>
      <x:c r="D46" t="n">
        <x:v>44284</x:v>
      </x:c>
      <x:c r="E46" t="n">
        <x:v>28</x:v>
      </x:c>
      <x:c r="F46" t="str">
        <x:v>enter_or_hold</x:v>
      </x:c>
      <x:c r="G46" t="str">
        <x:v>left_top_n</x:v>
      </x:c>
      <x:c r="H46" t="n">
        <x:v>2</x:v>
      </x:c>
      <x:c r="I46" t="n">
        <x:v>105.78344893849136</x:v>
      </x:c>
      <x:c r="J46" t="n">
        <x:v>51.72634676059867</x:v>
      </x:c>
      <x:c r="K46" t="n">
        <x:v>58.18000030517578</x:v>
      </x:c>
      <x:c r="L46" t="n">
        <x:v>41.22999954223633</x:v>
      </x:c>
      <x:c r="M46" t="n">
        <x:v>3009.438870317259</x:v>
      </x:c>
      <x:c r="N46" t="n">
        <x:v>2132.6772532610407</x:v>
      </x:c>
      <x:c r="O46" t="n">
        <x:v>7.222653288761421</x:v>
      </x:c>
      <x:c r="P46" t="n">
        <x:v>5.118425407826497</x:v>
      </x:c>
      <x:c r="Q46" t="n">
        <x:v>58.18000030517578</x:v>
      </x:c>
      <x:c r="R46" t="n">
        <x:v>-29.13372408736745</x:v>
      </x:c>
      <x:c r="S46" t="n">
        <x:v>-29.13372408736745</x:v>
      </x:c>
      <x:c r="T46" t="n">
        <x:v>-29.61372408736745</x:v>
      </x:c>
      <x:c r="U46" t="n">
        <x:f>YEAR(C46)</x:f>
        <x:v>2021</x:v>
      </x:c>
      <x:c r="V46" t="n">
        <x:f>YEAR(D46)</x:f>
        <x:v>2021</x:v>
      </x:c>
      <x:c r="W46" t="n">
        <x:f>N46-M46-O46-P46</x:f>
        <x:v>-889.1026957528062</x:v>
      </x:c>
      <x:c r="X46" t="str">
        <x:f>IF(T46&gt;1,"Ganador",IF(T46&lt;0,"Perdedor","Empate"))</x:f>
        <x:v>Perdedor</x:v>
      </x:c>
    </x:row>
    <x:row r="47">
      <x:c r="A47" t="str">
        <x:v>FCX</x:v>
      </x:c>
      <x:c r="B47" t="n">
        <x:v>44253</x:v>
      </x:c>
      <x:c r="C47" t="n">
        <x:v>44256</x:v>
      </x:c>
      <x:c r="D47" t="n">
        <x:v>44284</x:v>
      </x:c>
      <x:c r="E47" t="n">
        <x:v>28</x:v>
      </x:c>
      <x:c r="F47" t="str">
        <x:v>enter_or_hold</x:v>
      </x:c>
      <x:c r="G47" t="str">
        <x:v>rebalance_trim</x:v>
      </x:c>
      <x:c r="H47" t="n">
        <x:v>3</x:v>
      </x:c>
      <x:c r="I47" t="n">
        <x:v>100.04537845653908</x:v>
      </x:c>
      <x:c r="J47" t="n">
        <x:v>3.666963221847654</x:v>
      </x:c>
      <x:c r="K47" t="n">
        <x:v>34.900001525878906</x:v>
      </x:c>
      <x:c r="L47" t="n">
        <x:v>32.099998474121094</x:v>
      </x:c>
      <x:c r="M47" t="n">
        <x:v>127.97702203782495</x:v>
      </x:c>
      <x:c r="N47" t="n">
        <x:v>117.70951382596786</x:v>
      </x:c>
      <x:c r="O47" t="n">
        <x:v>0.30714485289077986</x:v>
      </x:c>
      <x:c r="P47" t="n">
        <x:v>0.28250283318232283</x:v>
      </x:c>
      <x:c r="Q47" t="n">
        <x:v>34.900001525878906</x:v>
      </x:c>
      <x:c r="R47" t="n">
        <x:v>-8.022931029620628</x:v>
      </x:c>
      <x:c r="S47" t="n">
        <x:v>-8.022931029620628</x:v>
      </x:c>
      <x:c r="T47" t="n">
        <x:v>-8.502931029620628</x:v>
      </x:c>
      <x:c r="U47" t="n">
        <x:f>YEAR(C47)</x:f>
        <x:v>2021</x:v>
      </x:c>
      <x:c r="V47" t="n">
        <x:f>YEAR(D47)</x:f>
        <x:v>2021</x:v>
      </x:c>
      <x:c r="W47" t="n">
        <x:f>N47-M47-O47-P47</x:f>
        <x:v>-10.857155897930193</x:v>
      </x:c>
      <x:c r="X47" t="str">
        <x:f>IF(T47&gt;1,"Ganador",IF(T47&lt;0,"Perdedor","Empate"))</x:f>
        <x:v>Perdedor</x:v>
      </x:c>
    </x:row>
    <x:row r="48">
      <x:c r="A48" t="str">
        <x:v>TPL</x:v>
      </x:c>
      <x:c r="B48" t="n">
        <x:v>44253</x:v>
      </x:c>
      <x:c r="C48" t="n">
        <x:v>44256</x:v>
      </x:c>
      <x:c r="D48" t="n">
        <x:v>44284</x:v>
      </x:c>
      <x:c r="E48" t="n">
        <x:v>28</x:v>
      </x:c>
      <x:c r="F48" t="str">
        <x:v>enter_or_hold</x:v>
      </x:c>
      <x:c r="G48" t="str">
        <x:v>rebalance_trim</x:v>
      </x:c>
      <x:c r="H48" t="n">
        <x:v>6</x:v>
      </x:c>
      <x:c r="I48" t="n">
        <x:v>81.57742981332001</x:v>
      </x:c>
      <x:c r="J48" t="n">
        <x:v>8.293207344180583</x:v>
      </x:c>
      <x:c r="K48" t="n">
        <x:v>123.086669921875</x:v>
      </x:c>
      <x:c r="L48" t="n">
        <x:v>164.03778076171875</x:v>
      </x:c>
      <x:c r="M48" t="n">
        <x:v>1020.783274966825</x:v>
      </x:c>
      <x:c r="N48" t="n">
        <x:v>1360.3993281361704</x:v>
      </x:c>
      <x:c r="O48" t="n">
        <x:v>2.44987985992038</x:v>
      </x:c>
      <x:c r="P48" t="n">
        <x:v>3.264958387526809</x:v>
      </x:c>
      <x:c r="Q48" t="n">
        <x:v>123.086669921875</x:v>
      </x:c>
      <x:c r="R48" t="n">
        <x:v>33.270142791121124</x:v>
      </x:c>
      <x:c r="S48" t="n">
        <x:v>33.270142791121124</x:v>
      </x:c>
      <x:c r="T48" t="n">
        <x:v>32.79014279112113</x:v>
      </x:c>
      <x:c r="U48" t="n">
        <x:f>YEAR(C48)</x:f>
        <x:v>2021</x:v>
      </x:c>
      <x:c r="V48" t="n">
        <x:f>YEAR(D48)</x:f>
        <x:v>2021</x:v>
      </x:c>
      <x:c r="W48" t="n">
        <x:f>N48-M48-O48-P48</x:f>
        <x:v>333.9012149218982</x:v>
      </x:c>
      <x:c r="X48" t="str">
        <x:f>IF(T48&gt;1,"Ganador",IF(T48&lt;0,"Perdedor","Empate"))</x:f>
        <x:v>Ganador</x:v>
      </x:c>
    </x:row>
    <x:row r="49">
      <x:c r="A49" t="str">
        <x:v>DVN</x:v>
      </x:c>
      <x:c r="B49" t="n">
        <x:v>44281</x:v>
      </x:c>
      <x:c r="C49" t="n">
        <x:v>44284</x:v>
      </x:c>
      <x:c r="D49" t="n">
        <x:v>44319</x:v>
      </x:c>
      <x:c r="E49" t="n">
        <x:v>35</x:v>
      </x:c>
      <x:c r="F49" t="str">
        <x:v>enter_or_hold</x:v>
      </x:c>
      <x:c r="G49" t="str">
        <x:v>left_top_n</x:v>
      </x:c>
      <x:c r="H49" t="n">
        <x:v>6</x:v>
      </x:c>
      <x:c r="I49" t="n">
        <x:v>66.9792125420541</x:v>
      </x:c>
      <x:c r="J49" t="n">
        <x:v>120.96356570260129</x:v>
      </x:c>
      <x:c r="K49" t="n">
        <x:v>21.850000381469727</x:v>
      </x:c>
      <x:c r="L49" t="n">
        <x:v>23.6200008392334</x:v>
      </x:c>
      <x:c r="M49" t="n">
        <x:v>2643.0539567457763</x:v>
      </x:c>
      <x:c r="N49" t="n">
        <x:v>2857.159523412107</x:v>
      </x:c>
      <x:c r="O49" t="n">
        <x:v>6.343329496189862</x:v>
      </x:c>
      <x:c r="P49" t="n">
        <x:v>6.8571828561890555</x:v>
      </x:c>
      <x:c r="Q49" t="n">
        <x:v>21.850000381469727</x:v>
      </x:c>
      <x:c r="R49" t="n">
        <x:v>8.10068845245766</x:v>
      </x:c>
      <x:c r="S49" t="n">
        <x:v>8.10068845245766</x:v>
      </x:c>
      <x:c r="T49" t="n">
        <x:v>7.62068845245766</x:v>
      </x:c>
      <x:c r="U49" t="n">
        <x:f>YEAR(C49)</x:f>
        <x:v>2021</x:v>
      </x:c>
      <x:c r="V49" t="n">
        <x:f>YEAR(D49)</x:f>
        <x:v>2021</x:v>
      </x:c>
      <x:c r="W49" t="n">
        <x:f>N49-M49-O49-P49</x:f>
        <x:v>200.90505431395167</x:v>
      </x:c>
      <x:c r="X49" t="str">
        <x:f>IF(T49&gt;1,"Ganador",IF(T49&lt;0,"Perdedor","Empate"))</x:f>
        <x:v>Ganador</x:v>
      </x:c>
    </x:row>
    <x:row r="50">
      <x:c r="A50" t="str">
        <x:v>URI</x:v>
      </x:c>
      <x:c r="B50" t="n">
        <x:v>44281</x:v>
      </x:c>
      <x:c r="C50" t="n">
        <x:v>44284</x:v>
      </x:c>
      <x:c r="D50" t="n">
        <x:v>44319</x:v>
      </x:c>
      <x:c r="E50" t="n">
        <x:v>35</x:v>
      </x:c>
      <x:c r="F50" t="str">
        <x:v>enter_or_hold</x:v>
      </x:c>
      <x:c r="G50" t="str">
        <x:v>left_top_n</x:v>
      </x:c>
      <x:c r="H50" t="n">
        <x:v>5</x:v>
      </x:c>
      <x:c r="I50" t="n">
        <x:v>68.0530324984156</x:v>
      </x:c>
      <x:c r="J50" t="n">
        <x:v>8.145757533214857</x:v>
      </x:c>
      <x:c r="K50" t="n">
        <x:v>324.4700012207031</x:v>
      </x:c>
      <x:c r="L50" t="n">
        <x:v>321.79998779296875</x:v>
      </x:c>
      <x:c r="M50" t="n">
        <x:v>2643.0539567457763</x:v>
      </x:c>
      <x:c r="N50" t="n">
        <x:v>2621.3046747530243</x:v>
      </x:c>
      <x:c r="O50" t="n">
        <x:v>6.343329496189862</x:v>
      </x:c>
      <x:c r="P50" t="n">
        <x:v>6.291131219407258</x:v>
      </x:c>
      <x:c r="Q50" t="n">
        <x:v>324.4700012207031</x:v>
      </x:c>
      <x:c r="R50" t="n">
        <x:v>-0.8228845248218319</x:v>
      </x:c>
      <x:c r="S50" t="n">
        <x:v>-0.8228845248218319</x:v>
      </x:c>
      <x:c r="T50" t="n">
        <x:v>-1.302884524821832</x:v>
      </x:c>
      <x:c r="U50" t="n">
        <x:f>YEAR(C50)</x:f>
        <x:v>2021</x:v>
      </x:c>
      <x:c r="V50" t="n">
        <x:f>YEAR(D50)</x:f>
        <x:v>2021</x:v>
      </x:c>
      <x:c r="W50" t="n">
        <x:f>N50-M50-O50-P50</x:f>
        <x:v>-34.383742708349125</x:v>
      </x:c>
      <x:c r="X50" t="str">
        <x:f>IF(T50&gt;1,"Ganador",IF(T50&lt;0,"Perdedor","Empate"))</x:f>
        <x:v>Perdedor</x:v>
      </x:c>
    </x:row>
    <x:row r="51">
      <x:c r="A51" t="str">
        <x:v>WSM</x:v>
      </x:c>
      <x:c r="B51" t="n">
        <x:v>44281</x:v>
      </x:c>
      <x:c r="C51" t="n">
        <x:v>44284</x:v>
      </x:c>
      <x:c r="D51" t="n">
        <x:v>44319</x:v>
      </x:c>
      <x:c r="E51" t="n">
        <x:v>35</x:v>
      </x:c>
      <x:c r="F51" t="str">
        <x:v>enter_or_hold</x:v>
      </x:c>
      <x:c r="G51" t="str">
        <x:v>left_top_n</x:v>
      </x:c>
      <x:c r="H51" t="n">
        <x:v>2</x:v>
      </x:c>
      <x:c r="I51" t="n">
        <x:v>82.52599492770966</x:v>
      </x:c>
      <x:c r="J51" t="n">
        <x:v>29.44250925233736</x:v>
      </x:c>
      <x:c r="K51" t="n">
        <x:v>89.7699966430664</x:v>
      </x:c>
      <x:c r="L51" t="n">
        <x:v>87.67500305175781</x:v>
      </x:c>
      <x:c r="M51" t="n">
        <x:v>2643.0539567457763</x:v>
      </x:c>
      <x:c r="N51" t="n">
        <x:v>2581.3720885500857</x:v>
      </x:c>
      <x:c r="O51" t="n">
        <x:v>6.343329496189862</x:v>
      </x:c>
      <x:c r="P51" t="n">
        <x:v>6.195293012520205</x:v>
      </x:c>
      <x:c r="Q51" t="n">
        <x:v>89.7699966430664</x:v>
      </x:c>
      <x:c r="R51" t="n">
        <x:v>-2.3337347328177827</x:v>
      </x:c>
      <x:c r="S51" t="n">
        <x:v>-2.3337347328177827</x:v>
      </x:c>
      <x:c r="T51" t="n">
        <x:v>-2.8137347328177826</x:v>
      </x:c>
      <x:c r="U51" t="n">
        <x:f>YEAR(C51)</x:f>
        <x:v>2021</x:v>
      </x:c>
      <x:c r="V51" t="n">
        <x:f>YEAR(D51)</x:f>
        <x:v>2021</x:v>
      </x:c>
      <x:c r="W51" t="n">
        <x:f>N51-M51-O51-P51</x:f>
        <x:v>-74.22049070440072</x:v>
      </x:c>
      <x:c r="X51" t="str">
        <x:f>IF(T51&gt;1,"Ganador",IF(T51&lt;0,"Perdedor","Empate"))</x:f>
        <x:v>Perdedor</x:v>
      </x:c>
    </x:row>
    <x:row r="52">
      <x:c r="A52" t="str">
        <x:v>FCX</x:v>
      </x:c>
      <x:c r="B52" t="n">
        <x:v>44253</x:v>
      </x:c>
      <x:c r="C52" t="n">
        <x:v>44256</x:v>
      </x:c>
      <x:c r="D52" t="n">
        <x:v>44319</x:v>
      </x:c>
      <x:c r="E52" t="n">
        <x:v>63</x:v>
      </x:c>
      <x:c r="F52" t="str">
        <x:v>enter_or_hold</x:v>
      </x:c>
      <x:c r="G52" t="str">
        <x:v>rebalance_trim</x:v>
      </x:c>
      <x:c r="H52" t="n">
        <x:v>3</x:v>
      </x:c>
      <x:c r="I52" t="n">
        <x:v>100.04537845653908</x:v>
      </x:c>
      <x:c r="J52" t="n">
        <x:v>8.935744798297037</x:v>
      </x:c>
      <x:c r="K52" t="n">
        <x:v>34.900001525878906</x:v>
      </x:c>
      <x:c r="L52" t="n">
        <x:v>38.709999084472656</x:v>
      </x:c>
      <x:c r="M52" t="n">
        <x:v>311.85750709543106</x:v>
      </x:c>
      <x:c r="N52" t="n">
        <x:v>345.9026729611596</x:v>
      </x:c>
      <x:c r="O52" t="n">
        <x:v>0.7484580170290346</x:v>
      </x:c>
      <x:c r="P52" t="n">
        <x:v>0.830166415106783</x:v>
      </x:c>
      <x:c r="Q52" t="n">
        <x:v>34.900001525878906</x:v>
      </x:c>
      <x:c r="R52" t="n">
        <x:v>10.916897971389993</x:v>
      </x:c>
      <x:c r="S52" t="n">
        <x:v>10.916897971389993</x:v>
      </x:c>
      <x:c r="T52" t="n">
        <x:v>10.436897971389993</x:v>
      </x:c>
      <x:c r="U52" t="n">
        <x:f>YEAR(C52)</x:f>
        <x:v>2021</x:v>
      </x:c>
      <x:c r="V52" t="n">
        <x:f>YEAR(D52)</x:f>
        <x:v>2021</x:v>
      </x:c>
      <x:c r="W52" t="n">
        <x:f>N52-M52-O52-P52</x:f>
        <x:v>32.466541433592745</x:v>
      </x:c>
      <x:c r="X52" t="str">
        <x:f>IF(T52&gt;1,"Ganador",IF(T52&lt;0,"Perdedor","Empate"))</x:f>
        <x:v>Ganador</x:v>
      </x:c>
    </x:row>
    <x:row r="53">
      <x:c r="A53" t="str">
        <x:v>IVZ</x:v>
      </x:c>
      <x:c r="B53" t="n">
        <x:v>44281</x:v>
      </x:c>
      <x:c r="C53" t="n">
        <x:v>44284</x:v>
      </x:c>
      <x:c r="D53" t="n">
        <x:v>44319</x:v>
      </x:c>
      <x:c r="E53" t="n">
        <x:v>35</x:v>
      </x:c>
      <x:c r="F53" t="str">
        <x:v>enter_or_hold</x:v>
      </x:c>
      <x:c r="G53" t="str">
        <x:v>rebalance_trim</x:v>
      </x:c>
      <x:c r="H53" t="n">
        <x:v>3</x:v>
      </x:c>
      <x:c r="I53" t="n">
        <x:v>74.38273044545696</x:v>
      </x:c>
      <x:c r="J53" t="n">
        <x:v>4.601003844251004</x:v>
      </x:c>
      <x:c r="K53" t="n">
        <x:v>24.350000381469727</x:v>
      </x:c>
      <x:c r="L53" t="n">
        <x:v>27.420000076293945</x:v>
      </x:c>
      <x:c r="M53" t="n">
        <x:v>112.03444536265562</x:v>
      </x:c>
      <x:c r="N53" t="n">
        <x:v>126.15952576039126</x:v>
      </x:c>
      <x:c r="O53" t="n">
        <x:v>0.26888266887037343</x:v>
      </x:c>
      <x:c r="P53" t="n">
        <x:v>0.302782861824939</x:v>
      </x:c>
      <x:c r="Q53" t="n">
        <x:v>24.350000381469727</x:v>
      </x:c>
      <x:c r="R53" t="n">
        <x:v>12.607801423939513</x:v>
      </x:c>
      <x:c r="S53" t="n">
        <x:v>12.607801423939513</x:v>
      </x:c>
      <x:c r="T53" t="n">
        <x:v>12.127801423939513</x:v>
      </x:c>
      <x:c r="U53" t="n">
        <x:f>YEAR(C53)</x:f>
        <x:v>2021</x:v>
      </x:c>
      <x:c r="V53" t="n">
        <x:f>YEAR(D53)</x:f>
        <x:v>2021</x:v>
      </x:c>
      <x:c r="W53" t="n">
        <x:f>N53-M53-O53-P53</x:f>
        <x:v>13.553414867040331</x:v>
      </x:c>
      <x:c r="X53" t="str">
        <x:f>IF(T53&gt;1,"Ganador",IF(T53&lt;0,"Perdedor","Empate"))</x:f>
        <x:v>Ganador</x:v>
      </x:c>
    </x:row>
    <x:row r="54">
      <x:c r="A54" t="str">
        <x:v>TPL</x:v>
      </x:c>
      <x:c r="B54" t="n">
        <x:v>44253</x:v>
      </x:c>
      <x:c r="C54" t="n">
        <x:v>44256</x:v>
      </x:c>
      <x:c r="D54" t="n">
        <x:v>44319</x:v>
      </x:c>
      <x:c r="E54" t="n">
        <x:v>63</x:v>
      </x:c>
      <x:c r="F54" t="str">
        <x:v>enter_or_hold</x:v>
      </x:c>
      <x:c r="G54" t="str">
        <x:v>rebalance_trim</x:v>
      </x:c>
      <x:c r="H54" t="n">
        <x:v>6</x:v>
      </x:c>
      <x:c r="I54" t="n">
        <x:v>81.57742981332001</x:v>
      </x:c>
      <x:c r="J54" t="n">
        <x:v>0.21159087646633415</x:v>
      </x:c>
      <x:c r="K54" t="n">
        <x:v>123.086669921875</x:v>
      </x:c>
      <x:c r="L54" t="n">
        <x:v>178.74777221679688</x:v>
      </x:c>
      <x:c r="M54" t="n">
        <x:v>26.044016370091903</x:v>
      </x:c>
      <x:c r="N54" t="n">
        <x:v>37.8213977897567</x:v>
      </x:c>
      <x:c r="O54" t="n">
        <x:v>0.06250563928822057</x:v>
      </x:c>
      <x:c r="P54" t="n">
        <x:v>0.09077135469541607</x:v>
      </x:c>
      <x:c r="Q54" t="n">
        <x:v>123.086669921875</x:v>
      </x:c>
      <x:c r="R54" t="n">
        <x:v>45.22106441765858</x:v>
      </x:c>
      <x:c r="S54" t="n">
        <x:v>45.22106441765858</x:v>
      </x:c>
      <x:c r="T54" t="n">
        <x:v>44.741064417658585</x:v>
      </x:c>
      <x:c r="U54" t="n">
        <x:f>YEAR(C54)</x:f>
        <x:v>2021</x:v>
      </x:c>
      <x:c r="V54" t="n">
        <x:f>YEAR(D54)</x:f>
        <x:v>2021</x:v>
      </x:c>
      <x:c r="W54" t="n">
        <x:f>N54-M54-O54-P54</x:f>
        <x:v>11.624104425681162</x:v>
      </x:c>
      <x:c r="X54" t="str">
        <x:f>IF(T54&gt;1,"Ganador",IF(T54&lt;0,"Perdedor","Empate"))</x:f>
        <x:v>Ganador</x:v>
      </x:c>
    </x:row>
    <x:row r="55">
      <x:c r="A55" t="str">
        <x:v>IVZ</x:v>
      </x:c>
      <x:c r="B55" t="n">
        <x:v>44281</x:v>
      </x:c>
      <x:c r="C55" t="n">
        <x:v>44284</x:v>
      </x:c>
      <x:c r="D55" t="n">
        <x:v>44348</x:v>
      </x:c>
      <x:c r="E55" t="n">
        <x:v>64</x:v>
      </x:c>
      <x:c r="F55" t="str">
        <x:v>enter_or_hold</x:v>
      </x:c>
      <x:c r="G55" t="str">
        <x:v>left_top_n</x:v>
      </x:c>
      <x:c r="H55" t="n">
        <x:v>3</x:v>
      </x:c>
      <x:c r="I55" t="n">
        <x:v>74.38273044545696</x:v>
      </x:c>
      <x:c r="J55" t="n">
        <x:v>103.94330479391772</x:v>
      </x:c>
      <x:c r="K55" t="n">
        <x:v>24.350000381469727</x:v>
      </x:c>
      <x:c r="L55" t="n">
        <x:v>27.190000534057617</x:v>
      </x:c>
      <x:c r="M55" t="n">
        <x:v>2531.0195113831205</x:v>
      </x:c>
      <x:c r="N55" t="n">
        <x:v>2826.2185128583365</x:v>
      </x:c>
      <x:c r="O55" t="n">
        <x:v>6.0744468273194885</x:v>
      </x:c>
      <x:c r="P55" t="n">
        <x:v>6.782924430860007</x:v>
      </x:c>
      <x:c r="Q55" t="n">
        <x:v>24.350000381469727</x:v>
      </x:c>
      <x:c r="R55" t="n">
        <x:v>11.663244797109407</x:v>
      </x:c>
      <x:c r="S55" t="n">
        <x:v>11.663244797109407</x:v>
      </x:c>
      <x:c r="T55" t="n">
        <x:v>11.183244797109406</x:v>
      </x:c>
      <x:c r="U55" t="n">
        <x:f>YEAR(C55)</x:f>
        <x:v>2021</x:v>
      </x:c>
      <x:c r="V55" t="n">
        <x:f>YEAR(D55)</x:f>
        <x:v>2021</x:v>
      </x:c>
      <x:c r="W55" t="n">
        <x:f>N55-M55-O55-P55</x:f>
        <x:v>282.3416302170364</x:v>
      </x:c>
      <x:c r="X55" t="str">
        <x:f>IF(T55&gt;1,"Ganador",IF(T55&lt;0,"Perdedor","Empate"))</x:f>
        <x:v>Ganador</x:v>
      </x:c>
    </x:row>
    <x:row r="56">
      <x:c r="A56" t="str">
        <x:v>MOS</x:v>
      </x:c>
      <x:c r="B56" t="n">
        <x:v>44316</x:v>
      </x:c>
      <x:c r="C56" t="n">
        <x:v>44319</x:v>
      </x:c>
      <x:c r="D56" t="n">
        <x:v>44348</x:v>
      </x:c>
      <x:c r="E56" t="n">
        <x:v>29</x:v>
      </x:c>
      <x:c r="F56" t="str">
        <x:v>enter_or_hold</x:v>
      </x:c>
      <x:c r="G56" t="str">
        <x:v>left_top_n</x:v>
      </x:c>
      <x:c r="H56" t="n">
        <x:v>6</x:v>
      </x:c>
      <x:c r="I56" t="n">
        <x:v>64.37332253624983</x:v>
      </x:c>
      <x:c r="J56" t="n">
        <x:v>81.1559997316006</x:v>
      </x:c>
      <x:c r="K56" t="n">
        <x:v>35.029998779296875</x:v>
      </x:c>
      <x:c r="L56" t="n">
        <x:v>37.54999923706055</x:v>
      </x:c>
      <x:c r="M56" t="n">
        <x:v>2842.8945715305867</x:v>
      </x:c>
      <x:c r="N56" t="n">
        <x:v>3047.4077280044885</x:v>
      </x:c>
      <x:c r="O56" t="n">
        <x:v>6.8229469716734075</x:v>
      </x:c>
      <x:c r="P56" t="n">
        <x:v>7.313778547210772</x:v>
      </x:c>
      <x:c r="Q56" t="n">
        <x:v>35.029998779296875</x:v>
      </x:c>
      <x:c r="R56" t="n">
        <x:v>7.193835414156569</x:v>
      </x:c>
      <x:c r="S56" t="n">
        <x:v>7.193835414156569</x:v>
      </x:c>
      <x:c r="T56" t="n">
        <x:v>6.713835414156568</x:v>
      </x:c>
      <x:c r="U56" t="n">
        <x:f>YEAR(C56)</x:f>
        <x:v>2021</x:v>
      </x:c>
      <x:c r="V56" t="n">
        <x:f>YEAR(D56)</x:f>
        <x:v>2021</x:v>
      </x:c>
      <x:c r="W56" t="n">
        <x:f>N56-M56-O56-P56</x:f>
        <x:v>190.37643095501755</x:v>
      </x:c>
      <x:c r="X56" t="str">
        <x:f>IF(T56&gt;1,"Ganador",IF(T56&lt;0,"Perdedor","Empate"))</x:f>
        <x:v>Ganador</x:v>
      </x:c>
    </x:row>
    <x:row r="57">
      <x:c r="A57" t="str">
        <x:v>COF</x:v>
      </x:c>
      <x:c r="B57" t="n">
        <x:v>44316</x:v>
      </x:c>
      <x:c r="C57" t="n">
        <x:v>44319</x:v>
      </x:c>
      <x:c r="D57" t="n">
        <x:v>44348</x:v>
      </x:c>
      <x:c r="E57" t="n">
        <x:v>29</x:v>
      </x:c>
      <x:c r="F57" t="str">
        <x:v>enter_or_hold</x:v>
      </x:c>
      <x:c r="G57" t="str">
        <x:v>rebalance_trim</x:v>
      </x:c>
      <x:c r="H57" t="n">
        <x:v>5</x:v>
      </x:c>
      <x:c r="I57" t="n">
        <x:v>64.94378899210214</x:v>
      </x:c>
      <x:c r="J57" t="n">
        <x:v>1.1732052548997494</x:v>
      </x:c>
      <x:c r="K57" t="n">
        <x:v>149.9199981689453</x:v>
      </x:c>
      <x:c r="L57" t="n">
        <x:v>166.25</x:v>
      </x:c>
      <x:c r="M57" t="n">
        <x:v>175.88692966636742</x:v>
      </x:c>
      <x:c r="N57" t="n">
        <x:v>195.04537362708334</x:v>
      </x:c>
      <x:c r="O57" t="n">
        <x:v>0.4221286311992818</x:v>
      </x:c>
      <x:c r="P57" t="n">
        <x:v>0.46810889670499994</x:v>
      </x:c>
      <x:c r="Q57" t="n">
        <x:v>149.9199981689453</x:v>
      </x:c>
      <x:c r="R57" t="n">
        <x:v>10.89247734158345</x:v>
      </x:c>
      <x:c r="S57" t="n">
        <x:v>10.89247734158345</x:v>
      </x:c>
      <x:c r="T57" t="n">
        <x:v>10.41247734158345</x:v>
      </x:c>
      <x:c r="U57" t="n">
        <x:f>YEAR(C57)</x:f>
        <x:v>2021</x:v>
      </x:c>
      <x:c r="V57" t="n">
        <x:f>YEAR(D57)</x:f>
        <x:v>2021</x:v>
      </x:c>
      <x:c r="W57" t="n">
        <x:f>N57-M57-O57-P57</x:f>
        <x:v>18.26820643281163</x:v>
      </x:c>
      <x:c r="X57" t="str">
        <x:f>IF(T57&gt;1,"Ganador",IF(T57&lt;0,"Perdedor","Empate"))</x:f>
        <x:v>Ganador</x:v>
      </x:c>
    </x:row>
    <x:row r="58">
      <x:c r="A58" t="str">
        <x:v>FCX</x:v>
      </x:c>
      <x:c r="B58" t="n">
        <x:v>44253</x:v>
      </x:c>
      <x:c r="C58" t="n">
        <x:v>44256</x:v>
      </x:c>
      <x:c r="D58" t="n">
        <x:v>44348</x:v>
      </x:c>
      <x:c r="E58" t="n">
        <x:v>92</x:v>
      </x:c>
      <x:c r="F58" t="str">
        <x:v>enter_or_hold</x:v>
      </x:c>
      <x:c r="G58" t="str">
        <x:v>rebalance_trim</x:v>
      </x:c>
      <x:c r="H58" t="n">
        <x:v>3</x:v>
      </x:c>
      <x:c r="I58" t="n">
        <x:v>100.04537845653908</x:v>
      </x:c>
      <x:c r="J58" t="n">
        <x:v>6.730751920900564</x:v>
      </x:c>
      <x:c r="K58" t="n">
        <x:v>34.900001525878906</x:v>
      </x:c>
      <x:c r="L58" t="n">
        <x:v>44.209999084472656</x:v>
      </x:c>
      <x:c r="M58" t="n">
        <x:v>234.90325230974204</x:v>
      </x:c>
      <x:c r="N58" t="n">
        <x:v>297.5665362608265</x:v>
      </x:c>
      <x:c r="O58" t="n">
        <x:v>0.5637678055433809</x:v>
      </x:c>
      <x:c r="P58" t="n">
        <x:v>0.7141596870259836</x:v>
      </x:c>
      <x:c r="Q58" t="n">
        <x:v>34.900001525878906</x:v>
      </x:c>
      <x:c r="R58" t="n">
        <x:v>26.676209603286804</x:v>
      </x:c>
      <x:c r="S58" t="n">
        <x:v>26.676209603286804</x:v>
      </x:c>
      <x:c r="T58" t="n">
        <x:v>26.196209603286803</x:v>
      </x:c>
      <x:c r="U58" t="n">
        <x:f>YEAR(C58)</x:f>
        <x:v>2021</x:v>
      </x:c>
      <x:c r="V58" t="n">
        <x:f>YEAR(D58)</x:f>
        <x:v>2021</x:v>
      </x:c>
      <x:c r="W58" t="n">
        <x:f>N58-M58-O58-P58</x:f>
        <x:v>61.38535645851512</x:v>
      </x:c>
      <x:c r="X58" t="str">
        <x:f>IF(T58&gt;1,"Ganador",IF(T58&lt;0,"Perdedor","Empate"))</x:f>
        <x:v>Ganador</x:v>
      </x:c>
    </x:row>
    <x:row r="59">
      <x:c r="A59" t="str">
        <x:v>FCX</x:v>
      </x:c>
      <x:c r="B59" t="n">
        <x:v>44253</x:v>
      </x:c>
      <x:c r="C59" t="n">
        <x:v>44256</x:v>
      </x:c>
      <x:c r="D59" t="n">
        <x:v>44375</x:v>
      </x:c>
      <x:c r="E59" t="n">
        <x:v>119</x:v>
      </x:c>
      <x:c r="F59" t="str">
        <x:v>enter_or_hold</x:v>
      </x:c>
      <x:c r="G59" t="str">
        <x:v>left_top_n</x:v>
      </x:c>
      <x:c r="H59" t="n">
        <x:v>3</x:v>
      </x:c>
      <x:c r="I59" t="n">
        <x:v>100.04537845653908</x:v>
      </x:c>
      <x:c r="J59" t="n">
        <x:v>66.89687641254237</x:v>
      </x:c>
      <x:c r="K59" t="n">
        <x:v>34.900001525878906</x:v>
      </x:c>
      <x:c r="L59" t="n">
        <x:v>36.7400016784668</x:v>
      </x:c>
      <x:c r="M59" t="n">
        <x:v>2334.7010888742607</x:v>
      </x:c>
      <x:c r="N59" t="n">
        <x:v>2457.7913516809926</x:v>
      </x:c>
      <x:c r="O59" t="n">
        <x:v>5.6032826132982265</x:v>
      </x:c>
      <x:c r="P59" t="n">
        <x:v>5.898699244034382</x:v>
      </x:c>
      <x:c r="Q59" t="n">
        <x:v>34.900001525878906</x:v>
      </x:c>
      <x:c r="R59" t="n">
        <x:v>5.272206510430966</x:v>
      </x:c>
      <x:c r="S59" t="n">
        <x:v>5.272206510430966</x:v>
      </x:c>
      <x:c r="T59" t="n">
        <x:v>4.792206510430965</x:v>
      </x:c>
      <x:c r="U59" t="n">
        <x:f>YEAR(C59)</x:f>
        <x:v>2021</x:v>
      </x:c>
      <x:c r="V59" t="n">
        <x:f>YEAR(D59)</x:f>
        <x:v>2021</x:v>
      </x:c>
      <x:c r="W59" t="n">
        <x:f>N59-M59-O59-P59</x:f>
        <x:v>111.58828094939936</x:v>
      </x:c>
      <x:c r="X59" t="str">
        <x:f>IF(T59&gt;1,"Ganador",IF(T59&lt;0,"Perdedor","Empate"))</x:f>
        <x:v>Ganador</x:v>
      </x:c>
    </x:row>
    <x:row r="60">
      <x:c r="A60" t="str">
        <x:v>COF</x:v>
      </x:c>
      <x:c r="B60" t="n">
        <x:v>44316</x:v>
      </x:c>
      <x:c r="C60" t="n">
        <x:v>44319</x:v>
      </x:c>
      <x:c r="D60" t="n">
        <x:v>44375</x:v>
      </x:c>
      <x:c r="E60" t="n">
        <x:v>56</x:v>
      </x:c>
      <x:c r="F60" t="str">
        <x:v>enter_or_hold</x:v>
      </x:c>
      <x:c r="G60" t="str">
        <x:v>left_top_n</x:v>
      </x:c>
      <x:c r="H60" t="n">
        <x:v>5</x:v>
      </x:c>
      <x:c r="I60" t="n">
        <x:v>64.94378899210214</x:v>
      </x:c>
      <x:c r="J60" t="n">
        <x:v>17.78953891700799</x:v>
      </x:c>
      <x:c r="K60" t="n">
        <x:v>149.9199981689453</x:v>
      </x:c>
      <x:c r="L60" t="n">
        <x:v>156</x:v>
      </x:c>
      <x:c r="M60" t="n">
        <x:v>2667.0076418642193</x:v>
      </x:c>
      <x:c r="N60" t="n">
        <x:v>2775.168071053247</x:v>
      </x:c>
      <x:c r="O60" t="n">
        <x:v>6.4008183404741255</x:v>
      </x:c>
      <x:c r="P60" t="n">
        <x:v>6.660403370527792</x:v>
      </x:c>
      <x:c r="Q60" t="n">
        <x:v>149.9199981689453</x:v>
      </x:c>
      <x:c r="R60" t="n">
        <x:v>4.0554975355610035</x:v>
      </x:c>
      <x:c r="S60" t="n">
        <x:v>4.0554975355610035</x:v>
      </x:c>
      <x:c r="T60" t="n">
        <x:v>3.5754975355610035</x:v>
      </x:c>
      <x:c r="U60" t="n">
        <x:f>YEAR(C60)</x:f>
        <x:v>2021</x:v>
      </x:c>
      <x:c r="V60" t="n">
        <x:f>YEAR(D60)</x:f>
        <x:v>2021</x:v>
      </x:c>
      <x:c r="W60" t="n">
        <x:f>N60-M60-O60-P60</x:f>
        <x:v>95.09920747802566</x:v>
      </x:c>
      <x:c r="X60" t="str">
        <x:f>IF(T60&gt;1,"Ganador",IF(T60&lt;0,"Perdedor","Empate"))</x:f>
        <x:v>Ganador</x:v>
      </x:c>
    </x:row>
    <x:row r="61">
      <x:c r="A61" t="str">
        <x:v>NUE</x:v>
      </x:c>
      <x:c r="B61" t="n">
        <x:v>44344</x:v>
      </x:c>
      <x:c r="C61" t="n">
        <x:v>44348</x:v>
      </x:c>
      <x:c r="D61" t="n">
        <x:v>44375</x:v>
      </x:c>
      <x:c r="E61" t="n">
        <x:v>27</x:v>
      </x:c>
      <x:c r="F61" t="str">
        <x:v>enter_or_hold</x:v>
      </x:c>
      <x:c r="G61" t="str">
        <x:v>left_top_n</x:v>
      </x:c>
      <x:c r="H61" t="n">
        <x:v>1</x:v>
      </x:c>
      <x:c r="I61" t="n">
        <x:v>77.73126175212515</x:v>
      </x:c>
      <x:c r="J61" t="n">
        <x:v>26.63942785709168</x:v>
      </x:c>
      <x:c r="K61" t="n">
        <x:v>110.73999786376952</x:v>
      </x:c>
      <x:c r="L61" t="n">
        <x:v>95.11000061035156</x:v>
      </x:c>
      <x:c r="M61" t="n">
        <x:v>2950.0501839863746</x:v>
      </x:c>
      <x:c r="N61" t="n">
        <x:v>2533.675999747406</x:v>
      </x:c>
      <x:c r="O61" t="n">
        <x:v>7.080120441567298</x:v>
      </x:c>
      <x:c r="P61" t="n">
        <x:v>6.080822399393774</x:v>
      </x:c>
      <x:c r="Q61" t="n">
        <x:v>110.73999786376952</x:v>
      </x:c>
      <x:c r="R61" t="n">
        <x:v>-14.114139023775053</x:v>
      </x:c>
      <x:c r="S61" t="n">
        <x:v>-14.114139023775053</x:v>
      </x:c>
      <x:c r="T61" t="n">
        <x:v>-14.594139023775053</x:v>
      </x:c>
      <x:c r="U61" t="n">
        <x:f>YEAR(C61)</x:f>
        <x:v>2021</x:v>
      </x:c>
      <x:c r="V61" t="n">
        <x:f>YEAR(D61)</x:f>
        <x:v>2021</x:v>
      </x:c>
      <x:c r="W61" t="n">
        <x:f>N61-M61-O61-P61</x:f>
        <x:v>-429.5351270799297</x:v>
      </x:c>
      <x:c r="X61" t="str">
        <x:f>IF(T61&gt;1,"Ganador",IF(T61&lt;0,"Perdedor","Empate"))</x:f>
        <x:v>Perdedor</x:v>
      </x:c>
    </x:row>
    <x:row r="62">
      <x:c r="A62" t="str">
        <x:v>MRNA</x:v>
      </x:c>
      <x:c r="B62" t="n">
        <x:v>44316</x:v>
      </x:c>
      <x:c r="C62" t="n">
        <x:v>44319</x:v>
      </x:c>
      <x:c r="D62" t="n">
        <x:v>44375</x:v>
      </x:c>
      <x:c r="E62" t="n">
        <x:v>56</x:v>
      </x:c>
      <x:c r="F62" t="str">
        <x:v>enter_or_hold</x:v>
      </x:c>
      <x:c r="G62" t="str">
        <x:v>rebalance_trim</x:v>
      </x:c>
      <x:c r="H62" t="n">
        <x:v>5</x:v>
      </x:c>
      <x:c r="I62" t="n">
        <x:v>65.37405179321021</x:v>
      </x:c>
      <x:c r="J62" t="n">
        <x:v>3.187513858977254</x:v>
      </x:c>
      <x:c r="K62" t="n">
        <x:v>185.95797292391424</x:v>
      </x:c>
      <x:c r="L62" t="n">
        <x:v>222.94000244140625</x:v>
      </x:c>
      <x:c r="M62" t="n">
        <x:v>592.7436158822935</x:v>
      </x:c>
      <x:c r="N62" t="n">
        <x:v>710.6243475024053</x:v>
      </x:c>
      <x:c r="O62" t="n">
        <x:v>1.4225846781175042</x:v>
      </x:c>
      <x:c r="P62" t="n">
        <x:v>1.7054984340057726</x:v>
      </x:c>
      <x:c r="Q62" t="n">
        <x:v>186.0200042724609</x:v>
      </x:c>
      <x:c r="R62" t="n">
        <x:v>19.847326804094223</x:v>
      </x:c>
      <x:c r="S62" t="n">
        <x:v>19.887305145353153</x:v>
      </x:c>
      <x:c r="T62" t="n">
        <x:v>19.407305145353153</x:v>
      </x:c>
      <x:c r="U62" t="n">
        <x:f>YEAR(C62)</x:f>
        <x:v>2021</x:v>
      </x:c>
      <x:c r="V62" t="n">
        <x:f>YEAR(D62)</x:f>
        <x:v>2021</x:v>
      </x:c>
      <x:c r="W62" t="n">
        <x:f>N62-M62-O62-P62</x:f>
        <x:v>114.75264850798848</x:v>
      </x:c>
      <x:c r="X62" t="str">
        <x:f>IF(T62&gt;1,"Ganador",IF(T62&lt;0,"Perdedor","Empate"))</x:f>
        <x:v>Ganador</x:v>
      </x:c>
    </x:row>
    <x:row r="63">
      <x:c r="A63" t="str">
        <x:v>TPL</x:v>
      </x:c>
      <x:c r="B63" t="n">
        <x:v>44253</x:v>
      </x:c>
      <x:c r="C63" t="n">
        <x:v>44256</x:v>
      </x:c>
      <x:c r="D63" t="n">
        <x:v>44375</x:v>
      </x:c>
      <x:c r="E63" t="n">
        <x:v>119</x:v>
      </x:c>
      <x:c r="F63" t="str">
        <x:v>enter_or_hold</x:v>
      </x:c>
      <x:c r="G63" t="str">
        <x:v>rebalance_trim</x:v>
      </x:c>
      <x:c r="H63" t="n">
        <x:v>3</x:v>
      </x:c>
      <x:c r="I63" t="n">
        <x:v>67.01369700950559</x:v>
      </x:c>
      <x:c r="J63" t="n">
        <x:v>1.1796162389026958</x:v>
      </x:c>
      <x:c r="K63" t="n">
        <x:v>127.50934582466331</x:v>
      </x:c>
      <x:c r="L63" t="n">
        <x:v>172.54888916015625</x:v>
      </x:c>
      <x:c r="M63" t="n">
        <x:v>150.4120949466325</x:v>
      </x:c>
      <x:c r="N63" t="n">
        <x:v>203.54147165794166</x:v>
      </x:c>
      <x:c r="O63" t="n">
        <x:v>0.360989027871918</x:v>
      </x:c>
      <x:c r="P63" t="n">
        <x:v>0.48849953197905993</x:v>
      </x:c>
      <x:c r="Q63" t="n">
        <x:v>123.086669921875</x:v>
      </x:c>
      <x:c r="R63" t="n">
        <x:v>40.184870766002255</x:v>
      </x:c>
      <x:c r="S63" t="n">
        <x:v>35.322542864760905</x:v>
      </x:c>
      <x:c r="T63" t="n">
        <x:v>34.84254286476091</x:v>
      </x:c>
      <x:c r="U63" t="n">
        <x:f>YEAR(C63)</x:f>
        <x:v>2021</x:v>
      </x:c>
      <x:c r="V63" t="n">
        <x:f>YEAR(D63)</x:f>
        <x:v>2021</x:v>
      </x:c>
      <x:c r="W63" t="n">
        <x:f>N63-M63-O63-P63</x:f>
        <x:v>52.27988815145819</x:v>
      </x:c>
      <x:c r="X63" t="str">
        <x:f>IF(T63&gt;1,"Ganador",IF(T63&lt;0,"Perdedor","Empate"))</x:f>
        <x:v>Ganador</x:v>
      </x:c>
    </x:row>
    <x:row r="64">
      <x:c r="A64" t="str">
        <x:v>TPL</x:v>
      </x:c>
      <x:c r="B64" t="n">
        <x:v>44253</x:v>
      </x:c>
      <x:c r="C64" t="n">
        <x:v>44256</x:v>
      </x:c>
      <x:c r="D64" t="n">
        <x:v>44410</x:v>
      </x:c>
      <x:c r="E64" t="n">
        <x:v>154</x:v>
      </x:c>
      <x:c r="F64" t="str">
        <x:v>enter_or_hold</x:v>
      </x:c>
      <x:c r="G64" t="str">
        <x:v>left_top_n</x:v>
      </x:c>
      <x:c r="H64" t="n">
        <x:v>3</x:v>
      </x:c>
      <x:c r="I64" t="n">
        <x:v>67.01369700950559</x:v>
      </x:c>
      <x:c r="J64" t="n">
        <x:v>16.571183829999693</x:v>
      </x:c>
      <x:c r="K64" t="n">
        <x:v>127.50934582466331</x:v>
      </x:c>
      <x:c r="L64" t="n">
        <x:v>164.31666564941406</x:v>
      </x:c>
      <x:c r="M64" t="n">
        <x:v>2112.9808097034997</x:v>
      </x:c>
      <x:c r="N64" t="n">
        <x:v>2722.9216728090364</x:v>
      </x:c>
      <x:c r="O64" t="n">
        <x:v>5.071153943288399</x:v>
      </x:c>
      <x:c r="P64" t="n">
        <x:v>6.535012014741687</x:v>
      </x:c>
      <x:c r="Q64" t="n">
        <x:v>123.086669921875</x:v>
      </x:c>
      <x:c r="R64" t="n">
        <x:v>33.49671881911207</x:v>
      </x:c>
      <x:c r="S64" t="n">
        <x:v>28.86637021521865</x:v>
      </x:c>
      <x:c r="T64" t="n">
        <x:v>28.38637021521865</x:v>
      </x:c>
      <x:c r="U64" t="n">
        <x:f>YEAR(C64)</x:f>
        <x:v>2021</x:v>
      </x:c>
      <x:c r="V64" t="n">
        <x:f>YEAR(D64)</x:f>
        <x:v>2021</x:v>
      </x:c>
      <x:c r="W64" t="n">
        <x:f>N64-M64-O64-P64</x:f>
        <x:v>598.3346971475065</x:v>
      </x:c>
      <x:c r="X64" t="str">
        <x:f>IF(T64&gt;1,"Ganador",IF(T64&lt;0,"Perdedor","Empate"))</x:f>
        <x:v>Ganador</x:v>
      </x:c>
    </x:row>
    <x:row r="65">
      <x:c r="A65" t="str">
        <x:v>DVN</x:v>
      </x:c>
      <x:c r="B65" t="n">
        <x:v>44344</x:v>
      </x:c>
      <x:c r="C65" t="n">
        <x:v>44348</x:v>
      </x:c>
      <x:c r="D65" t="n">
        <x:v>44410</x:v>
      </x:c>
      <x:c r="E65" t="n">
        <x:v>62</x:v>
      </x:c>
      <x:c r="F65" t="str">
        <x:v>enter_or_hold</x:v>
      </x:c>
      <x:c r="G65" t="str">
        <x:v>left_top_n</x:v>
      </x:c>
      <x:c r="H65" t="n">
        <x:v>2</x:v>
      </x:c>
      <x:c r="I65" t="n">
        <x:v>72.99424494674437</x:v>
      </x:c>
      <x:c r="J65" t="n">
        <x:v>100.62534560878943</x:v>
      </x:c>
      <x:c r="K65" t="n">
        <x:v>30.147673907717397</x:v>
      </x:c>
      <x:c r="L65" t="n">
        <x:v>25.489999771118164</x:v>
      </x:c>
      <x:c r="M65" t="n">
        <x:v>3033.6201062651467</x:v>
      </x:c>
      <x:c r="N65" t="n">
        <x:v>2564.9400365367287</x:v>
      </x:c>
      <x:c r="O65" t="n">
        <x:v>7.280688255036351</x:v>
      </x:c>
      <x:c r="P65" t="n">
        <x:v>6.155856087688148</x:v>
      </x:c>
      <x:c r="Q65" t="n">
        <x:v>30.200000762939453</x:v>
      </x:c>
      <x:c r="R65" t="n">
        <x:v>-15.596029380241816</x:v>
      </x:c>
      <x:c r="S65" t="n">
        <x:v>-15.44953070295394</x:v>
      </x:c>
      <x:c r="T65" t="n">
        <x:v>-15.92953070295394</x:v>
      </x:c>
      <x:c r="U65" t="n">
        <x:f>YEAR(C65)</x:f>
        <x:v>2021</x:v>
      </x:c>
      <x:c r="V65" t="n">
        <x:f>YEAR(D65)</x:f>
        <x:v>2021</x:v>
      </x:c>
      <x:c r="W65" t="n">
        <x:f>N65-M65-O65-P65</x:f>
        <x:v>-482.11661407114246</x:v>
      </x:c>
      <x:c r="X65" t="str">
        <x:f>IF(T65&gt;1,"Ganador",IF(T65&lt;0,"Perdedor","Empate"))</x:f>
        <x:v>Perdedor</x:v>
      </x:c>
    </x:row>
    <x:row r="66">
      <x:c r="A66" t="str">
        <x:v>FANG</x:v>
      </x:c>
      <x:c r="B66" t="n">
        <x:v>44372</x:v>
      </x:c>
      <x:c r="C66" t="n">
        <x:v>44375</x:v>
      </x:c>
      <x:c r="D66" t="n">
        <x:v>44410</x:v>
      </x:c>
      <x:c r="E66" t="n">
        <x:v>35</x:v>
      </x:c>
      <x:c r="F66" t="str">
        <x:v>enter_or_hold</x:v>
      </x:c>
      <x:c r="G66" t="str">
        <x:v>left_top_n</x:v>
      </x:c>
      <x:c r="H66" t="n">
        <x:v>3</x:v>
      </x:c>
      <x:c r="I66" t="n">
        <x:v>71.93667512149611</x:v>
      </x:c>
      <x:c r="J66" t="n">
        <x:v>30.841221022521033</x:v>
      </x:c>
      <x:c r="K66" t="n">
        <x:v>92.47000122070312</x:v>
      </x:c>
      <x:c r="L66" t="n">
        <x:v>76.75</x:v>
      </x:c>
      <x:c r="M66" t="n">
        <x:v>2851.887745600495</x:v>
      </x:c>
      <x:c r="N66" t="n">
        <x:v>2367.0637134784893</x:v>
      </x:c>
      <x:c r="O66" t="n">
        <x:v>6.844530589441187</x:v>
      </x:c>
      <x:c r="P66" t="n">
        <x:v>5.680952912348373</x:v>
      </x:c>
      <x:c r="Q66" t="n">
        <x:v>92.47000122070312</x:v>
      </x:c>
      <x:c r="R66" t="n">
        <x:v>-17.0001092388691</x:v>
      </x:c>
      <x:c r="S66" t="n">
        <x:v>-17.0001092388691</x:v>
      </x:c>
      <x:c r="T66" t="n">
        <x:v>-17.4801092388691</x:v>
      </x:c>
      <x:c r="U66" t="n">
        <x:f>YEAR(C66)</x:f>
        <x:v>2021</x:v>
      </x:c>
      <x:c r="V66" t="n">
        <x:f>YEAR(D66)</x:f>
        <x:v>2021</x:v>
      </x:c>
      <x:c r="W66" t="n">
        <x:f>N66-M66-O66-P66</x:f>
        <x:v>-497.34951562379507</x:v>
      </x:c>
      <x:c r="X66" t="str">
        <x:f>IF(T66&gt;1,"Ganador",IF(T66&lt;0,"Perdedor","Empate"))</x:f>
        <x:v>Perdedor</x:v>
      </x:c>
    </x:row>
    <x:row r="67">
      <x:c r="A67" t="str">
        <x:v>OXY</x:v>
      </x:c>
      <x:c r="B67" t="n">
        <x:v>44372</x:v>
      </x:c>
      <x:c r="C67" t="n">
        <x:v>44375</x:v>
      </x:c>
      <x:c r="D67" t="n">
        <x:v>44410</x:v>
      </x:c>
      <x:c r="E67" t="n">
        <x:v>35</x:v>
      </x:c>
      <x:c r="F67" t="str">
        <x:v>enter_or_hold</x:v>
      </x:c>
      <x:c r="G67" t="str">
        <x:v>left_top_n</x:v>
      </x:c>
      <x:c r="H67" t="n">
        <x:v>5</x:v>
      </x:c>
      <x:c r="I67" t="n">
        <x:v>66.3478363469798</x:v>
      </x:c>
      <x:c r="J67" t="n">
        <x:v>91.2896212066271</x:v>
      </x:c>
      <x:c r="K67" t="n">
        <x:v>31.239999771118164</x:v>
      </x:c>
      <x:c r="L67" t="n">
        <x:v>25.790000915527344</x:v>
      </x:c>
      <x:c r="M67" t="n">
        <x:v>2851.887745600495</x:v>
      </x:c>
      <x:c r="N67" t="n">
        <x:v>2354.3594144970575</x:v>
      </x:c>
      <x:c r="O67" t="n">
        <x:v>6.844530589441187</x:v>
      </x:c>
      <x:c r="P67" t="n">
        <x:v>5.650462594792938</x:v>
      </x:c>
      <x:c r="Q67" t="n">
        <x:v>31.239999771118164</x:v>
      </x:c>
      <x:c r="R67" t="n">
        <x:v>-17.445579050962166</x:v>
      </x:c>
      <x:c r="S67" t="n">
        <x:v>-17.445579050962166</x:v>
      </x:c>
      <x:c r="T67" t="n">
        <x:v>-17.925579050962167</x:v>
      </x:c>
      <x:c r="U67" t="n">
        <x:f>YEAR(C67)</x:f>
        <x:v>2021</x:v>
      </x:c>
      <x:c r="V67" t="n">
        <x:f>YEAR(D67)</x:f>
        <x:v>2021</x:v>
      </x:c>
      <x:c r="W67" t="n">
        <x:f>N67-M67-O67-P67</x:f>
        <x:v>-510.0233242876714</x:v>
      </x:c>
      <x:c r="X67" t="str">
        <x:f>IF(T67&gt;1,"Ganador",IF(T67&lt;0,"Perdedor","Empate"))</x:f>
        <x:v>Perdedor</x:v>
      </x:c>
    </x:row>
    <x:row r="68">
      <x:c r="A68" t="str">
        <x:v>MRNA</x:v>
      </x:c>
      <x:c r="B68" t="n">
        <x:v>44316</x:v>
      </x:c>
      <x:c r="C68" t="n">
        <x:v>44319</x:v>
      </x:c>
      <x:c r="D68" t="n">
        <x:v>44410</x:v>
      </x:c>
      <x:c r="E68" t="n">
        <x:v>91</x:v>
      </x:c>
      <x:c r="F68" t="str">
        <x:v>enter_or_hold</x:v>
      </x:c>
      <x:c r="G68" t="str">
        <x:v>rebalance_trim</x:v>
      </x:c>
      <x:c r="H68" t="n">
        <x:v>5</x:v>
      </x:c>
      <x:c r="I68" t="n">
        <x:v>65.37405179321021</x:v>
      </x:c>
      <x:c r="J68" t="n">
        <x:v>4.546082693689104</x:v>
      </x:c>
      <x:c r="K68" t="n">
        <x:v>185.95797292391424</x:v>
      </x:c>
      <x:c r="L68" t="n">
        <x:v>346.6099853515625</x:v>
      </x:c>
      <x:c r="M68" t="n">
        <x:v>845.3803224629136</x:v>
      </x:c>
      <x:c r="N68" t="n">
        <x:v>1575.717655866572</x:v>
      </x:c>
      <x:c r="O68" t="n">
        <x:v>2.0289127739109922</x:v>
      </x:c>
      <x:c r="P68" t="n">
        <x:v>3.7817223740797723</x:v>
      </x:c>
      <x:c r="Q68" t="n">
        <x:v>186.0200042724609</x:v>
      </x:c>
      <x:c r="R68" t="n">
        <x:v>86.32941478911467</x:v>
      </x:c>
      <x:c r="S68" t="n">
        <x:v>86.39157004221592</x:v>
      </x:c>
      <x:c r="T68" t="n">
        <x:v>85.91157004221591</x:v>
      </x:c>
      <x:c r="U68" t="n">
        <x:f>YEAR(C68)</x:f>
        <x:v>2021</x:v>
      </x:c>
      <x:c r="V68" t="n">
        <x:f>YEAR(D68)</x:f>
        <x:v>2021</x:v>
      </x:c>
      <x:c r="W68" t="n">
        <x:f>N68-M68-O68-P68</x:f>
        <x:v>724.5266982556676</x:v>
      </x:c>
      <x:c r="X68" t="str">
        <x:f>IF(T68&gt;1,"Ganador",IF(T68&lt;0,"Perdedor","Empate"))</x:f>
        <x:v>Ganador</x:v>
      </x:c>
    </x:row>
    <x:row r="69">
      <x:c r="A69" t="str">
        <x:v>GNRC</x:v>
      </x:c>
      <x:c r="B69" t="n">
        <x:v>44372</x:v>
      </x:c>
      <x:c r="C69" t="n">
        <x:v>44375</x:v>
      </x:c>
      <x:c r="D69" t="n">
        <x:v>44438</x:v>
      </x:c>
      <x:c r="E69" t="n">
        <x:v>63</x:v>
      </x:c>
      <x:c r="F69" t="str">
        <x:v>enter_or_hold</x:v>
      </x:c>
      <x:c r="G69" t="str">
        <x:v>left_top_n</x:v>
      </x:c>
      <x:c r="H69" t="n">
        <x:v>4</x:v>
      </x:c>
      <x:c r="I69" t="n">
        <x:v>49.655173991063336</x:v>
      </x:c>
      <x:c r="J69" t="n">
        <x:v>7.172335306861393</x:v>
      </x:c>
      <x:c r="K69" t="n">
        <x:v>408.930226104487</x:v>
      </x:c>
      <x:c r="L69" t="n">
        <x:v>442.7000122070313</x:v>
      </x:c>
      <x:c r="M69" t="n">
        <x:v>2932.9846987320248</x:v>
      </x:c>
      <x:c r="N69" t="n">
        <x:v>3175.1929279004603</x:v>
      </x:c>
      <x:c r="O69" t="n">
        <x:v>7.039163276956859</x:v>
      </x:c>
      <x:c r="P69" t="n">
        <x:v>7.6204630269611044</x:v>
      </x:c>
      <x:c r="Q69" t="n">
        <x:v>409.1900024414063</x:v>
      </x:c>
      <x:c r="R69" t="n">
        <x:v>8.189352028566098</x:v>
      </x:c>
      <x:c r="S69" t="n">
        <x:v>8.258080216823016</x:v>
      </x:c>
      <x:c r="T69" t="n">
        <x:v>7.778080216823016</x:v>
      </x:c>
      <x:c r="U69" t="n">
        <x:f>YEAR(C69)</x:f>
        <x:v>2021</x:v>
      </x:c>
      <x:c r="V69" t="n">
        <x:f>YEAR(D69)</x:f>
        <x:v>2021</x:v>
      </x:c>
      <x:c r="W69" t="n">
        <x:f>N69-M69-O69-P69</x:f>
        <x:v>227.5486028645176</x:v>
      </x:c>
      <x:c r="X69" t="str">
        <x:f>IF(T69&gt;1,"Ganador",IF(T69&lt;0,"Perdedor","Empate"))</x:f>
        <x:v>Ganador</x:v>
      </x:c>
    </x:row>
    <x:row r="70">
      <x:c r="A70" t="str">
        <x:v>STLD</x:v>
      </x:c>
      <x:c r="B70" t="n">
        <x:v>44407</x:v>
      </x:c>
      <x:c r="C70" t="n">
        <x:v>44410</x:v>
      </x:c>
      <x:c r="D70" t="n">
        <x:v>44438</x:v>
      </x:c>
      <x:c r="E70" t="n">
        <x:v>28</x:v>
      </x:c>
      <x:c r="F70" t="str">
        <x:v>enter_or_hold</x:v>
      </x:c>
      <x:c r="G70" t="str">
        <x:v>left_top_n</x:v>
      </x:c>
      <x:c r="H70" t="n">
        <x:v>6</x:v>
      </x:c>
      <x:c r="I70" t="n">
        <x:v>46.05213032319466</x:v>
      </x:c>
      <x:c r="J70" t="n">
        <x:v>45.49527378616524</x:v>
      </x:c>
      <x:c r="K70" t="n">
        <x:v>62.90999984741211</x:v>
      </x:c>
      <x:c r="L70" t="n">
        <x:v>70.23999786376953</x:v>
      </x:c>
      <x:c r="M70" t="n">
        <x:v>2862.1076669456274</x:v>
      </x:c>
      <x:c r="N70" t="n">
        <x:v>3195.5879335518566</x:v>
      </x:c>
      <x:c r="O70" t="n">
        <x:v>6.8690584006695055</x:v>
      </x:c>
      <x:c r="P70" t="n">
        <x:v>7.669411040524455</x:v>
      </x:c>
      <x:c r="Q70" t="n">
        <x:v>62.90999984741211</x:v>
      </x:c>
      <x:c r="R70" t="n">
        <x:v>11.651562603936249</x:v>
      </x:c>
      <x:c r="S70" t="n">
        <x:v>11.651562603936249</x:v>
      </x:c>
      <x:c r="T70" t="n">
        <x:v>11.171562603936248</x:v>
      </x:c>
      <x:c r="U70" t="n">
        <x:f>YEAR(C70)</x:f>
        <x:v>2021</x:v>
      </x:c>
      <x:c r="V70" t="n">
        <x:f>YEAR(D70)</x:f>
        <x:v>2021</x:v>
      </x:c>
      <x:c r="W70" t="n">
        <x:f>N70-M70-O70-P70</x:f>
        <x:v>318.9417971650352</x:v>
      </x:c>
      <x:c r="X70" t="str">
        <x:f>IF(T70&gt;1,"Ganador",IF(T70&lt;0,"Perdedor","Empate"))</x:f>
        <x:v>Ganador</x:v>
      </x:c>
    </x:row>
    <x:row r="71">
      <x:c r="A71" t="str">
        <x:v>IT</x:v>
      </x:c>
      <x:c r="B71" t="n">
        <x:v>44407</x:v>
      </x:c>
      <x:c r="C71" t="n">
        <x:v>44410</x:v>
      </x:c>
      <x:c r="D71" t="n">
        <x:v>44438</x:v>
      </x:c>
      <x:c r="E71" t="n">
        <x:v>28</x:v>
      </x:c>
      <x:c r="F71" t="str">
        <x:v>enter_or_hold</x:v>
      </x:c>
      <x:c r="G71" t="str">
        <x:v>rebalance_trim</x:v>
      </x:c>
      <x:c r="H71" t="n">
        <x:v>5</x:v>
      </x:c>
      <x:c r="I71" t="n">
        <x:v>48.38358375664071</x:v>
      </x:c>
      <x:c r="J71" t="n">
        <x:v>0.30476415219468006</x:v>
      </x:c>
      <x:c r="K71" t="n">
        <x:v>264.9700012207031</x:v>
      </x:c>
      <x:c r="L71" t="n">
        <x:v>307.2099914550781</x:v>
      </x:c>
      <x:c r="M71" t="n">
        <x:v>80.75335777905093</x:v>
      </x:c>
      <x:c r="N71" t="n">
        <x:v>93.6265925915418</x:v>
      </x:c>
      <x:c r="O71" t="n">
        <x:v>0.19380805866972223</x:v>
      </x:c>
      <x:c r="P71" t="n">
        <x:v>0.22470382221970028</x:v>
      </x:c>
      <x:c r="Q71" t="n">
        <x:v>264.9700012207031</x:v>
      </x:c>
      <x:c r="R71" t="n">
        <x:v>15.94142357239594</x:v>
      </x:c>
      <x:c r="S71" t="n">
        <x:v>15.94142357239594</x:v>
      </x:c>
      <x:c r="T71" t="n">
        <x:v>15.46142357239594</x:v>
      </x:c>
      <x:c r="U71" t="n">
        <x:f>YEAR(C71)</x:f>
        <x:v>2021</x:v>
      </x:c>
      <x:c r="V71" t="n">
        <x:f>YEAR(D71)</x:f>
        <x:v>2021</x:v>
      </x:c>
      <x:c r="W71" t="n">
        <x:f>N71-M71-O71-P71</x:f>
        <x:v>12.454722931601442</x:v>
      </x:c>
      <x:c r="X71" t="str">
        <x:f>IF(T71&gt;1,"Ganador",IF(T71&lt;0,"Perdedor","Empate"))</x:f>
        <x:v>Ganador</x:v>
      </x:c>
    </x:row>
    <x:row r="72">
      <x:c r="A72" t="str">
        <x:v>NUE</x:v>
      </x:c>
      <x:c r="B72" t="n">
        <x:v>44407</x:v>
      </x:c>
      <x:c r="C72" t="n">
        <x:v>44410</x:v>
      </x:c>
      <x:c r="D72" t="n">
        <x:v>44438</x:v>
      </x:c>
      <x:c r="E72" t="n">
        <x:v>28</x:v>
      </x:c>
      <x:c r="F72" t="str">
        <x:v>enter_or_hold</x:v>
      </x:c>
      <x:c r="G72" t="str">
        <x:v>rebalance_trim</x:v>
      </x:c>
      <x:c r="H72" t="n">
        <x:v>3</x:v>
      </x:c>
      <x:c r="I72" t="n">
        <x:v>54.04401246958068</x:v>
      </x:c>
      <x:c r="J72" t="n">
        <x:v>1.3959370243671754</x:v>
      </x:c>
      <x:c r="K72" t="n">
        <x:v>102.08000183105467</x:v>
      </x:c>
      <x:c r="L72" t="n">
        <x:v>121.04000091552734</x:v>
      </x:c>
      <x:c r="M72" t="n">
        <x:v>142.49725400343826</x:v>
      </x:c>
      <x:c r="N72" t="n">
        <x:v>168.96421870742142</x:v>
      </x:c>
      <x:c r="O72" t="n">
        <x:v>0.3419934096082518</x:v>
      </x:c>
      <x:c r="P72" t="n">
        <x:v>0.40551412489781136</x:v>
      </x:c>
      <x:c r="Q72" t="n">
        <x:v>102.08000183105467</x:v>
      </x:c>
      <x:c r="R72" t="n">
        <x:v>18.573666481562178</x:v>
      </x:c>
      <x:c r="S72" t="n">
        <x:v>18.573666481562178</x:v>
      </x:c>
      <x:c r="T72" t="n">
        <x:v>18.093666481562177</x:v>
      </x:c>
      <x:c r="U72" t="n">
        <x:f>YEAR(C72)</x:f>
        <x:v>2021</x:v>
      </x:c>
      <x:c r="V72" t="n">
        <x:f>YEAR(D72)</x:f>
        <x:v>2021</x:v>
      </x:c>
      <x:c r="W72" t="n">
        <x:f>N72-M72-O72-P72</x:f>
        <x:v>25.719457169477103</x:v>
      </x:c>
      <x:c r="X72" t="str">
        <x:f>IF(T72&gt;1,"Ganador",IF(T72&lt;0,"Perdedor","Empate"))</x:f>
        <x:v>Ganador</x:v>
      </x:c>
    </x:row>
    <x:row r="73">
      <x:c r="A73" t="str">
        <x:v>NUE</x:v>
      </x:c>
      <x:c r="B73" t="n">
        <x:v>44407</x:v>
      </x:c>
      <x:c r="C73" t="n">
        <x:v>44410</x:v>
      </x:c>
      <x:c r="D73" t="n">
        <x:v>44466</x:v>
      </x:c>
      <x:c r="E73" t="n">
        <x:v>56</x:v>
      </x:c>
      <x:c r="F73" t="str">
        <x:v>enter_or_hold</x:v>
      </x:c>
      <x:c r="G73" t="str">
        <x:v>left_top_n</x:v>
      </x:c>
      <x:c r="H73" t="n">
        <x:v>3</x:v>
      </x:c>
      <x:c r="I73" t="n">
        <x:v>54.04401246958068</x:v>
      </x:c>
      <x:c r="J73" t="n">
        <x:v>26.64195105955447</x:v>
      </x:c>
      <x:c r="K73" t="n">
        <x:v>102.08000183105467</x:v>
      </x:c>
      <x:c r="L73" t="n">
        <x:v>103.91999816894533</x:v>
      </x:c>
      <x:c r="M73" t="n">
        <x:v>2719.610412942189</x:v>
      </x:c>
      <x:c r="N73" t="n">
        <x:v>2768.6315053260314</x:v>
      </x:c>
      <x:c r="O73" t="n">
        <x:v>6.527064991061254</x:v>
      </x:c>
      <x:c r="P73" t="n">
        <x:v>6.644715612782475</x:v>
      </x:c>
      <x:c r="Q73" t="n">
        <x:v>102.08000183105467</x:v>
      </x:c>
      <x:c r="R73" t="n">
        <x:v>1.802504217168699</x:v>
      </x:c>
      <x:c r="S73" t="n">
        <x:v>1.802504217168699</x:v>
      </x:c>
      <x:c r="T73" t="n">
        <x:v>1.322504217168699</x:v>
      </x:c>
      <x:c r="U73" t="n">
        <x:f>YEAR(C73)</x:f>
        <x:v>2021</x:v>
      </x:c>
      <x:c r="V73" t="n">
        <x:f>YEAR(D73)</x:f>
        <x:v>2021</x:v>
      </x:c>
      <x:c r="W73" t="n">
        <x:f>N73-M73-O73-P73</x:f>
        <x:v>35.84931177999846</x:v>
      </x:c>
      <x:c r="X73" t="str">
        <x:f>IF(T73&gt;1,"Ganador",IF(T73&lt;0,"Perdedor","Empate"))</x:f>
        <x:v>Ganador</x:v>
      </x:c>
    </x:row>
    <x:row r="74">
      <x:c r="A74" t="str">
        <x:v>ALB</x:v>
      </x:c>
      <x:c r="B74" t="n">
        <x:v>44435</x:v>
      </x:c>
      <x:c r="C74" t="n">
        <x:v>44438</x:v>
      </x:c>
      <x:c r="D74" t="n">
        <x:v>44466</x:v>
      </x:c>
      <x:c r="E74" t="n">
        <x:v>28</x:v>
      </x:c>
      <x:c r="F74" t="str">
        <x:v>enter_or_hold</x:v>
      </x:c>
      <x:c r="G74" t="str">
        <x:v>left_top_n</x:v>
      </x:c>
      <x:c r="H74" t="n">
        <x:v>5</x:v>
      </x:c>
      <x:c r="I74" t="n">
        <x:v>55.05831081128583</x:v>
      </x:c>
      <x:c r="J74" t="n">
        <x:v>13.574200713134346</x:v>
      </x:c>
      <x:c r="K74" t="n">
        <x:v>236.97999572753903</x:v>
      </x:c>
      <x:c r="L74" t="n">
        <x:v>222.25</x:v>
      </x:c>
      <x:c r="M74" t="n">
        <x:v>3216.8140270033346</x:v>
      </x:c>
      <x:c r="N74" t="n">
        <x:v>3016.866108494108</x:v>
      </x:c>
      <x:c r="O74" t="n">
        <x:v>7.720353664808003</x:v>
      </x:c>
      <x:c r="P74" t="n">
        <x:v>7.240478660385859</x:v>
      </x:c>
      <x:c r="Q74" t="n">
        <x:v>236.97999572753903</x:v>
      </x:c>
      <x:c r="R74" t="n">
        <x:v>-6.2157127154624625</x:v>
      </x:c>
      <x:c r="S74" t="n">
        <x:v>-6.2157127154624625</x:v>
      </x:c>
      <x:c r="T74" t="n">
        <x:v>-6.695712715462463</x:v>
      </x:c>
      <x:c r="U74" t="n">
        <x:f>YEAR(C74)</x:f>
        <x:v>2021</x:v>
      </x:c>
      <x:c r="V74" t="n">
        <x:f>YEAR(D74)</x:f>
        <x:v>2021</x:v>
      </x:c>
      <x:c r="W74" t="n">
        <x:f>N74-M74-O74-P74</x:f>
        <x:v>-214.90875083442026</x:v>
      </x:c>
      <x:c r="X74" t="str">
        <x:f>IF(T74&gt;1,"Ganador",IF(T74&lt;0,"Perdedor","Empate"))</x:f>
        <x:v>Perdedor</x:v>
      </x:c>
    </x:row>
    <x:row r="75">
      <x:c r="A75" t="str">
        <x:v>DVN</x:v>
      </x:c>
      <x:c r="B75" t="n">
        <x:v>44435</x:v>
      </x:c>
      <x:c r="C75" t="n">
        <x:v>44438</x:v>
      </x:c>
      <x:c r="D75" t="n">
        <x:v>44466</x:v>
      </x:c>
      <x:c r="E75" t="n">
        <x:v>28</x:v>
      </x:c>
      <x:c r="F75" t="str">
        <x:v>enter_or_hold</x:v>
      </x:c>
      <x:c r="G75" t="str">
        <x:v>rebalance_trim</x:v>
      </x:c>
      <x:c r="H75" t="n">
        <x:v>6</x:v>
      </x:c>
      <x:c r="I75" t="n">
        <x:v>51.498462747782405</x:v>
      </x:c>
      <x:c r="J75" t="n">
        <x:v>15.397187241735043</x:v>
      </x:c>
      <x:c r="K75" t="n">
        <x:v>29.780000686645508</x:v>
      </x:c>
      <x:c r="L75" t="n">
        <x:v>35</x:v>
      </x:c>
      <x:c r="M75" t="n">
        <x:v>458.5282466312791</x:v>
      </x:c>
      <x:c r="N75" t="n">
        <x:v>538.9015534607265</x:v>
      </x:c>
      <x:c r="O75" t="n">
        <x:v>1.1004677919150698</x:v>
      </x:c>
      <x:c r="P75" t="n">
        <x:v>1.2933637283057435</x:v>
      </x:c>
      <x:c r="Q75" t="n">
        <x:v>29.780000686645508</x:v>
      </x:c>
      <x:c r="R75" t="n">
        <x:v>17.528539936183883</x:v>
      </x:c>
      <x:c r="S75" t="n">
        <x:v>17.528539936183883</x:v>
      </x:c>
      <x:c r="T75" t="n">
        <x:v>17.048539936183882</x:v>
      </x:c>
      <x:c r="U75" t="n">
        <x:f>YEAR(C75)</x:f>
        <x:v>2021</x:v>
      </x:c>
      <x:c r="V75" t="n">
        <x:f>YEAR(D75)</x:f>
        <x:v>2021</x:v>
      </x:c>
      <x:c r="W75" t="n">
        <x:f>N75-M75-O75-P75</x:f>
        <x:v>77.9794753092266</x:v>
      </x:c>
      <x:c r="X75" t="str">
        <x:f>IF(T75&gt;1,"Ganador",IF(T75&lt;0,"Perdedor","Empate"))</x:f>
        <x:v>Ganador</x:v>
      </x:c>
    </x:row>
    <x:row r="76">
      <x:c r="A76" t="str">
        <x:v>IT</x:v>
      </x:c>
      <x:c r="B76" t="n">
        <x:v>44407</x:v>
      </x:c>
      <x:c r="C76" t="n">
        <x:v>44410</x:v>
      </x:c>
      <x:c r="D76" t="n">
        <x:v>44466</x:v>
      </x:c>
      <x:c r="E76" t="n">
        <x:v>56</x:v>
      </x:c>
      <x:c r="F76" t="str">
        <x:v>enter_or_hold</x:v>
      </x:c>
      <x:c r="G76" t="str">
        <x:v>rebalance_trim</x:v>
      </x:c>
      <x:c r="H76" t="n">
        <x:v>5</x:v>
      </x:c>
      <x:c r="I76" t="n">
        <x:v>48.38358375664071</x:v>
      </x:c>
      <x:c r="J76" t="n">
        <x:v>0.2091141110087501</x:v>
      </x:c>
      <x:c r="K76" t="n">
        <x:v>264.9700012207031</x:v>
      </x:c>
      <x:c r="L76" t="n">
        <x:v>315.1099853515625</x:v>
      </x:c>
      <x:c r="M76" t="n">
        <x:v>55.40896624925477</x:v>
      </x:c>
      <x:c r="N76" t="n">
        <x:v>65.89394445677226</x:v>
      </x:c>
      <x:c r="O76" t="n">
        <x:v>0.13298151899821142</x:v>
      </x:c>
      <x:c r="P76" t="n">
        <x:v>0.1581454666962534</x:v>
      </x:c>
      <x:c r="Q76" t="n">
        <x:v>264.9700012207031</x:v>
      </x:c>
      <x:c r="R76" t="n">
        <x:v>18.92289085551837</x:v>
      </x:c>
      <x:c r="S76" t="n">
        <x:v>18.92289085551837</x:v>
      </x:c>
      <x:c r="T76" t="n">
        <x:v>18.44289085551837</x:v>
      </x:c>
      <x:c r="U76" t="n">
        <x:f>YEAR(C76)</x:f>
        <x:v>2021</x:v>
      </x:c>
      <x:c r="V76" t="n">
        <x:f>YEAR(D76)</x:f>
        <x:v>2021</x:v>
      </x:c>
      <x:c r="W76" t="n">
        <x:f>N76-M76-O76-P76</x:f>
        <x:v>10.193851221823028</x:v>
      </x:c>
      <x:c r="X76" t="str">
        <x:f>IF(T76&gt;1,"Ganador",IF(T76&lt;0,"Perdedor","Empate"))</x:f>
        <x:v>Ganador</x:v>
      </x:c>
    </x:row>
    <x:row r="77">
      <x:c r="A77" t="str">
        <x:v>MRNA</x:v>
      </x:c>
      <x:c r="B77" t="n">
        <x:v>44316</x:v>
      </x:c>
      <x:c r="C77" t="n">
        <x:v>44319</x:v>
      </x:c>
      <x:c r="D77" t="n">
        <x:v>44466</x:v>
      </x:c>
      <x:c r="E77" t="n">
        <x:v>147</x:v>
      </x:c>
      <x:c r="F77" t="str">
        <x:v>enter_or_hold</x:v>
      </x:c>
      <x:c r="G77" t="str">
        <x:v>rebalance_trim</x:v>
      </x:c>
      <x:c r="H77" t="n">
        <x:v>1</x:v>
      </x:c>
      <x:c r="I77" t="n">
        <x:v>125.91375092660542</x:v>
      </x:c>
      <x:c r="J77" t="n">
        <x:v>0.7687969204939742</x:v>
      </x:c>
      <x:c r="K77" t="n">
        <x:v>194.8457735746011</x:v>
      </x:c>
      <x:c r="L77" t="n">
        <x:v>408.8399963378906</x:v>
      </x:c>
      <x:c r="M77" t="n">
        <x:v>149.79683069541952</x:v>
      </x:c>
      <x:c r="N77" t="n">
        <x:v>314.314930159338</x:v>
      </x:c>
      <x:c r="O77" t="n">
        <x:v>0.35951239366900684</x:v>
      </x:c>
      <x:c r="P77" t="n">
        <x:v>0.7543558323824112</x:v>
      </x:c>
      <x:c r="Q77" t="n">
        <x:v>186.0200042724609</x:v>
      </x:c>
      <x:c r="R77" t="n">
        <x:v>119.78281203513382</x:v>
      </x:c>
      <x:c r="S77" t="n">
        <x:v>109.82749014125113</x:v>
      </x:c>
      <x:c r="T77" t="n">
        <x:v>109.34749014125113</x:v>
      </x:c>
      <x:c r="U77" t="n">
        <x:f>YEAR(C77)</x:f>
        <x:v>2021</x:v>
      </x:c>
      <x:c r="V77" t="n">
        <x:f>YEAR(D77)</x:f>
        <x:v>2021</x:v>
      </x:c>
      <x:c r="W77" t="n">
        <x:f>N77-M77-O77-P77</x:f>
        <x:v>163.4042312378671</x:v>
      </x:c>
      <x:c r="X77" t="str">
        <x:f>IF(T77&gt;1,"Ganador",IF(T77&lt;0,"Perdedor","Empate"))</x:f>
        <x:v>Ganador</x:v>
      </x:c>
    </x:row>
    <x:row r="78">
      <x:c r="A78" t="str">
        <x:v>IT</x:v>
      </x:c>
      <x:c r="B78" t="n">
        <x:v>44407</x:v>
      </x:c>
      <x:c r="C78" t="n">
        <x:v>44410</x:v>
      </x:c>
      <x:c r="D78" t="n">
        <x:v>44501</x:v>
      </x:c>
      <x:c r="E78" t="n">
        <x:v>91</x:v>
      </x:c>
      <x:c r="F78" t="str">
        <x:v>enter_or_hold</x:v>
      </x:c>
      <x:c r="G78" t="str">
        <x:v>left_top_n</x:v>
      </x:c>
      <x:c r="H78" t="n">
        <x:v>5</x:v>
      </x:c>
      <x:c r="I78" t="n">
        <x:v>48.38358375664071</x:v>
      </x:c>
      <x:c r="J78" t="n">
        <x:v>10.287750803332573</x:v>
      </x:c>
      <x:c r="K78" t="n">
        <x:v>264.9700012207031</x:v>
      </x:c>
      <x:c r="L78" t="n">
        <x:v>328.3999938964844</x:v>
      </x:c>
      <x:c r="M78" t="n">
        <x:v>2725.945342917322</x:v>
      </x:c>
      <x:c r="N78" t="n">
        <x:v>3378.497301022969</x:v>
      </x:c>
      <x:c r="O78" t="n">
        <x:v>6.542268823001572</x:v>
      </x:c>
      <x:c r="P78" t="n">
        <x:v>8.108393522455126</x:v>
      </x:c>
      <x:c r="Q78" t="n">
        <x:v>264.9700012207031</x:v>
      </x:c>
      <x:c r="R78" t="n">
        <x:v>23.938556207707485</x:v>
      </x:c>
      <x:c r="S78" t="n">
        <x:v>23.938556207707485</x:v>
      </x:c>
      <x:c r="T78" t="n">
        <x:v>23.458556207707485</x:v>
      </x:c>
      <x:c r="U78" t="n">
        <x:f>YEAR(C78)</x:f>
        <x:v>2021</x:v>
      </x:c>
      <x:c r="V78" t="n">
        <x:f>YEAR(D78)</x:f>
        <x:v>2021</x:v>
      </x:c>
      <x:c r="W78" t="n">
        <x:f>N78-M78-O78-P78</x:f>
        <x:v>637.9012957601907</x:v>
      </x:c>
      <x:c r="X78" t="str">
        <x:f>IF(T78&gt;1,"Ganador",IF(T78&lt;0,"Perdedor","Empate"))</x:f>
        <x:v>Ganador</x:v>
      </x:c>
    </x:row>
    <x:row r="79">
      <x:c r="A79" t="str">
        <x:v>CRL</x:v>
      </x:c>
      <x:c r="B79" t="n">
        <x:v>44463</x:v>
      </x:c>
      <x:c r="C79" t="n">
        <x:v>44466</x:v>
      </x:c>
      <x:c r="D79" t="n">
        <x:v>44501</x:v>
      </x:c>
      <x:c r="E79" t="n">
        <x:v>35</x:v>
      </x:c>
      <x:c r="F79" t="str">
        <x:v>enter_or_hold</x:v>
      </x:c>
      <x:c r="G79" t="str">
        <x:v>left_top_n</x:v>
      </x:c>
      <x:c r="H79" t="n">
        <x:v>5</x:v>
      </x:c>
      <x:c r="I79" t="n">
        <x:v>44.71670286024241</x:v>
      </x:c>
      <x:c r="J79" t="n">
        <x:v>7.475920795406185</x:v>
      </x:c>
      <x:c r="K79" t="n">
        <x:v>432.4700012207031</x:v>
      </x:c>
      <x:c r="L79" t="n">
        <x:v>440.2699890136719</x:v>
      </x:c>
      <x:c r="M79" t="n">
        <x:v>3233.1114755151925</x:v>
      </x:c>
      <x:c r="N79" t="n">
        <x:v>3291.423566460562</x:v>
      </x:c>
      <x:c r="O79" t="n">
        <x:v>7.759467541236462</x:v>
      </x:c>
      <x:c r="P79" t="n">
        <x:v>7.899416559505348</x:v>
      </x:c>
      <x:c r="Q79" t="n">
        <x:v>432.4700012207031</x:v>
      </x:c>
      <x:c r="R79" t="n">
        <x:v>1.8035904851093187</x:v>
      </x:c>
      <x:c r="S79" t="n">
        <x:v>1.8035904851093187</x:v>
      </x:c>
      <x:c r="T79" t="n">
        <x:v>1.3235904851093188</x:v>
      </x:c>
      <x:c r="U79" t="n">
        <x:f>YEAR(C79)</x:f>
        <x:v>2021</x:v>
      </x:c>
      <x:c r="V79" t="n">
        <x:f>YEAR(D79)</x:f>
        <x:v>2021</x:v>
      </x:c>
      <x:c r="W79" t="n">
        <x:f>N79-M79-O79-P79</x:f>
        <x:v>42.65320684462781</x:v>
      </x:c>
      <x:c r="X79" t="str">
        <x:f>IF(T79&gt;1,"Ganador",IF(T79&lt;0,"Perdedor","Empate"))</x:f>
        <x:v>Ganador</x:v>
      </x:c>
    </x:row>
    <x:row r="80">
      <x:c r="A80" t="str">
        <x:v>EPAM</x:v>
      </x:c>
      <x:c r="B80" t="n">
        <x:v>44463</x:v>
      </x:c>
      <x:c r="C80" t="n">
        <x:v>44466</x:v>
      </x:c>
      <x:c r="D80" t="n">
        <x:v>44501</x:v>
      </x:c>
      <x:c r="E80" t="n">
        <x:v>35</x:v>
      </x:c>
      <x:c r="F80" t="str">
        <x:v>enter_or_hold</x:v>
      </x:c>
      <x:c r="G80" t="str">
        <x:v>left_top_n</x:v>
      </x:c>
      <x:c r="H80" t="n">
        <x:v>6</x:v>
      </x:c>
      <x:c r="I80" t="n">
        <x:v>43.13405002703965</x:v>
      </x:c>
      <x:c r="J80" t="n">
        <x:v>5.409888139985815</x:v>
      </x:c>
      <x:c r="K80" t="n">
        <x:v>597.6300048828125</x:v>
      </x:c>
      <x:c r="L80" t="n">
        <x:v>659.6500244140625</x:v>
      </x:c>
      <x:c r="M80" t="n">
        <x:v>3233.1114755151925</x:v>
      </x:c>
      <x:c r="N80" t="n">
        <x:v>3568.63284361899</x:v>
      </x:c>
      <x:c r="O80" t="n">
        <x:v>7.759467541236462</x:v>
      </x:c>
      <x:c r="P80" t="n">
        <x:v>8.564718824685576</x:v>
      </x:c>
      <x:c r="Q80" t="n">
        <x:v>597.6300048828125</x:v>
      </x:c>
      <x:c r="R80" t="n">
        <x:v>10.377661600744315</x:v>
      </x:c>
      <x:c r="S80" t="n">
        <x:v>10.377661600744315</x:v>
      </x:c>
      <x:c r="T80" t="n">
        <x:v>9.897661600744314</x:v>
      </x:c>
      <x:c r="U80" t="n">
        <x:f>YEAR(C80)</x:f>
        <x:v>2021</x:v>
      </x:c>
      <x:c r="V80" t="n">
        <x:f>YEAR(D80)</x:f>
        <x:v>2021</x:v>
      </x:c>
      <x:c r="W80" t="n">
        <x:f>N80-M80-O80-P80</x:f>
        <x:v>319.19718173787555</x:v>
      </x:c>
      <x:c r="X80" t="str">
        <x:f>IF(T80&gt;1,"Ganador",IF(T80&lt;0,"Perdedor","Empate"))</x:f>
        <x:v>Ganador</x:v>
      </x:c>
    </x:row>
    <x:row r="81">
      <x:c r="A81" t="str">
        <x:v>DVN</x:v>
      </x:c>
      <x:c r="B81" t="n">
        <x:v>44435</x:v>
      </x:c>
      <x:c r="C81" t="n">
        <x:v>44438</x:v>
      </x:c>
      <x:c r="D81" t="n">
        <x:v>44501</x:v>
      </x:c>
      <x:c r="E81" t="n">
        <x:v>63</x:v>
      </x:c>
      <x:c r="F81" t="str">
        <x:v>enter_or_hold</x:v>
      </x:c>
      <x:c r="G81" t="str">
        <x:v>rebalance_trim</x:v>
      </x:c>
      <x:c r="H81" t="n">
        <x:v>6</x:v>
      </x:c>
      <x:c r="I81" t="n">
        <x:v>51.498462747782405</x:v>
      </x:c>
      <x:c r="J81" t="n">
        <x:v>12.161007084528155</x:v>
      </x:c>
      <x:c r="K81" t="n">
        <x:v>29.780000686645508</x:v>
      </x:c>
      <x:c r="L81" t="n">
        <x:v>41.9900016784668</x:v>
      </x:c>
      <x:c r="M81" t="n">
        <x:v>362.15479932754937</x:v>
      </x:c>
      <x:c r="N81" t="n">
        <x:v>510.6407078911838</x:v>
      </x:c>
      <x:c r="O81" t="n">
        <x:v>0.8691715183861185</x:v>
      </x:c>
      <x:c r="P81" t="n">
        <x:v>1.2255376989388411</x:v>
      </x:c>
      <x:c r="Q81" t="n">
        <x:v>29.780000686645508</x:v>
      </x:c>
      <x:c r="R81" t="n">
        <x:v>41.00067397680323</x:v>
      </x:c>
      <x:c r="S81" t="n">
        <x:v>41.00067397680323</x:v>
      </x:c>
      <x:c r="T81" t="n">
        <x:v>40.52067397680323</x:v>
      </x:c>
      <x:c r="U81" t="n">
        <x:f>YEAR(C81)</x:f>
        <x:v>2021</x:v>
      </x:c>
      <x:c r="V81" t="n">
        <x:f>YEAR(D81)</x:f>
        <x:v>2021</x:v>
      </x:c>
      <x:c r="W81" t="n">
        <x:f>N81-M81-O81-P81</x:f>
        <x:v>146.3911993463095</x:v>
      </x:c>
      <x:c r="X81" t="str">
        <x:f>IF(T81&gt;1,"Ganador",IF(T81&lt;0,"Perdedor","Empate"))</x:f>
        <x:v>Ganador</x:v>
      </x:c>
    </x:row>
    <x:row r="82">
      <x:c r="A82" t="str">
        <x:v>FTNT</x:v>
      </x:c>
      <x:c r="B82" t="n">
        <x:v>44407</x:v>
      </x:c>
      <x:c r="C82" t="n">
        <x:v>44410</x:v>
      </x:c>
      <x:c r="D82" t="n">
        <x:v>44501</x:v>
      </x:c>
      <x:c r="E82" t="n">
        <x:v>91</x:v>
      </x:c>
      <x:c r="F82" t="str">
        <x:v>enter_or_hold</x:v>
      </x:c>
      <x:c r="G82" t="str">
        <x:v>rebalance_trim</x:v>
      </x:c>
      <x:c r="H82" t="n">
        <x:v>3</x:v>
      </x:c>
      <x:c r="I82" t="n">
        <x:v>57.39134390642487</x:v>
      </x:c>
      <x:c r="J82" t="n">
        <x:v>1.7915811723836104</x:v>
      </x:c>
      <x:c r="K82" t="n">
        <x:v>57.15299843632694</x:v>
      </x:c>
      <x:c r="L82" t="n">
        <x:v>64.8219985961914</x:v>
      </x:c>
      <x:c r="M82" t="n">
        <x:v>102.39423594379326</x:v>
      </x:c>
      <x:c r="N82" t="n">
        <x:v>116.13387224121334</x:v>
      </x:c>
      <x:c r="O82" t="n">
        <x:v>0.24574616626510382</x:v>
      </x:c>
      <x:c r="P82" t="n">
        <x:v>0.278721293378912</x:v>
      </x:c>
      <x:c r="Q82" t="n">
        <x:v>56.92399978637695</x:v>
      </x:c>
      <x:c r="R82" t="n">
        <x:v>13.874637831940628</x:v>
      </x:c>
      <x:c r="S82" t="n">
        <x:v>13.418368886469455</x:v>
      </x:c>
      <x:c r="T82" t="n">
        <x:v>12.938368886469455</x:v>
      </x:c>
      <x:c r="U82" t="n">
        <x:f>YEAR(C82)</x:f>
        <x:v>2021</x:v>
      </x:c>
      <x:c r="V82" t="n">
        <x:f>YEAR(D82)</x:f>
        <x:v>2021</x:v>
      </x:c>
      <x:c r="W82" t="n">
        <x:f>N82-M82-O82-P82</x:f>
        <x:v>13.215168837776062</x:v>
      </x:c>
      <x:c r="X82" t="str">
        <x:f>IF(T82&gt;1,"Ganador",IF(T82&lt;0,"Perdedor","Empate"))</x:f>
        <x:v>Ganador</x:v>
      </x:c>
    </x:row>
    <x:row r="83">
      <x:c r="A83" t="str">
        <x:v>MRNA</x:v>
      </x:c>
      <x:c r="B83" t="n">
        <x:v>44316</x:v>
      </x:c>
      <x:c r="C83" t="n">
        <x:v>44319</x:v>
      </x:c>
      <x:c r="D83" t="n">
        <x:v>44529</x:v>
      </x:c>
      <x:c r="E83" t="n">
        <x:v>210</x:v>
      </x:c>
      <x:c r="F83" t="str">
        <x:v>enter_or_hold</x:v>
      </x:c>
      <x:c r="G83" t="str">
        <x:v>left_top_n</x:v>
      </x:c>
      <x:c r="H83" t="n">
        <x:v>3</x:v>
      </x:c>
      <x:c r="I83" t="n">
        <x:v>55.40576127196737</x:v>
      </x:c>
      <x:c r="J83" t="n">
        <x:v>10.01450288877163</x:v>
      </x:c>
      <x:c r="K83" t="n">
        <x:v>224.48174578938045</x:v>
      </x:c>
      <x:c r="L83" t="n">
        <x:v>368.510009765625</x:v>
      </x:c>
      <x:c r="M83" t="n">
        <x:v>2248.07309168425</x:v>
      </x:c>
      <x:c r="N83" t="n">
        <x:v>3690.4445573391135</x:v>
      </x:c>
      <x:c r="O83" t="n">
        <x:v>5.3953754200422</x:v>
      </x:c>
      <x:c r="P83" t="n">
        <x:v>8.857066937613872</x:v>
      </x:c>
      <x:c r="Q83" t="n">
        <x:v>186.0200042724609</x:v>
      </x:c>
      <x:c r="R83" t="n">
        <x:v>98.10235528533453</x:v>
      </x:c>
      <x:c r="S83" t="n">
        <x:v>64.16034563067714</x:v>
      </x:c>
      <x:c r="T83" t="n">
        <x:v>63.680345630677145</x:v>
      </x:c>
      <x:c r="U83" t="n">
        <x:f>YEAR(C83)</x:f>
        <x:v>2021</x:v>
      </x:c>
      <x:c r="V83" t="n">
        <x:f>YEAR(D83)</x:f>
        <x:v>2021</x:v>
      </x:c>
      <x:c r="W83" t="n">
        <x:f>N83-M83-O83-P83</x:f>
        <x:v>1428.1190232972076</x:v>
      </x:c>
      <x:c r="X83" t="str">
        <x:f>IF(T83&gt;1,"Ganador",IF(T83&lt;0,"Perdedor","Empate"))</x:f>
        <x:v>Ganador</x:v>
      </x:c>
    </x:row>
    <x:row r="84">
      <x:c r="A84" t="str">
        <x:v>FTNT</x:v>
      </x:c>
      <x:c r="B84" t="n">
        <x:v>44407</x:v>
      </x:c>
      <x:c r="C84" t="n">
        <x:v>44410</x:v>
      </x:c>
      <x:c r="D84" t="n">
        <x:v>44529</x:v>
      </x:c>
      <x:c r="E84" t="n">
        <x:v>119</x:v>
      </x:c>
      <x:c r="F84" t="str">
        <x:v>enter_or_hold</x:v>
      </x:c>
      <x:c r="G84" t="str">
        <x:v>left_top_n</x:v>
      </x:c>
      <x:c r="H84" t="n">
        <x:v>3</x:v>
      </x:c>
      <x:c r="I84" t="n">
        <x:v>57.39134390642487</x:v>
      </x:c>
      <x:c r="J84" t="n">
        <x:v>52.120590321296376</x:v>
      </x:c>
      <x:c r="K84" t="n">
        <x:v>57.15299843632694</x:v>
      </x:c>
      <x:c r="L84" t="n">
        <x:v>68.66000366210938</x:v>
      </x:c>
      <x:c r="M84" t="n">
        <x:v>2978.8480171334886</x:v>
      </x:c>
      <x:c r="N84" t="n">
        <x:v>3578.5999223315116</x:v>
      </x:c>
      <x:c r="O84" t="n">
        <x:v>7.149235241120373</x:v>
      </x:c>
      <x:c r="P84" t="n">
        <x:v>8.588639813595627</x:v>
      </x:c>
      <x:c r="Q84" t="n">
        <x:v>56.92399978637695</x:v>
      </x:c>
      <x:c r="R84" t="n">
        <x:v>20.61696985414767</x:v>
      </x:c>
      <x:c r="S84" t="n">
        <x:v>20.133685966803938</x:v>
      </x:c>
      <x:c r="T84" t="n">
        <x:v>19.653685966803938</x:v>
      </x:c>
      <x:c r="U84" t="n">
        <x:f>YEAR(C84)</x:f>
        <x:v>2021</x:v>
      </x:c>
      <x:c r="V84" t="n">
        <x:f>YEAR(D84)</x:f>
        <x:v>2021</x:v>
      </x:c>
      <x:c r="W84" t="n">
        <x:f>N84-M84-O84-P84</x:f>
        <x:v>584.0140301433071</x:v>
      </x:c>
      <x:c r="X84" t="str">
        <x:f>IF(T84&gt;1,"Ganador",IF(T84&lt;0,"Perdedor","Empate"))</x:f>
        <x:v>Ganador</x:v>
      </x:c>
    </x:row>
    <x:row r="85">
      <x:c r="A85" t="str">
        <x:v>TSLA</x:v>
      </x:c>
      <x:c r="B85" t="n">
        <x:v>44498</x:v>
      </x:c>
      <x:c r="C85" t="n">
        <x:v>44501</x:v>
      </x:c>
      <x:c r="D85" t="n">
        <x:v>44529</x:v>
      </x:c>
      <x:c r="E85" t="n">
        <x:v>28</x:v>
      </x:c>
      <x:c r="F85" t="str">
        <x:v>enter_or_hold</x:v>
      </x:c>
      <x:c r="G85" t="str">
        <x:v>left_top_n</x:v>
      </x:c>
      <x:c r="H85" t="n">
        <x:v>2</x:v>
      </x:c>
      <x:c r="I85" t="n">
        <x:v>59.74845753018288</x:v>
      </x:c>
      <x:c r="J85" t="n">
        <x:v>8.365282564336496</x:v>
      </x:c>
      <x:c r="K85" t="n">
        <x:v>402.86334228515625</x:v>
      </x:c>
      <x:c r="L85" t="n">
        <x:v>378.9966735839844</x:v>
      </x:c>
      <x:c r="M85" t="n">
        <x:v>3370.0656930283435</x:v>
      </x:c>
      <x:c r="N85" t="n">
        <x:v>3170.4142654736347</x:v>
      </x:c>
      <x:c r="O85" t="n">
        <x:v>8.088157663268024</x:v>
      </x:c>
      <x:c r="P85" t="n">
        <x:v>7.608994237136723</x:v>
      </x:c>
      <x:c r="Q85" t="n">
        <x:v>402.86334228515625</x:v>
      </x:c>
      <x:c r="R85" t="n">
        <x:v>-5.924259220457562</x:v>
      </x:c>
      <x:c r="S85" t="n">
        <x:v>-5.924259220457562</x:v>
      </x:c>
      <x:c r="T85" t="n">
        <x:v>-6.404259220457561</x:v>
      </x:c>
      <x:c r="U85" t="n">
        <x:f>YEAR(C85)</x:f>
        <x:v>2021</x:v>
      </x:c>
      <x:c r="V85" t="n">
        <x:f>YEAR(D85)</x:f>
        <x:v>2021</x:v>
      </x:c>
      <x:c r="W85" t="n">
        <x:f>N85-M85-O85-P85</x:f>
        <x:v>-215.34857945511354</x:v>
      </x:c>
      <x:c r="X85" t="str">
        <x:f>IF(T85&gt;1,"Ganador",IF(T85&lt;0,"Perdedor","Empate"))</x:f>
        <x:v>Perdedor</x:v>
      </x:c>
    </x:row>
    <x:row r="86">
      <x:c r="A86" t="str">
        <x:v>DDOG</x:v>
      </x:c>
      <x:c r="B86" t="n">
        <x:v>44498</x:v>
      </x:c>
      <x:c r="C86" t="n">
        <x:v>44501</x:v>
      </x:c>
      <x:c r="D86" t="n">
        <x:v>44529</x:v>
      </x:c>
      <x:c r="E86" t="n">
        <x:v>28</x:v>
      </x:c>
      <x:c r="F86" t="str">
        <x:v>enter_or_hold</x:v>
      </x:c>
      <x:c r="G86" t="str">
        <x:v>rebalance_trim</x:v>
      </x:c>
      <x:c r="H86" t="n">
        <x:v>5</x:v>
      </x:c>
      <x:c r="I86" t="n">
        <x:v>54.18668234694108</x:v>
      </x:c>
      <x:c r="J86" t="n">
        <x:v>0.329290840418285</x:v>
      </x:c>
      <x:c r="K86" t="n">
        <x:v>165.1999969482422</x:v>
      </x:c>
      <x:c r="L86" t="n">
        <x:v>182.9900054931641</x:v>
      </x:c>
      <x:c r="M86" t="n">
        <x:v>54.39884583218479</x:v>
      </x:c>
      <x:c r="N86" t="n">
        <x:v>60.25693269699059</x:v>
      </x:c>
      <x:c r="O86" t="n">
        <x:v>0.1305572299972435</x:v>
      </x:c>
      <x:c r="P86" t="n">
        <x:v>0.1446166384727774</x:v>
      </x:c>
      <x:c r="Q86" t="n">
        <x:v>165.1999969482422</x:v>
      </x:c>
      <x:c r="R86" t="n">
        <x:v>10.768770504575475</x:v>
      </x:c>
      <x:c r="S86" t="n">
        <x:v>10.768770504575475</x:v>
      </x:c>
      <x:c r="T86" t="n">
        <x:v>10.288770504575474</x:v>
      </x:c>
      <x:c r="U86" t="n">
        <x:f>YEAR(C86)</x:f>
        <x:v>2021</x:v>
      </x:c>
      <x:c r="V86" t="n">
        <x:f>YEAR(D86)</x:f>
        <x:v>2021</x:v>
      </x:c>
      <x:c r="W86" t="n">
        <x:f>N86-M86-O86-P86</x:f>
        <x:v>5.582912996335777</x:v>
      </x:c>
      <x:c r="X86" t="str">
        <x:f>IF(T86&gt;1,"Ganador",IF(T86&lt;0,"Perdedor","Empate"))</x:f>
        <x:v>Ganador</x:v>
      </x:c>
    </x:row>
    <x:row r="87">
      <x:c r="A87" t="str">
        <x:v>NVDA</x:v>
      </x:c>
      <x:c r="B87" t="n">
        <x:v>44498</x:v>
      </x:c>
      <x:c r="C87" t="n">
        <x:v>44501</x:v>
      </x:c>
      <x:c r="D87" t="n">
        <x:v>44529</x:v>
      </x:c>
      <x:c r="E87" t="n">
        <x:v>28</x:v>
      </x:c>
      <x:c r="F87" t="str">
        <x:v>enter_or_hold</x:v>
      </x:c>
      <x:c r="G87" t="str">
        <x:v>rebalance_trim</x:v>
      </x:c>
      <x:c r="H87" t="n">
        <x:v>6</x:v>
      </x:c>
      <x:c r="I87" t="n">
        <x:v>52.518066785504345</x:v>
      </x:c>
      <x:c r="J87" t="n">
        <x:v>20.44529616366376</x:v>
      </x:c>
      <x:c r="K87" t="n">
        <x:v>25.82699966430664</x:v>
      </x:c>
      <x:c r="L87" t="n">
        <x:v>33.375999450683594</x:v>
      </x:c>
      <x:c r="M87" t="n">
        <x:v>528.0406571555937</x:v>
      </x:c>
      <x:c r="N87" t="n">
        <x:v>682.382193527505</x:v>
      </x:c>
      <x:c r="O87" t="n">
        <x:v>1.267297577173425</x:v>
      </x:c>
      <x:c r="P87" t="n">
        <x:v>1.6377172644660118</x:v>
      </x:c>
      <x:c r="Q87" t="n">
        <x:v>25.82699966430664</x:v>
      </x:c>
      <x:c r="R87" t="n">
        <x:v>29.22910088084989</x:v>
      </x:c>
      <x:c r="S87" t="n">
        <x:v>29.22910088084989</x:v>
      </x:c>
      <x:c r="T87" t="n">
        <x:v>28.74910088084989</x:v>
      </x:c>
      <x:c r="U87" t="n">
        <x:f>YEAR(C87)</x:f>
        <x:v>2021</x:v>
      </x:c>
      <x:c r="V87" t="n">
        <x:f>YEAR(D87)</x:f>
        <x:v>2021</x:v>
      </x:c>
      <x:c r="W87" t="n">
        <x:f>N87-M87-O87-P87</x:f>
        <x:v>151.43652153027185</x:v>
      </x:c>
      <x:c r="X87" t="str">
        <x:f>IF(T87&gt;1,"Ganador",IF(T87&lt;0,"Perdedor","Empate"))</x:f>
        <x:v>Ganador</x:v>
      </x:c>
    </x:row>
    <x:row r="88">
      <x:c r="A88" t="str">
        <x:v>AMD</x:v>
      </x:c>
      <x:c r="B88" t="n">
        <x:v>44526</x:v>
      </x:c>
      <x:c r="C88" t="n">
        <x:v>44529</x:v>
      </x:c>
      <x:c r="D88" t="n">
        <x:v>44564</x:v>
      </x:c>
      <x:c r="E88" t="n">
        <x:v>35</x:v>
      </x:c>
      <x:c r="F88" t="str">
        <x:v>enter_or_hold</x:v>
      </x:c>
      <x:c r="G88" t="str">
        <x:v>left_top_n</x:v>
      </x:c>
      <x:c r="H88" t="n">
        <x:v>2</x:v>
      </x:c>
      <x:c r="I88" t="n">
        <x:v>59.794034803948136</x:v>
      </x:c>
      <x:c r="J88" t="n">
        <x:v>22.626387700562386</x:v>
      </x:c>
      <x:c r="K88" t="n">
        <x:v>161.91000366210938</x:v>
      </x:c>
      <x:c r="L88" t="n">
        <x:v>150.24000549316406</x:v>
      </x:c>
      <x:c r="M88" t="n">
        <x:v>3663.4385154583624</x:v>
      </x:c>
      <x:c r="N88" t="n">
        <x:v>3399.3886124229525</x:v>
      </x:c>
      <x:c r="O88" t="n">
        <x:v>8.79225243710007</x:v>
      </x:c>
      <x:c r="P88" t="n">
        <x:v>8.158532669815086</x:v>
      </x:c>
      <x:c r="Q88" t="n">
        <x:v>161.91000366210938</x:v>
      </x:c>
      <x:c r="R88" t="n">
        <x:v>-7.207706691983951</x:v>
      </x:c>
      <x:c r="S88" t="n">
        <x:v>-7.207706691983951</x:v>
      </x:c>
      <x:c r="T88" t="n">
        <x:v>-7.687706691983951</x:v>
      </x:c>
      <x:c r="U88" t="n">
        <x:f>YEAR(C88)</x:f>
        <x:v>2021</x:v>
      </x:c>
      <x:c r="V88" t="n">
        <x:f>YEAR(D88)</x:f>
        <x:v>2022</x:v>
      </x:c>
      <x:c r="W88" t="n">
        <x:f>N88-M88-O88-P88</x:f>
        <x:v>-281.00068814232503</x:v>
      </x:c>
      <x:c r="X88" t="str">
        <x:f>IF(T88&gt;1,"Ganador",IF(T88&lt;0,"Perdedor","Empate"))</x:f>
        <x:v>Perdedor</x:v>
      </x:c>
    </x:row>
    <x:row r="89">
      <x:c r="A89" t="str">
        <x:v>BLDR</x:v>
      </x:c>
      <x:c r="B89" t="n">
        <x:v>44526</x:v>
      </x:c>
      <x:c r="C89" t="n">
        <x:v>44529</x:v>
      </x:c>
      <x:c r="D89" t="n">
        <x:v>44564</x:v>
      </x:c>
      <x:c r="E89" t="n">
        <x:v>35</x:v>
      </x:c>
      <x:c r="F89" t="str">
        <x:v>enter_or_hold</x:v>
      </x:c>
      <x:c r="G89" t="str">
        <x:v>rebalance_trim</x:v>
      </x:c>
      <x:c r="H89" t="n">
        <x:v>6</x:v>
      </x:c>
      <x:c r="I89" t="n">
        <x:v>48.15128083892033</x:v>
      </x:c>
      <x:c r="J89" t="n">
        <x:v>6.839379995938167</x:v>
      </x:c>
      <x:c r="K89" t="n">
        <x:v>71.8499984741211</x:v>
      </x:c>
      <x:c r="L89" t="n">
        <x:v>83.48999786376953</x:v>
      </x:c>
      <x:c r="M89" t="n">
        <x:v>491.4094422720916</x:v>
      </x:c>
      <x:c r="N89" t="n">
        <x:v>571.0198212503856</x:v>
      </x:c>
      <x:c r="O89" t="n">
        <x:v>1.1793826614530198</x:v>
      </x:c>
      <x:c r="P89" t="n">
        <x:v>1.3704475710009252</x:v>
      </x:c>
      <x:c r="Q89" t="n">
        <x:v>71.8499984741211</x:v>
      </x:c>
      <x:c r="R89" t="n">
        <x:v>16.200417031102553</x:v>
      </x:c>
      <x:c r="S89" t="n">
        <x:v>16.200417031102553</x:v>
      </x:c>
      <x:c r="T89" t="n">
        <x:v>15.720417031102553</x:v>
      </x:c>
      <x:c r="U89" t="n">
        <x:f>YEAR(C89)</x:f>
        <x:v>2021</x:v>
      </x:c>
      <x:c r="V89" t="n">
        <x:f>YEAR(D89)</x:f>
        <x:v>2022</x:v>
      </x:c>
      <x:c r="W89" t="n">
        <x:f>N89-M89-O89-P89</x:f>
        <x:v>77.06054874584002</x:v>
      </x:c>
      <x:c r="X89" t="str">
        <x:f>IF(T89&gt;1,"Ganador",IF(T89&lt;0,"Perdedor","Empate"))</x:f>
        <x:v>Ganador</x:v>
      </x:c>
    </x:row>
    <x:row r="90">
      <x:c r="A90" t="str">
        <x:v>DVN</x:v>
      </x:c>
      <x:c r="B90" t="n">
        <x:v>44435</x:v>
      </x:c>
      <x:c r="C90" t="n">
        <x:v>44438</x:v>
      </x:c>
      <x:c r="D90" t="n">
        <x:v>44564</x:v>
      </x:c>
      <x:c r="E90" t="n">
        <x:v>126</x:v>
      </x:c>
      <x:c r="F90" t="str">
        <x:v>enter_or_hold</x:v>
      </x:c>
      <x:c r="G90" t="str">
        <x:v>rebalance_trim</x:v>
      </x:c>
      <x:c r="H90" t="n">
        <x:v>3</x:v>
      </x:c>
      <x:c r="I90" t="n">
        <x:v>59.23466605756404</x:v>
      </x:c>
      <x:c r="J90" t="n">
        <x:v>2.723950298936671</x:v>
      </x:c>
      <x:c r="K90" t="n">
        <x:v>30.312304904384472</x:v>
      </x:c>
      <x:c r="L90" t="n">
        <x:v>45.56999969482422</x:v>
      </x:c>
      <x:c r="M90" t="n">
        <x:v>82.56921200575758</x:v>
      </x:c>
      <x:c r="N90" t="n">
        <x:v>124.13041429126044</x:v>
      </x:c>
      <x:c r="O90" t="n">
        <x:v>0.19816610881381821</x:v>
      </x:c>
      <x:c r="P90" t="n">
        <x:v>0.297912994299025</x:v>
      </x:c>
      <x:c r="Q90" t="n">
        <x:v>29.780000686645508</x:v>
      </x:c>
      <x:c r="R90" t="n">
        <x:v>53.022157972143866</x:v>
      </x:c>
      <x:c r="S90" t="n">
        <x:v>50.33498718941964</x:v>
      </x:c>
      <x:c r="T90" t="n">
        <x:v>49.854987189419646</x:v>
      </x:c>
      <x:c r="U90" t="n">
        <x:f>YEAR(C90)</x:f>
        <x:v>2021</x:v>
      </x:c>
      <x:c r="V90" t="n">
        <x:f>YEAR(D90)</x:f>
        <x:v>2022</x:v>
      </x:c>
      <x:c r="W90" t="n">
        <x:f>N90-M90-O90-P90</x:f>
        <x:v>41.06512318239002</x:v>
      </x:c>
      <x:c r="X90" t="str">
        <x:f>IF(T90&gt;1,"Ganador",IF(T90&lt;0,"Perdedor","Empate"))</x:f>
        <x:v>Ganador</x:v>
      </x:c>
    </x:row>
    <x:row r="91">
      <x:c r="A91" t="str">
        <x:v>F</x:v>
      </x:c>
      <x:c r="B91" t="n">
        <x:v>44526</x:v>
      </x:c>
      <x:c r="C91" t="n">
        <x:v>44529</x:v>
      </x:c>
      <x:c r="D91" t="n">
        <x:v>44564</x:v>
      </x:c>
      <x:c r="E91" t="n">
        <x:v>35</x:v>
      </x:c>
      <x:c r="F91" t="str">
        <x:v>enter_or_hold</x:v>
      </x:c>
      <x:c r="G91" t="str">
        <x:v>rebalance_trim</x:v>
      </x:c>
      <x:c r="H91" t="n">
        <x:v>5</x:v>
      </x:c>
      <x:c r="I91" t="n">
        <x:v>49.00686262366105</x:v>
      </x:c>
      <x:c r="J91" t="n">
        <x:v>16.93348636204441</x:v>
      </x:c>
      <x:c r="K91" t="n">
        <x:v>19.670000076293945</x:v>
      </x:c>
      <x:c r="L91" t="n">
        <x:v>21.770000457763672</x:v>
      </x:c>
      <x:c r="M91" t="n">
        <x:v>333.081678033336</x:v>
      </x:c>
      <x:c r="N91" t="n">
        <x:v>368.6420058532417</x:v>
      </x:c>
      <x:c r="O91" t="n">
        <x:v>0.7993960272800064</x:v>
      </x:c>
      <x:c r="P91" t="n">
        <x:v>0.88474081404778</x:v>
      </x:c>
      <x:c r="Q91" t="n">
        <x:v>19.670000076293945</x:v>
      </x:c>
      <x:c r="R91" t="n">
        <x:v>10.676158481568198</x:v>
      </x:c>
      <x:c r="S91" t="n">
        <x:v>10.676158481568198</x:v>
      </x:c>
      <x:c r="T91" t="n">
        <x:v>10.196158481568197</x:v>
      </x:c>
      <x:c r="U91" t="n">
        <x:f>YEAR(C91)</x:f>
        <x:v>2021</x:v>
      </x:c>
      <x:c r="V91" t="n">
        <x:f>YEAR(D91)</x:f>
        <x:v>2022</x:v>
      </x:c>
      <x:c r="W91" t="n">
        <x:f>N91-M91-O91-P91</x:f>
        <x:v>33.87619097857791</x:v>
      </x:c>
      <x:c r="X91" t="str">
        <x:f>IF(T91&gt;1,"Ganador",IF(T91&lt;0,"Perdedor","Empate"))</x:f>
        <x:v>Ganador</x:v>
      </x:c>
    </x:row>
    <x:row r="92">
      <x:c r="A92" t="str">
        <x:v>DVN</x:v>
      </x:c>
      <x:c r="B92" t="n">
        <x:v>44435</x:v>
      </x:c>
      <x:c r="C92" t="n">
        <x:v>44438</x:v>
      </x:c>
      <x:c r="D92" t="n">
        <x:v>44592</x:v>
      </x:c>
      <x:c r="E92" t="n">
        <x:v>154</x:v>
      </x:c>
      <x:c r="F92" t="str">
        <x:v>enter_or_hold</x:v>
      </x:c>
      <x:c r="G92" t="str">
        <x:v>market_filter_failed</x:v>
      </x:c>
      <x:c r="H92" t="n">
        <x:v>3</x:v>
      </x:c>
      <x:c r="I92" t="n">
        <x:v>59.23466605756404</x:v>
      </x:c>
      <x:c r="J92" t="n">
        <x:v>80.88459591999745</x:v>
      </x:c>
      <x:c r="K92" t="n">
        <x:v>30.312304904384472</x:v>
      </x:c>
      <x:c r="L92" t="n">
        <x:v>50.56999969482422</x:v>
      </x:c>
      <x:c r="M92" t="n">
        <x:v>2451.7985335948947</x:v>
      </x:c>
      <x:c r="N92" t="n">
        <x:v>4090.3339909902516</x:v>
      </x:c>
      <x:c r="O92" t="n">
        <x:v>5.8843164806277475</x:v>
      </x:c>
      <x:c r="P92" t="n">
        <x:v>9.816801578376603</x:v>
      </x:c>
      <x:c r="Q92" t="n">
        <x:v>29.780000686645508</x:v>
      </x:c>
      <x:c r="R92" t="n">
        <x:v>69.81194939159872</x:v>
      </x:c>
      <x:c r="S92" t="n">
        <x:v>66.82993871412796</x:v>
      </x:c>
      <x:c r="T92" t="n">
        <x:v>66.34993871412796</x:v>
      </x:c>
      <x:c r="U92" t="n">
        <x:f>YEAR(C92)</x:f>
        <x:v>2021</x:v>
      </x:c>
      <x:c r="V92" t="n">
        <x:f>YEAR(D92)</x:f>
        <x:v>2022</x:v>
      </x:c>
      <x:c r="W92" t="n">
        <x:f>N92-M92-O92-P92</x:f>
        <x:v>1622.8343393363525</x:v>
      </x:c>
      <x:c r="X92" t="str">
        <x:f>IF(T92&gt;1,"Ganador",IF(T92&lt;0,"Perdedor","Empate"))</x:f>
        <x:v>Ganador</x:v>
      </x:c>
    </x:row>
    <x:row r="93">
      <x:c r="A93" t="str">
        <x:v>DDOG</x:v>
      </x:c>
      <x:c r="B93" t="n">
        <x:v>44498</x:v>
      </x:c>
      <x:c r="C93" t="n">
        <x:v>44501</x:v>
      </x:c>
      <x:c r="D93" t="n">
        <x:v>44592</x:v>
      </x:c>
      <x:c r="E93" t="n">
        <x:v>91</x:v>
      </x:c>
      <x:c r="F93" t="str">
        <x:v>enter_or_hold</x:v>
      </x:c>
      <x:c r="G93" t="str">
        <x:v>market_filter_failed</x:v>
      </x:c>
      <x:c r="H93" t="n">
        <x:v>5</x:v>
      </x:c>
      <x:c r="I93" t="n">
        <x:v>45.419888898277264</x:v>
      </x:c>
      <x:c r="J93" t="n">
        <x:v>22.48929116876093</x:v>
      </x:c>
      <x:c r="K93" t="n">
        <x:v>165.0526573256224</x:v>
      </x:c>
      <x:c r="L93" t="n">
        <x:v>146.11000061035156</x:v>
      </x:c>
      <x:c r="M93" t="n">
        <x:v>3711.9172687736436</x:v>
      </x:c>
      <x:c r="N93" t="n">
        <x:v>3285.9103463940332</x:v>
      </x:c>
      <x:c r="O93" t="n">
        <x:v>8.908601445056744</x:v>
      </x:c>
      <x:c r="P93" t="n">
        <x:v>7.8861848313456795</x:v>
      </x:c>
      <x:c r="Q93" t="n">
        <x:v>165.1999969482422</x:v>
      </x:c>
      <x:c r="R93" t="n">
        <x:v>-11.55568806933549</x:v>
      </x:c>
      <x:c r="S93" t="n">
        <x:v>-11.476735377789172</x:v>
      </x:c>
      <x:c r="T93" t="n">
        <x:v>-11.956735377789173</x:v>
      </x:c>
      <x:c r="U93" t="n">
        <x:f>YEAR(C93)</x:f>
        <x:v>2021</x:v>
      </x:c>
      <x:c r="V93" t="n">
        <x:f>YEAR(D93)</x:f>
        <x:v>2022</x:v>
      </x:c>
      <x:c r="W93" t="n">
        <x:f>N93-M93-O93-P93</x:f>
        <x:v>-442.8017086560128</x:v>
      </x:c>
      <x:c r="X93" t="str">
        <x:f>IF(T93&gt;1,"Ganador",IF(T93&lt;0,"Perdedor","Empate"))</x:f>
        <x:v>Perdedor</x:v>
      </x:c>
    </x:row>
    <x:row r="94">
      <x:c r="A94" t="str">
        <x:v>NVDA</x:v>
      </x:c>
      <x:c r="B94" t="n">
        <x:v>44498</x:v>
      </x:c>
      <x:c r="C94" t="n">
        <x:v>44501</x:v>
      </x:c>
      <x:c r="D94" t="n">
        <x:v>44592</x:v>
      </x:c>
      <x:c r="E94" t="n">
        <x:v>91</x:v>
      </x:c>
      <x:c r="F94" t="str">
        <x:v>enter_or_hold</x:v>
      </x:c>
      <x:c r="G94" t="str">
        <x:v>market_filter_failed</x:v>
      </x:c>
      <x:c r="H94" t="n">
        <x:v>4</x:v>
      </x:c>
      <x:c r="I94" t="n">
        <x:v>49.35823725087551</x:v>
      </x:c>
      <x:c r="J94" t="n">
        <x:v>122.3230057245509</x:v>
      </x:c>
      <x:c r="K94" t="n">
        <x:v>26.25814977728082</x:v>
      </x:c>
      <x:c r="L94" t="n">
        <x:v>24.48600006103516</x:v>
      </x:c>
      <x:c r="M94" t="n">
        <x:v>3211.9758055224365</x:v>
      </x:c>
      <x:c r="N94" t="n">
        <x:v>2995.2011256373576</x:v>
      </x:c>
      <x:c r="O94" t="n">
        <x:v>7.708741933253848</x:v>
      </x:c>
      <x:c r="P94" t="n">
        <x:v>7.188482701529658</x:v>
      </x:c>
      <x:c r="Q94" t="n">
        <x:v>25.82699966430664</x:v>
      </x:c>
      <x:c r="R94" t="n">
        <x:v>-5.192239209747484</x:v>
      </x:c>
      <x:c r="S94" t="n">
        <x:v>-6.748951206680099</x:v>
      </x:c>
      <x:c r="T94" t="n">
        <x:v>-7.228951206680099</x:v>
      </x:c>
      <x:c r="U94" t="n">
        <x:f>YEAR(C94)</x:f>
        <x:v>2021</x:v>
      </x:c>
      <x:c r="V94" t="n">
        <x:f>YEAR(D94)</x:f>
        <x:v>2022</x:v>
      </x:c>
      <x:c r="W94" t="n">
        <x:f>N94-M94-O94-P94</x:f>
        <x:v>-231.6719045198625</x:v>
      </x:c>
      <x:c r="X94" t="str">
        <x:f>IF(T94&gt;1,"Ganador",IF(T94&lt;0,"Perdedor","Empate"))</x:f>
        <x:v>Perdedor</x:v>
      </x:c>
    </x:row>
    <x:row r="95">
      <x:c r="A95" t="str">
        <x:v>BLDR</x:v>
      </x:c>
      <x:c r="B95" t="n">
        <x:v>44526</x:v>
      </x:c>
      <x:c r="C95" t="n">
        <x:v>44529</x:v>
      </x:c>
      <x:c r="D95" t="n">
        <x:v>44592</x:v>
      </x:c>
      <x:c r="E95" t="n">
        <x:v>63</x:v>
      </x:c>
      <x:c r="F95" t="str">
        <x:v>enter_or_hold</x:v>
      </x:c>
      <x:c r="G95" t="str">
        <x:v>market_filter_failed</x:v>
      </x:c>
      <x:c r="H95" t="n">
        <x:v>6</x:v>
      </x:c>
      <x:c r="I95" t="n">
        <x:v>48.15128083892033</x:v>
      </x:c>
      <x:c r="J95" t="n">
        <x:v>44.14793515032253</x:v>
      </x:c>
      <x:c r="K95" t="n">
        <x:v>71.8499984741211</x:v>
      </x:c>
      <x:c r="L95" t="n">
        <x:v>67.98999786376953</x:v>
      </x:c>
      <x:c r="M95" t="n">
        <x:v>3172.0290731862706</x:v>
      </x:c>
      <x:c r="N95" t="n">
        <x:v>3001.6180165602646</x:v>
      </x:c>
      <x:c r="O95" t="n">
        <x:v>7.61286977564705</x:v>
      </x:c>
      <x:c r="P95" t="n">
        <x:v>7.203883239744634</x:v>
      </x:c>
      <x:c r="Q95" t="n">
        <x:v>71.8499984741211</x:v>
      </x:c>
      <x:c r="R95" t="n">
        <x:v>-5.372304373453618</x:v>
      </x:c>
      <x:c r="S95" t="n">
        <x:v>-5.372304373453618</x:v>
      </x:c>
      <x:c r="T95" t="n">
        <x:v>-5.852304373453618</x:v>
      </x:c>
      <x:c r="U95" t="n">
        <x:f>YEAR(C95)</x:f>
        <x:v>2021</x:v>
      </x:c>
      <x:c r="V95" t="n">
        <x:f>YEAR(D95)</x:f>
        <x:v>2022</x:v>
      </x:c>
      <x:c r="W95" t="n">
        <x:f>N95-M95-O95-P95</x:f>
        <x:v>-185.22780964139773</x:v>
      </x:c>
      <x:c r="X95" t="str">
        <x:f>IF(T95&gt;1,"Ganador",IF(T95&lt;0,"Perdedor","Empate"))</x:f>
        <x:v>Perdedor</x:v>
      </x:c>
    </x:row>
    <x:row r="96">
      <x:c r="A96" t="str">
        <x:v>F</x:v>
      </x:c>
      <x:c r="B96" t="n">
        <x:v>44526</x:v>
      </x:c>
      <x:c r="C96" t="n">
        <x:v>44529</x:v>
      </x:c>
      <x:c r="D96" t="n">
        <x:v>44592</x:v>
      </x:c>
      <x:c r="E96" t="n">
        <x:v>63</x:v>
      </x:c>
      <x:c r="F96" t="str">
        <x:v>enter_or_hold</x:v>
      </x:c>
      <x:c r="G96" t="str">
        <x:v>market_filter_failed</x:v>
      </x:c>
      <x:c r="H96" t="n">
        <x:v>5</x:v>
      </x:c>
      <x:c r="I96" t="n">
        <x:v>49.00686262366105</x:v>
      </x:c>
      <x:c r="J96" t="n">
        <x:v>169.31148065620667</x:v>
      </x:c>
      <x:c r="K96" t="n">
        <x:v>19.670000076293945</x:v>
      </x:c>
      <x:c r="L96" t="n">
        <x:v>20.299999237060547</x:v>
      </x:c>
      <x:c r="M96" t="n">
        <x:v>3330.3568374250262</x:v>
      </x:c>
      <x:c r="N96" t="n">
        <x:v>3437.0229281465868</x:v>
      </x:c>
      <x:c r="O96" t="n">
        <x:v>7.992856409820063</x:v>
      </x:c>
      <x:c r="P96" t="n">
        <x:v>8.248855027551807</x:v>
      </x:c>
      <x:c r="Q96" t="n">
        <x:v>19.670000076293945</x:v>
      </x:c>
      <x:c r="R96" t="n">
        <x:v>3.202842696100805</x:v>
      </x:c>
      <x:c r="S96" t="n">
        <x:v>3.202842696100805</x:v>
      </x:c>
      <x:c r="T96" t="n">
        <x:v>2.722842696100805</x:v>
      </x:c>
      <x:c r="U96" t="n">
        <x:f>YEAR(C96)</x:f>
        <x:v>2021</x:v>
      </x:c>
      <x:c r="V96" t="n">
        <x:f>YEAR(D96)</x:f>
        <x:v>2022</x:v>
      </x:c>
      <x:c r="W96" t="n">
        <x:f>N96-M96-O96-P96</x:f>
        <x:v>90.42437928418865</x:v>
      </x:c>
      <x:c r="X96" t="str">
        <x:f>IF(T96&gt;1,"Ganador",IF(T96&lt;0,"Perdedor","Empate"))</x:f>
        <x:v>Ganador</x:v>
      </x:c>
    </x:row>
    <x:row r="97">
      <x:c r="A97" t="str">
        <x:v>ON</x:v>
      </x:c>
      <x:c r="B97" t="n">
        <x:v>44561</x:v>
      </x:c>
      <x:c r="C97" t="n">
        <x:v>44564</x:v>
      </x:c>
      <x:c r="D97" t="n">
        <x:v>44592</x:v>
      </x:c>
      <x:c r="E97" t="n">
        <x:v>28</x:v>
      </x:c>
      <x:c r="F97" t="str">
        <x:v>enter_or_hold</x:v>
      </x:c>
      <x:c r="G97" t="str">
        <x:v>market_filter_failed</x:v>
      </x:c>
      <x:c r="H97" t="n">
        <x:v>2</x:v>
      </x:c>
      <x:c r="I97" t="n">
        <x:v>51.901865329991125</x:v>
      </x:c>
      <x:c r="J97" t="n">
        <x:v>52.381470473799865</x:v>
      </x:c>
      <x:c r="K97" t="n">
        <x:v>70.16999816894531</x:v>
      </x:c>
      <x:c r="L97" t="n">
        <x:v>59</x:v>
      </x:c>
      <x:c r="M97" t="n">
        <x:v>3675.6076872331996</x:v>
      </x:c>
      <x:c r="N97" t="n">
        <x:v>3090.506757954192</x:v>
      </x:c>
      <x:c r="O97" t="n">
        <x:v>8.821458449359678</x:v>
      </x:c>
      <x:c r="P97" t="n">
        <x:v>7.41721621909006</x:v>
      </x:c>
      <x:c r="Q97" t="n">
        <x:v>70.16999816894531</x:v>
      </x:c>
      <x:c r="R97" t="n">
        <x:v>-15.91848148841587</x:v>
      </x:c>
      <x:c r="S97" t="n">
        <x:v>-15.91848148841587</x:v>
      </x:c>
      <x:c r="T97" t="n">
        <x:v>-16.398481488415868</x:v>
      </x:c>
      <x:c r="U97" t="n">
        <x:f>YEAR(C97)</x:f>
        <x:v>2022</x:v>
      </x:c>
      <x:c r="V97" t="n">
        <x:f>YEAR(D97)</x:f>
        <x:v>2022</x:v>
      </x:c>
      <x:c r="W97" t="n">
        <x:f>N97-M97-O97-P97</x:f>
        <x:v>-601.3396039474574</x:v>
      </x:c>
      <x:c r="X97" t="str">
        <x:f>IF(T97&gt;1,"Ganador",IF(T97&lt;0,"Perdedor","Empate"))</x:f>
        <x:v>Perdedor</x:v>
      </x:c>
    </x:row>
    <x:row r="98">
      <x:c r="A98" t="str">
        <x:v>COP</x:v>
      </x:c>
      <x:c r="B98" t="n">
        <x:v>44645</x:v>
      </x:c>
      <x:c r="C98" t="n">
        <x:v>44648</x:v>
      </x:c>
      <x:c r="D98" t="n">
        <x:v>44683</x:v>
      </x:c>
      <x:c r="E98" t="n">
        <x:v>35</x:v>
      </x:c>
      <x:c r="F98" t="str">
        <x:v>enter_or_hold</x:v>
      </x:c>
      <x:c r="G98" t="str">
        <x:v>market_filter_failed</x:v>
      </x:c>
      <x:c r="H98" t="n">
        <x:v>6</x:v>
      </x:c>
      <x:c r="I98" t="n">
        <x:v>55.50325771897617</x:v>
      </x:c>
      <x:c r="J98" t="n">
        <x:v>31.892591021620653</x:v>
      </x:c>
      <x:c r="K98" t="n">
        <x:v>103.5</x:v>
      </x:c>
      <x:c r="L98" t="n">
        <x:v>95.91999816894533</x:v>
      </x:c>
      <x:c r="M98" t="n">
        <x:v>3300.8831707377376</x:v>
      </x:c>
      <x:c r="N98" t="n">
        <x:v>3059.137272396775</x:v>
      </x:c>
      <x:c r="O98" t="n">
        <x:v>7.9221196097705695</x:v>
      </x:c>
      <x:c r="P98" t="n">
        <x:v>7.34192945375226</x:v>
      </x:c>
      <x:c r="Q98" t="n">
        <x:v>103.5</x:v>
      </x:c>
      <x:c r="R98" t="n">
        <x:v>-7.323673266719489</x:v>
      </x:c>
      <x:c r="S98" t="n">
        <x:v>-7.323673266719489</x:v>
      </x:c>
      <x:c r="T98" t="n">
        <x:v>-7.803673266719489</x:v>
      </x:c>
      <x:c r="U98" t="n">
        <x:f>YEAR(C98)</x:f>
        <x:v>2022</x:v>
      </x:c>
      <x:c r="V98" t="n">
        <x:f>YEAR(D98)</x:f>
        <x:v>2022</x:v>
      </x:c>
      <x:c r="W98" t="n">
        <x:f>N98-M98-O98-P98</x:f>
        <x:v>-257.0099474044852</x:v>
      </x:c>
      <x:c r="X98" t="str">
        <x:f>IF(T98&gt;1,"Ganador",IF(T98&lt;0,"Perdedor","Empate"))</x:f>
        <x:v>Perdedor</x:v>
      </x:c>
    </x:row>
    <x:row r="99">
      <x:c r="A99" t="str">
        <x:v>DVN</x:v>
      </x:c>
      <x:c r="B99" t="n">
        <x:v>44645</x:v>
      </x:c>
      <x:c r="C99" t="n">
        <x:v>44648</x:v>
      </x:c>
      <x:c r="D99" t="n">
        <x:v>44683</x:v>
      </x:c>
      <x:c r="E99" t="n">
        <x:v>35</x:v>
      </x:c>
      <x:c r="F99" t="str">
        <x:v>enter_or_hold</x:v>
      </x:c>
      <x:c r="G99" t="str">
        <x:v>market_filter_failed</x:v>
      </x:c>
      <x:c r="H99" t="n">
        <x:v>3</x:v>
      </x:c>
      <x:c r="I99" t="n">
        <x:v>68.33621664388659</x:v>
      </x:c>
      <x:c r="J99" t="n">
        <x:v>54.605179968193404</x:v>
      </x:c>
      <x:c r="K99" t="n">
        <x:v>60.45000076293945</x:v>
      </x:c>
      <x:c r="L99" t="n">
        <x:v>58.34999847412109</x:v>
      </x:c>
      <x:c r="M99" t="n">
        <x:v>3300.8831707377376</x:v>
      </x:c>
      <x:c r="N99" t="n">
        <x:v>3186.2121678231924</x:v>
      </x:c>
      <x:c r="O99" t="n">
        <x:v>7.9221196097705695</x:v>
      </x:c>
      <x:c r="P99" t="n">
        <x:v>7.646909202775661</x:v>
      </x:c>
      <x:c r="Q99" t="n">
        <x:v>60.45000076293945</x:v>
      </x:c>
      <x:c r="R99" t="n">
        <x:v>-3.473949151884592</x:v>
      </x:c>
      <x:c r="S99" t="n">
        <x:v>-3.473949151884592</x:v>
      </x:c>
      <x:c r="T99" t="n">
        <x:v>-3.953949151884592</x:v>
      </x:c>
      <x:c r="U99" t="n">
        <x:f>YEAR(C99)</x:f>
        <x:v>2022</x:v>
      </x:c>
      <x:c r="V99" t="n">
        <x:f>YEAR(D99)</x:f>
        <x:v>2022</x:v>
      </x:c>
      <x:c r="W99" t="n">
        <x:f>N99-M99-O99-P99</x:f>
        <x:v>-130.2400317270914</x:v>
      </x:c>
      <x:c r="X99" t="str">
        <x:f>IF(T99&gt;1,"Ganador",IF(T99&lt;0,"Perdedor","Empate"))</x:f>
        <x:v>Perdedor</x:v>
      </x:c>
    </x:row>
    <x:row r="100">
      <x:c r="A100" t="str">
        <x:v>EQT</x:v>
      </x:c>
      <x:c r="B100" t="n">
        <x:v>44645</x:v>
      </x:c>
      <x:c r="C100" t="n">
        <x:v>44648</x:v>
      </x:c>
      <x:c r="D100" t="n">
        <x:v>44683</x:v>
      </x:c>
      <x:c r="E100" t="n">
        <x:v>35</x:v>
      </x:c>
      <x:c r="F100" t="str">
        <x:v>enter_or_hold</x:v>
      </x:c>
      <x:c r="G100" t="str">
        <x:v>market_filter_failed</x:v>
      </x:c>
      <x:c r="H100" t="n">
        <x:v>4</x:v>
      </x:c>
      <x:c r="I100" t="n">
        <x:v>62.68512052962936</x:v>
      </x:c>
      <x:c r="J100" t="n">
        <x:v>94.58117554207212</x:v>
      </x:c>
      <x:c r="K100" t="n">
        <x:v>34.900001525878906</x:v>
      </x:c>
      <x:c r="L100" t="n">
        <x:v>39.45000076293945</x:v>
      </x:c>
      <x:c r="M100" t="n">
        <x:v>3300.8831707377376</x:v>
      </x:c>
      <x:c r="N100" t="n">
        <x:v>3731.2274472944555</x:v>
      </x:c>
      <x:c r="O100" t="n">
        <x:v>7.9221196097705695</x:v>
      </x:c>
      <x:c r="P100" t="n">
        <x:v>8.954945873506693</x:v>
      </x:c>
      <x:c r="Q100" t="n">
        <x:v>34.900001525878906</x:v>
      </x:c>
      <x:c r="R100" t="n">
        <x:v>13.037246527587264</x:v>
      </x:c>
      <x:c r="S100" t="n">
        <x:v>13.037246527587264</x:v>
      </x:c>
      <x:c r="T100" t="n">
        <x:v>12.557246527587264</x:v>
      </x:c>
      <x:c r="U100" t="n">
        <x:f>YEAR(C100)</x:f>
        <x:v>2022</x:v>
      </x:c>
      <x:c r="V100" t="n">
        <x:f>YEAR(D100)</x:f>
        <x:v>2022</x:v>
      </x:c>
      <x:c r="W100" t="n">
        <x:f>N100-M100-O100-P100</x:f>
        <x:v>413.46721107344064</x:v>
      </x:c>
      <x:c r="X100" t="str">
        <x:f>IF(T100&gt;1,"Ganador",IF(T100&lt;0,"Perdedor","Empate"))</x:f>
        <x:v>Ganador</x:v>
      </x:c>
    </x:row>
    <x:row r="101">
      <x:c r="A101" t="str">
        <x:v>HAL</x:v>
      </x:c>
      <x:c r="B101" t="n">
        <x:v>44645</x:v>
      </x:c>
      <x:c r="C101" t="n">
        <x:v>44648</x:v>
      </x:c>
      <x:c r="D101" t="n">
        <x:v>44683</x:v>
      </x:c>
      <x:c r="E101" t="n">
        <x:v>35</x:v>
      </x:c>
      <x:c r="F101" t="str">
        <x:v>enter_or_hold</x:v>
      </x:c>
      <x:c r="G101" t="str">
        <x:v>market_filter_failed</x:v>
      </x:c>
      <x:c r="H101" t="n">
        <x:v>5</x:v>
      </x:c>
      <x:c r="I101" t="n">
        <x:v>58.79545885243316</x:v>
      </x:c>
      <x:c r="J101" t="n">
        <x:v>88.44810283306421</x:v>
      </x:c>
      <x:c r="K101" t="n">
        <x:v>37.31999969482422</x:v>
      </x:c>
      <x:c r="L101" t="n">
        <x:v>35.959999084472656</x:v>
      </x:c>
      <x:c r="M101" t="n">
        <x:v>3300.8831707377376</x:v>
      </x:c>
      <x:c r="N101" t="n">
        <x:v>3180.5936969003324</x:v>
      </x:c>
      <x:c r="O101" t="n">
        <x:v>7.9221196097705695</x:v>
      </x:c>
      <x:c r="P101" t="n">
        <x:v>7.633424872560797</x:v>
      </x:c>
      <x:c r="Q101" t="n">
        <x:v>37.31999969482422</x:v>
      </x:c>
      <x:c r="R101" t="n">
        <x:v>-3.644160293335097</x:v>
      </x:c>
      <x:c r="S101" t="n">
        <x:v>-3.644160293335097</x:v>
      </x:c>
      <x:c r="T101" t="n">
        <x:v>-4.1241602933350965</x:v>
      </x:c>
      <x:c r="U101" t="n">
        <x:f>YEAR(C101)</x:f>
        <x:v>2022</x:v>
      </x:c>
      <x:c r="V101" t="n">
        <x:f>YEAR(D101)</x:f>
        <x:v>2022</x:v>
      </x:c>
      <x:c r="W101" t="n">
        <x:f>N101-M101-O101-P101</x:f>
        <x:v>-135.8450183197366</x:v>
      </x:c>
      <x:c r="X101" t="str">
        <x:f>IF(T101&gt;1,"Ganador",IF(T101&lt;0,"Perdedor","Empate"))</x:f>
        <x:v>Perdedor</x:v>
      </x:c>
    </x:row>
    <x:row r="102">
      <x:c r="A102" t="str">
        <x:v>MOS</x:v>
      </x:c>
      <x:c r="B102" t="n">
        <x:v>44645</x:v>
      </x:c>
      <x:c r="C102" t="n">
        <x:v>44648</x:v>
      </x:c>
      <x:c r="D102" t="n">
        <x:v>44683</x:v>
      </x:c>
      <x:c r="E102" t="n">
        <x:v>35</x:v>
      </x:c>
      <x:c r="F102" t="str">
        <x:v>enter_or_hold</x:v>
      </x:c>
      <x:c r="G102" t="str">
        <x:v>market_filter_failed</x:v>
      </x:c>
      <x:c r="H102" t="n">
        <x:v>1</x:v>
      </x:c>
      <x:c r="I102" t="n">
        <x:v>85.81753225425113</x:v>
      </x:c>
      <x:c r="J102" t="n">
        <x:v>48.56382391431111</x:v>
      </x:c>
      <x:c r="K102" t="n">
        <x:v>67.97000122070312</x:v>
      </x:c>
      <x:c r="L102" t="n">
        <x:v>62.400001525878906</x:v>
      </x:c>
      <x:c r="M102" t="n">
        <x:v>3300.8831707377376</x:v>
      </x:c>
      <x:c r="N102" t="n">
        <x:v>3030.3826863555278</x:v>
      </x:c>
      <x:c r="O102" t="n">
        <x:v>7.9221196097705695</x:v>
      </x:c>
      <x:c r="P102" t="n">
        <x:v>7.272918447253266</x:v>
      </x:c>
      <x:c r="Q102" t="n">
        <x:v>67.97000122070312</x:v>
      </x:c>
      <x:c r="R102" t="n">
        <x:v>-8.1947912237607</x:v>
      </x:c>
      <x:c r="S102" t="n">
        <x:v>-8.1947912237607</x:v>
      </x:c>
      <x:c r="T102" t="n">
        <x:v>-8.6747912237607</x:v>
      </x:c>
      <x:c r="U102" t="n">
        <x:f>YEAR(C102)</x:f>
        <x:v>2022</x:v>
      </x:c>
      <x:c r="V102" t="n">
        <x:f>YEAR(D102)</x:f>
        <x:v>2022</x:v>
      </x:c>
      <x:c r="W102" t="n">
        <x:f>N102-M102-O102-P102</x:f>
        <x:v>-285.6955224392337</x:v>
      </x:c>
      <x:c r="X102" t="str">
        <x:f>IF(T102&gt;1,"Ganador",IF(T102&lt;0,"Perdedor","Empate"))</x:f>
        <x:v>Perdedor</x:v>
      </x:c>
    </x:row>
    <x:row r="103">
      <x:c r="A103" t="str">
        <x:v>OXY</x:v>
      </x:c>
      <x:c r="B103" t="n">
        <x:v>44645</x:v>
      </x:c>
      <x:c r="C103" t="n">
        <x:v>44648</x:v>
      </x:c>
      <x:c r="D103" t="n">
        <x:v>44683</x:v>
      </x:c>
      <x:c r="E103" t="n">
        <x:v>35</x:v>
      </x:c>
      <x:c r="F103" t="str">
        <x:v>enter_or_hold</x:v>
      </x:c>
      <x:c r="G103" t="str">
        <x:v>market_filter_failed</x:v>
      </x:c>
      <x:c r="H103" t="n">
        <x:v>2</x:v>
      </x:c>
      <x:c r="I103" t="n">
        <x:v>83.8366407373593</x:v>
      </x:c>
      <x:c r="J103" t="n">
        <x:v>58.27830519611568</x:v>
      </x:c>
      <x:c r="K103" t="n">
        <x:v>56.63999938964844</x:v>
      </x:c>
      <x:c r="L103" t="n">
        <x:v>58.29999923706055</x:v>
      </x:c>
      <x:c r="M103" t="n">
        <x:v>3300.8831707377376</x:v>
      </x:c>
      <x:c r="N103" t="n">
        <x:v>3397.625148470726</x:v>
      </x:c>
      <x:c r="O103" t="n">
        <x:v>7.9221196097705695</x:v>
      </x:c>
      <x:c r="P103" t="n">
        <x:v>8.154300356329742</x:v>
      </x:c>
      <x:c r="Q103" t="n">
        <x:v>56.63999938964844</x:v>
      </x:c>
      <x:c r="R103" t="n">
        <x:v>2.930790722634602</x:v>
      </x:c>
      <x:c r="S103" t="n">
        <x:v>2.930790722634602</x:v>
      </x:c>
      <x:c r="T103" t="n">
        <x:v>2.450790722634602</x:v>
      </x:c>
      <x:c r="U103" t="n">
        <x:f>YEAR(C103)</x:f>
        <x:v>2022</x:v>
      </x:c>
      <x:c r="V103" t="n">
        <x:f>YEAR(D103)</x:f>
        <x:v>2022</x:v>
      </x:c>
      <x:c r="W103" t="n">
        <x:f>N103-M103-O103-P103</x:f>
        <x:v>80.66555776688797</x:v>
      </x:c>
      <x:c r="X103" t="str">
        <x:f>IF(T103&gt;1,"Ganador",IF(T103&lt;0,"Perdedor","Empate"))</x:f>
        <x:v>Ganador</x:v>
      </x:c>
    </x:row>
    <x:row r="104">
      <x:c r="A104" t="str">
        <x:v>MCK</x:v>
      </x:c>
      <x:c r="B104" t="n">
        <x:v>44771</x:v>
      </x:c>
      <x:c r="C104" t="n">
        <x:v>44774</x:v>
      </x:c>
      <x:c r="D104" t="n">
        <x:v>44802</x:v>
      </x:c>
      <x:c r="E104" t="n">
        <x:v>28</x:v>
      </x:c>
      <x:c r="F104" t="str">
        <x:v>enter_or_hold</x:v>
      </x:c>
      <x:c r="G104" t="str">
        <x:v>left_top_n</x:v>
      </x:c>
      <x:c r="H104" t="n">
        <x:v>6</x:v>
      </x:c>
      <x:c r="I104" t="n">
        <x:v>28.846402285247287</x:v>
      </x:c>
      <x:c r="J104" t="n">
        <x:v>9.487079161823505</x:v>
      </x:c>
      <x:c r="K104" t="n">
        <x:v>342.4200134277344</x:v>
      </x:c>
      <x:c r="L104" t="n">
        <x:v>363.0199890136719</x:v>
      </x:c>
      <x:c r="M104" t="n">
        <x:v>3248.565773981584</x:v>
      </x:c>
      <x:c r="N104" t="n">
        <x:v>3443.999373097004</x:v>
      </x:c>
      <x:c r="O104" t="n">
        <x:v>7.7965578575558006</x:v>
      </x:c>
      <x:c r="P104" t="n">
        <x:v>8.265598495432808</x:v>
      </x:c>
      <x:c r="Q104" t="n">
        <x:v>342.4200134277344</x:v>
      </x:c>
      <x:c r="R104" t="n">
        <x:v>6.015996372327992</x:v>
      </x:c>
      <x:c r="S104" t="n">
        <x:v>6.015996372327992</x:v>
      </x:c>
      <x:c r="T104" t="n">
        <x:v>5.5359963723279915</x:v>
      </x:c>
      <x:c r="U104" t="n">
        <x:f>YEAR(C104)</x:f>
        <x:v>2022</x:v>
      </x:c>
      <x:c r="V104" t="n">
        <x:f>YEAR(D104)</x:f>
        <x:v>2022</x:v>
      </x:c>
      <x:c r="W104" t="n">
        <x:f>N104-M104-O104-P104</x:f>
        <x:v>179.37144276243168</x:v>
      </x:c>
      <x:c r="X104" t="str">
        <x:f>IF(T104&gt;1,"Ganador",IF(T104&lt;0,"Perdedor","Empate"))</x:f>
        <x:v>Ganador</x:v>
      </x:c>
    </x:row>
    <x:row r="105">
      <x:c r="A105" t="str">
        <x:v>TPL</x:v>
      </x:c>
      <x:c r="B105" t="n">
        <x:v>44771</x:v>
      </x:c>
      <x:c r="C105" t="n">
        <x:v>44774</x:v>
      </x:c>
      <x:c r="D105" t="n">
        <x:v>44802</x:v>
      </x:c>
      <x:c r="E105" t="n">
        <x:v>28</x:v>
      </x:c>
      <x:c r="F105" t="str">
        <x:v>enter_or_hold</x:v>
      </x:c>
      <x:c r="G105" t="str">
        <x:v>left_top_n</x:v>
      </x:c>
      <x:c r="H105" t="n">
        <x:v>3</x:v>
      </x:c>
      <x:c r="I105" t="n">
        <x:v>36.55711892004663</x:v>
      </x:c>
      <x:c r="J105" t="n">
        <x:v>16.04723120211372</x:v>
      </x:c>
      <x:c r="K105" t="n">
        <x:v>202.43777465820312</x:v>
      </x:c>
      <x:c r="L105" t="n">
        <x:v>205.80999755859372</x:v>
      </x:c>
      <x:c r="M105" t="n">
        <x:v>3248.565773981584</x:v>
      </x:c>
      <x:c r="N105" t="n">
        <x:v>3302.680614529214</x:v>
      </x:c>
      <x:c r="O105" t="n">
        <x:v>7.7965578575558006</x:v>
      </x:c>
      <x:c r="P105" t="n">
        <x:v>7.926433474870112</x:v>
      </x:c>
      <x:c r="Q105" t="n">
        <x:v>202.43777465820312</x:v>
      </x:c>
      <x:c r="R105" t="n">
        <x:v>1.665807138062192</x:v>
      </x:c>
      <x:c r="S105" t="n">
        <x:v>1.665807138062192</x:v>
      </x:c>
      <x:c r="T105" t="n">
        <x:v>1.185807138062192</x:v>
      </x:c>
      <x:c r="U105" t="n">
        <x:f>YEAR(C105)</x:f>
        <x:v>2022</x:v>
      </x:c>
      <x:c r="V105" t="n">
        <x:f>YEAR(D105)</x:f>
        <x:v>2022</x:v>
      </x:c>
      <x:c r="W105" t="n">
        <x:f>N105-M105-O105-P105</x:f>
        <x:v>38.39184921520423</x:v>
      </x:c>
      <x:c r="X105" t="str">
        <x:f>IF(T105&gt;1,"Ganador",IF(T105&lt;0,"Perdedor","Empate"))</x:f>
        <x:v>Ganador</x:v>
      </x:c>
    </x:row>
    <x:row r="106">
      <x:c r="A106" t="str">
        <x:v>XOM</x:v>
      </x:c>
      <x:c r="B106" t="n">
        <x:v>44771</x:v>
      </x:c>
      <x:c r="C106" t="n">
        <x:v>44774</x:v>
      </x:c>
      <x:c r="D106" t="n">
        <x:v>44802</x:v>
      </x:c>
      <x:c r="E106" t="n">
        <x:v>28</x:v>
      </x:c>
      <x:c r="F106" t="str">
        <x:v>enter_or_hold</x:v>
      </x:c>
      <x:c r="G106" t="str">
        <x:v>left_top_n</x:v>
      </x:c>
      <x:c r="H106" t="n">
        <x:v>4</x:v>
      </x:c>
      <x:c r="I106" t="n">
        <x:v>30.38504910468396</x:v>
      </x:c>
      <x:c r="J106" t="n">
        <x:v>34.38363313461061</x:v>
      </x:c>
      <x:c r="K106" t="n">
        <x:v>94.4800033569336</x:v>
      </x:c>
      <x:c r="L106" t="n">
        <x:v>100.12000274658205</x:v>
      </x:c>
      <x:c r="M106" t="n">
        <x:v>3248.565773981584</x:v>
      </x:c>
      <x:c r="N106" t="n">
        <x:v>3442.4894438746837</x:v>
      </x:c>
      <x:c r="O106" t="n">
        <x:v>7.7965578575558006</x:v>
      </x:c>
      <x:c r="P106" t="n">
        <x:v>8.26197466529924</x:v>
      </x:c>
      <x:c r="Q106" t="n">
        <x:v>94.4800033569336</x:v>
      </x:c>
      <x:c r="R106" t="n">
        <x:v>5.969516500059013</x:v>
      </x:c>
      <x:c r="S106" t="n">
        <x:v>5.969516500059013</x:v>
      </x:c>
      <x:c r="T106" t="n">
        <x:v>5.489516500059013</x:v>
      </x:c>
      <x:c r="U106" t="n">
        <x:f>YEAR(C106)</x:f>
        <x:v>2022</x:v>
      </x:c>
      <x:c r="V106" t="n">
        <x:f>YEAR(D106)</x:f>
        <x:v>2022</x:v>
      </x:c>
      <x:c r="W106" t="n">
        <x:f>N106-M106-O106-P106</x:f>
        <x:v>177.8651373702449</x:v>
      </x:c>
      <x:c r="X106" t="str">
        <x:f>IF(T106&gt;1,"Ganador",IF(T106&lt;0,"Perdedor","Empate"))</x:f>
        <x:v>Ganador</x:v>
      </x:c>
    </x:row>
    <x:row r="107">
      <x:c r="A107" t="str">
        <x:v>EQT</x:v>
      </x:c>
      <x:c r="B107" t="n">
        <x:v>44771</x:v>
      </x:c>
      <x:c r="C107" t="n">
        <x:v>44774</x:v>
      </x:c>
      <x:c r="D107" t="n">
        <x:v>44802</x:v>
      </x:c>
      <x:c r="E107" t="n">
        <x:v>28</x:v>
      </x:c>
      <x:c r="F107" t="str">
        <x:v>enter_or_hold</x:v>
      </x:c>
      <x:c r="G107" t="str">
        <x:v>rebalance_trim</x:v>
      </x:c>
      <x:c r="H107" t="n">
        <x:v>1</x:v>
      </x:c>
      <x:c r="I107" t="n">
        <x:v>57.05798786133751</x:v>
      </x:c>
      <x:c r="J107" t="n">
        <x:v>4.042565059604919</x:v>
      </x:c>
      <x:c r="K107" t="n">
        <x:v>42.310001373291016</x:v>
      </x:c>
      <x:c r="L107" t="n">
        <x:v>50.0099983215332</x:v>
      </x:c>
      <x:c r="M107" t="n">
        <x:v>171.0409332235024</x:v>
      </x:c>
      <x:c r="N107" t="n">
        <x:v>202.16867184553078</x:v>
      </x:c>
      <x:c r="O107" t="n">
        <x:v>0.4104982397364057</x:v>
      </x:c>
      <x:c r="P107" t="n">
        <x:v>0.4852048124292738</x:v>
      </x:c>
      <x:c r="Q107" t="n">
        <x:v>42.310001373291016</x:v>
      </x:c>
      <x:c r="R107" t="n">
        <x:v>18.198999523320648</x:v>
      </x:c>
      <x:c r="S107" t="n">
        <x:v>18.198999523320648</x:v>
      </x:c>
      <x:c r="T107" t="n">
        <x:v>17.718999523320647</x:v>
      </x:c>
      <x:c r="U107" t="n">
        <x:f>YEAR(C107)</x:f>
        <x:v>2022</x:v>
      </x:c>
      <x:c r="V107" t="n">
        <x:f>YEAR(D107)</x:f>
        <x:v>2022</x:v>
      </x:c>
      <x:c r="W107" t="n">
        <x:f>N107-M107-O107-P107</x:f>
        <x:v>30.232035569862695</x:v>
      </x:c>
      <x:c r="X107" t="str">
        <x:f>IF(T107&gt;1,"Ganador",IF(T107&lt;0,"Perdedor","Empate"))</x:f>
        <x:v>Ganador</x:v>
      </x:c>
    </x:row>
    <x:row r="108">
      <x:c r="A108" t="str">
        <x:v>OXY</x:v>
      </x:c>
      <x:c r="B108" t="n">
        <x:v>44771</x:v>
      </x:c>
      <x:c r="C108" t="n">
        <x:v>44774</x:v>
      </x:c>
      <x:c r="D108" t="n">
        <x:v>44802</x:v>
      </x:c>
      <x:c r="E108" t="n">
        <x:v>28</x:v>
      </x:c>
      <x:c r="F108" t="str">
        <x:v>enter_or_hold</x:v>
      </x:c>
      <x:c r="G108" t="str">
        <x:v>rebalance_trim</x:v>
      </x:c>
      <x:c r="H108" t="n">
        <x:v>2</x:v>
      </x:c>
      <x:c r="I108" t="n">
        <x:v>50.0206224925192</x:v>
      </x:c>
      <x:c r="J108" t="n">
        <x:v>1.467888642826002</x:v>
      </x:c>
      <x:c r="K108" t="n">
        <x:v>65.2300033569336</x:v>
      </x:c>
      <x:c r="L108" t="n">
        <x:v>75.26000213623047</x:v>
      </x:c>
      <x:c r="M108" t="n">
        <x:v>95.75038109914482</x:v>
      </x:c>
      <x:c r="N108" t="n">
        <x:v>110.47330239483335</x:v>
      </x:c>
      <x:c r="O108" t="n">
        <x:v>0.22980091463794755</x:v>
      </x:c>
      <x:c r="P108" t="n">
        <x:v>0.26513592574760003</x:v>
      </x:c>
      <x:c r="Q108" t="n">
        <x:v>65.2300033569336</x:v>
      </x:c>
      <x:c r="R108" t="n">
        <x:v>15.376357907592752</x:v>
      </x:c>
      <x:c r="S108" t="n">
        <x:v>15.376357907592752</x:v>
      </x:c>
      <x:c r="T108" t="n">
        <x:v>14.896357907592751</x:v>
      </x:c>
      <x:c r="U108" t="n">
        <x:f>YEAR(C108)</x:f>
        <x:v>2022</x:v>
      </x:c>
      <x:c r="V108" t="n">
        <x:f>YEAR(D108)</x:f>
        <x:v>2022</x:v>
      </x:c>
      <x:c r="W108" t="n">
        <x:f>N108-M108-O108-P108</x:f>
        <x:v>14.22798445530299</x:v>
      </x:c>
      <x:c r="X108" t="str">
        <x:f>IF(T108&gt;1,"Ganador",IF(T108&lt;0,"Perdedor","Empate"))</x:f>
        <x:v>Ganador</x:v>
      </x:c>
    </x:row>
    <x:row r="109">
      <x:c r="A109" t="str">
        <x:v>SMCI</x:v>
      </x:c>
      <x:c r="B109" t="n">
        <x:v>44771</x:v>
      </x:c>
      <x:c r="C109" t="n">
        <x:v>44774</x:v>
      </x:c>
      <x:c r="D109" t="n">
        <x:v>44802</x:v>
      </x:c>
      <x:c r="E109" t="n">
        <x:v>28</x:v>
      </x:c>
      <x:c r="F109" t="str">
        <x:v>enter_or_hold</x:v>
      </x:c>
      <x:c r="G109" t="str">
        <x:v>rebalance_trim</x:v>
      </x:c>
      <x:c r="H109" t="n">
        <x:v>5</x:v>
      </x:c>
      <x:c r="I109" t="n">
        <x:v>29.42428952782592</x:v>
      </x:c>
      <x:c r="J109" t="n">
        <x:v>62.87226523715029</x:v>
      </x:c>
      <x:c r="K109" t="n">
        <x:v>5.52400016784668</x:v>
      </x:c>
      <x:c r="L109" t="n">
        <x:v>6.926000118255615</x:v>
      </x:c>
      <x:c r="M109" t="n">
        <x:v>347.3064037229192</x:v>
      </x:c>
      <x:c r="N109" t="n">
        <x:v>435.4533164675013</x:v>
      </x:c>
      <x:c r="O109" t="n">
        <x:v>0.833535368935006</x:v>
      </x:c>
      <x:c r="P109" t="n">
        <x:v>1.045087959522003</x:v>
      </x:c>
      <x:c r="Q109" t="n">
        <x:v>5.52400016784668</x:v>
      </x:c>
      <x:c r="R109" t="n">
        <x:v>25.38015763593744</x:v>
      </x:c>
      <x:c r="S109" t="n">
        <x:v>25.38015763593744</x:v>
      </x:c>
      <x:c r="T109" t="n">
        <x:v>24.90015763593744</x:v>
      </x:c>
      <x:c r="U109" t="n">
        <x:f>YEAR(C109)</x:f>
        <x:v>2022</x:v>
      </x:c>
      <x:c r="V109" t="n">
        <x:f>YEAR(D109)</x:f>
        <x:v>2022</x:v>
      </x:c>
      <x:c r="W109" t="n">
        <x:f>N109-M109-O109-P109</x:f>
        <x:v>86.26828941612509</x:v>
      </x:c>
      <x:c r="X109" t="str">
        <x:f>IF(T109&gt;1,"Ganador",IF(T109&lt;0,"Perdedor","Empate"))</x:f>
        <x:v>Ganador</x:v>
      </x:c>
    </x:row>
    <x:row r="110">
      <x:c r="A110" t="str">
        <x:v>EQT</x:v>
      </x:c>
      <x:c r="B110" t="n">
        <x:v>44771</x:v>
      </x:c>
      <x:c r="C110" t="n">
        <x:v>44774</x:v>
      </x:c>
      <x:c r="D110" t="n">
        <x:v>44837</x:v>
      </x:c>
      <x:c r="E110" t="n">
        <x:v>63</x:v>
      </x:c>
      <x:c r="F110" t="str">
        <x:v>enter_or_hold</x:v>
      </x:c>
      <x:c r="G110" t="str">
        <x:v>market_filter_failed</x:v>
      </x:c>
      <x:c r="H110" t="n">
        <x:v>1</x:v>
      </x:c>
      <x:c r="I110" t="n">
        <x:v>57.05798786133751</x:v>
      </x:c>
      <x:c r="J110" t="n">
        <x:v>72.7375263736301</x:v>
      </x:c>
      <x:c r="K110" t="n">
        <x:v>42.310001373291016</x:v>
      </x:c>
      <x:c r="L110" t="n">
        <x:v>41.75</x:v>
      </x:c>
      <x:c r="M110" t="n">
        <x:v>3077.524840758081</x:v>
      </x:c>
      <x:c r="N110" t="n">
        <x:v>3036.7917260990566</x:v>
      </x:c>
      <x:c r="O110" t="n">
        <x:v>7.386059617819395</x:v>
      </x:c>
      <x:c r="P110" t="n">
        <x:v>7.288300142637735</x:v>
      </x:c>
      <x:c r="Q110" t="n">
        <x:v>42.310001373291016</x:v>
      </x:c>
      <x:c r="R110" t="n">
        <x:v>-1.323567372050538</x:v>
      </x:c>
      <x:c r="S110" t="n">
        <x:v>-1.323567372050538</x:v>
      </x:c>
      <x:c r="T110" t="n">
        <x:v>-1.803567372050538</x:v>
      </x:c>
      <x:c r="U110" t="n">
        <x:f>YEAR(C110)</x:f>
        <x:v>2022</x:v>
      </x:c>
      <x:c r="V110" t="n">
        <x:f>YEAR(D110)</x:f>
        <x:v>2022</x:v>
      </x:c>
      <x:c r="W110" t="n">
        <x:f>N110-M110-O110-P110</x:f>
        <x:v>-55.40747441948166</x:v>
      </x:c>
      <x:c r="X110" t="str">
        <x:f>IF(T110&gt;1,"Ganador",IF(T110&lt;0,"Perdedor","Empate"))</x:f>
        <x:v>Perdedor</x:v>
      </x:c>
    </x:row>
    <x:row r="111">
      <x:c r="A111" t="str">
        <x:v>OXY</x:v>
      </x:c>
      <x:c r="B111" t="n">
        <x:v>44771</x:v>
      </x:c>
      <x:c r="C111" t="n">
        <x:v>44774</x:v>
      </x:c>
      <x:c r="D111" t="n">
        <x:v>44837</x:v>
      </x:c>
      <x:c r="E111" t="n">
        <x:v>63</x:v>
      </x:c>
      <x:c r="F111" t="str">
        <x:v>enter_or_hold</x:v>
      </x:c>
      <x:c r="G111" t="str">
        <x:v>market_filter_failed</x:v>
      </x:c>
      <x:c r="H111" t="n">
        <x:v>2</x:v>
      </x:c>
      <x:c r="I111" t="n">
        <x:v>50.0206224925192</x:v>
      </x:c>
      <x:c r="J111" t="n">
        <x:v>48.333822330660844</x:v>
      </x:c>
      <x:c r="K111" t="n">
        <x:v>65.2300033569336</x:v>
      </x:c>
      <x:c r="L111" t="n">
        <x:v>64.05999755859375</x:v>
      </x:c>
      <x:c r="M111" t="n">
        <x:v>3152.815392882439</x:v>
      </x:c>
      <x:c r="N111" t="n">
        <x:v>3096.264540499638</x:v>
      </x:c>
      <x:c r="O111" t="n">
        <x:v>7.566756942917853</x:v>
      </x:c>
      <x:c r="P111" t="n">
        <x:v>7.4310348971991305</x:v>
      </x:c>
      <x:c r="Q111" t="n">
        <x:v>65.2300033569336</x:v>
      </x:c>
      <x:c r="R111" t="n">
        <x:v>-1.7936620238046874</x:v>
      </x:c>
      <x:c r="S111" t="n">
        <x:v>-1.7936620238046874</x:v>
      </x:c>
      <x:c r="T111" t="n">
        <x:v>-2.2736620238046874</x:v>
      </x:c>
      <x:c r="U111" t="n">
        <x:f>YEAR(C111)</x:f>
        <x:v>2022</x:v>
      </x:c>
      <x:c r="V111" t="n">
        <x:f>YEAR(D111)</x:f>
        <x:v>2022</x:v>
      </x:c>
      <x:c r="W111" t="n">
        <x:f>N111-M111-O111-P111</x:f>
        <x:v>-71.54864422291814</x:v>
      </x:c>
      <x:c r="X111" t="str">
        <x:f>IF(T111&gt;1,"Ganador",IF(T111&lt;0,"Perdedor","Empate"))</x:f>
        <x:v>Perdedor</x:v>
      </x:c>
    </x:row>
    <x:row r="112">
      <x:c r="A112" t="str">
        <x:v>SMCI</x:v>
      </x:c>
      <x:c r="B112" t="n">
        <x:v>44771</x:v>
      </x:c>
      <x:c r="C112" t="n">
        <x:v>44774</x:v>
      </x:c>
      <x:c r="D112" t="n">
        <x:v>44837</x:v>
      </x:c>
      <x:c r="E112" t="n">
        <x:v>63</x:v>
      </x:c>
      <x:c r="F112" t="str">
        <x:v>enter_or_hold</x:v>
      </x:c>
      <x:c r="G112" t="str">
        <x:v>market_filter_failed</x:v>
      </x:c>
      <x:c r="H112" t="n">
        <x:v>5</x:v>
      </x:c>
      <x:c r="I112" t="n">
        <x:v>29.42428952782592</x:v>
      </x:c>
      <x:c r="J112" t="n">
        <x:v>525.2098627994086</x:v>
      </x:c>
      <x:c r="K112" t="n">
        <x:v>5.52400016784668</x:v>
      </x:c>
      <x:c r="L112" t="n">
        <x:v>5.706999778747559</x:v>
      </x:c>
      <x:c r="M112" t="n">
        <x:v>2901.2593702586646</x:v>
      </x:c>
      <x:c r="N112" t="n">
        <x:v>2997.3725707922604</x:v>
      </x:c>
      <x:c r="O112" t="n">
        <x:v>6.963022488620794</x:v>
      </x:c>
      <x:c r="P112" t="n">
        <x:v>7.193694169901424</x:v>
      </x:c>
      <x:c r="Q112" t="n">
        <x:v>5.52400016784668</x:v>
      </x:c>
      <x:c r="R112" t="n">
        <x:v>3.3128096549680963</x:v>
      </x:c>
      <x:c r="S112" t="n">
        <x:v>3.3128096549680963</x:v>
      </x:c>
      <x:c r="T112" t="n">
        <x:v>2.8328096549680963</x:v>
      </x:c>
      <x:c r="U112" t="n">
        <x:f>YEAR(C112)</x:f>
        <x:v>2022</x:v>
      </x:c>
      <x:c r="V112" t="n">
        <x:f>YEAR(D112)</x:f>
        <x:v>2022</x:v>
      </x:c>
      <x:c r="W112" t="n">
        <x:f>N112-M112-O112-P112</x:f>
        <x:v>81.95648387507356</x:v>
      </x:c>
      <x:c r="X112" t="str">
        <x:f>IF(T112&gt;1,"Ganador",IF(T112&lt;0,"Perdedor","Empate"))</x:f>
        <x:v>Ganador</x:v>
      </x:c>
    </x:row>
    <x:row r="113">
      <x:c r="A113" t="str">
        <x:v>DVN</x:v>
      </x:c>
      <x:c r="B113" t="n">
        <x:v>44799</x:v>
      </x:c>
      <x:c r="C113" t="n">
        <x:v>44802</x:v>
      </x:c>
      <x:c r="D113" t="n">
        <x:v>44837</x:v>
      </x:c>
      <x:c r="E113" t="n">
        <x:v>35</x:v>
      </x:c>
      <x:c r="F113" t="str">
        <x:v>enter_or_hold</x:v>
      </x:c>
      <x:c r="G113" t="str">
        <x:v>market_filter_failed</x:v>
      </x:c>
      <x:c r="H113" t="n">
        <x:v>5</x:v>
      </x:c>
      <x:c r="I113" t="n">
        <x:v>37.97422997475963</x:v>
      </x:c>
      <x:c r="J113" t="n">
        <x:v>48.938457138617295</x:v>
      </x:c>
      <x:c r="K113" t="n">
        <x:v>74.13999938964844</x:v>
      </x:c>
      <x:c r="L113" t="n">
        <x:v>65.33000183105469</x:v>
      </x:c>
      <x:c r="M113" t="n">
        <x:v>3628.2971823874227</x:v>
      </x:c>
      <x:c r="N113" t="n">
        <x:v>3197.1494944748592</x:v>
      </x:c>
      <x:c r="O113" t="n">
        <x:v>8.707913237729814</x:v>
      </x:c>
      <x:c r="P113" t="n">
        <x:v>7.673158786739662</x:v>
      </x:c>
      <x:c r="Q113" t="n">
        <x:v>74.13999938964844</x:v>
      </x:c>
      <x:c r="R113" t="n">
        <x:v>-11.882921002321744</x:v>
      </x:c>
      <x:c r="S113" t="n">
        <x:v>-11.882921002321744</x:v>
      </x:c>
      <x:c r="T113" t="n">
        <x:v>-12.362921002321745</x:v>
      </x:c>
      <x:c r="U113" t="n">
        <x:f>YEAR(C113)</x:f>
        <x:v>2022</x:v>
      </x:c>
      <x:c r="V113" t="n">
        <x:f>YEAR(D113)</x:f>
        <x:v>2022</x:v>
      </x:c>
      <x:c r="W113" t="n">
        <x:f>N113-M113-O113-P113</x:f>
        <x:v>-447.52875993703293</x:v>
      </x:c>
      <x:c r="X113" t="str">
        <x:f>IF(T113&gt;1,"Ganador",IF(T113&lt;0,"Perdedor","Empate"))</x:f>
        <x:v>Perdedor</x:v>
      </x:c>
    </x:row>
    <x:row r="114">
      <x:c r="A114" t="str">
        <x:v>EXE</x:v>
      </x:c>
      <x:c r="B114" t="n">
        <x:v>44799</x:v>
      </x:c>
      <x:c r="C114" t="n">
        <x:v>44802</x:v>
      </x:c>
      <x:c r="D114" t="n">
        <x:v>44837</x:v>
      </x:c>
      <x:c r="E114" t="n">
        <x:v>35</x:v>
      </x:c>
      <x:c r="F114" t="str">
        <x:v>enter_or_hold</x:v>
      </x:c>
      <x:c r="G114" t="str">
        <x:v>market_filter_failed</x:v>
      </x:c>
      <x:c r="H114" t="n">
        <x:v>6</x:v>
      </x:c>
      <x:c r="I114" t="n">
        <x:v>34.67888084118411</x:v>
      </x:c>
      <x:c r="J114" t="n">
        <x:v>34.96480003625262</x:v>
      </x:c>
      <x:c r="K114" t="n">
        <x:v>103.7699966430664</x:v>
      </x:c>
      <x:c r="L114" t="n">
        <x:v>98.93000030517578</x:v>
      </x:c>
      <x:c r="M114" t="n">
        <x:v>3628.2971823874227</x:v>
      </x:c>
      <x:c r="N114" t="n">
        <x:v>3459.0676782568817</x:v>
      </x:c>
      <x:c r="O114" t="n">
        <x:v>8.707913237729814</x:v>
      </x:c>
      <x:c r="P114" t="n">
        <x:v>8.301762427816515</x:v>
      </x:c>
      <x:c r="Q114" t="n">
        <x:v>103.7699966430664</x:v>
      </x:c>
      <x:c r="R114" t="n">
        <x:v>-4.664157747386821</x:v>
      </x:c>
      <x:c r="S114" t="n">
        <x:v>-4.664157747386821</x:v>
      </x:c>
      <x:c r="T114" t="n">
        <x:v>-5.144157747386821</x:v>
      </x:c>
      <x:c r="U114" t="n">
        <x:f>YEAR(C114)</x:f>
        <x:v>2022</x:v>
      </x:c>
      <x:c r="V114" t="n">
        <x:f>YEAR(D114)</x:f>
        <x:v>2022</x:v>
      </x:c>
      <x:c r="W114" t="n">
        <x:f>N114-M114-O114-P114</x:f>
        <x:v>-186.2391797960874</x:v>
      </x:c>
      <x:c r="X114" t="str">
        <x:f>IF(T114&gt;1,"Ganador",IF(T114&lt;0,"Perdedor","Empate"))</x:f>
        <x:v>Perdedor</x:v>
      </x:c>
    </x:row>
    <x:row r="115">
      <x:c r="A115" t="str">
        <x:v>FSLR</x:v>
      </x:c>
      <x:c r="B115" t="n">
        <x:v>44799</x:v>
      </x:c>
      <x:c r="C115" t="n">
        <x:v>44802</x:v>
      </x:c>
      <x:c r="D115" t="n">
        <x:v>44837</x:v>
      </x:c>
      <x:c r="E115" t="n">
        <x:v>35</x:v>
      </x:c>
      <x:c r="F115" t="str">
        <x:v>enter_or_hold</x:v>
      </x:c>
      <x:c r="G115" t="str">
        <x:v>market_filter_failed</x:v>
      </x:c>
      <x:c r="H115" t="n">
        <x:v>4</x:v>
      </x:c>
      <x:c r="I115" t="n">
        <x:v>40.83943075391103</x:v>
      </x:c>
      <x:c r="J115" t="n">
        <x:v>29.815901960676257</x:v>
      </x:c>
      <x:c r="K115" t="n">
        <x:v>121.69000244140624</x:v>
      </x:c>
      <x:c r="L115" t="n">
        <x:v>136.6199951171875</x:v>
      </x:c>
      <x:c r="M115" t="n">
        <x:v>3628.2971823874227</x:v>
      </x:c>
      <x:c r="N115" t="n">
        <x:v>4073.4483802821314</x:v>
      </x:c>
      <x:c r="O115" t="n">
        <x:v>8.707913237729814</x:v>
      </x:c>
      <x:c r="P115" t="n">
        <x:v>9.776276112677115</x:v>
      </x:c>
      <x:c r="Q115" t="n">
        <x:v>121.69000244140624</x:v>
      </x:c>
      <x:c r="R115" t="n">
        <x:v>12.268873675937385</x:v>
      </x:c>
      <x:c r="S115" t="n">
        <x:v>12.268873675937385</x:v>
      </x:c>
      <x:c r="T115" t="n">
        <x:v>11.788873675937385</x:v>
      </x:c>
      <x:c r="U115" t="n">
        <x:f>YEAR(C115)</x:f>
        <x:v>2022</x:v>
      </x:c>
      <x:c r="V115" t="n">
        <x:f>YEAR(D115)</x:f>
        <x:v>2022</x:v>
      </x:c>
      <x:c r="W115" t="n">
        <x:f>N115-M115-O115-P115</x:f>
        <x:v>426.6670085443018</x:v>
      </x:c>
      <x:c r="X115" t="str">
        <x:f>IF(T115&gt;1,"Ganador",IF(T115&lt;0,"Perdedor","Empate"))</x:f>
        <x:v>Ganador</x:v>
      </x:c>
    </x:row>
    <x:row r="116">
      <x:c r="A116" t="str">
        <x:v>CAH</x:v>
      </x:c>
      <x:c r="B116" t="n">
        <x:v>44862</x:v>
      </x:c>
      <x:c r="C116" t="n">
        <x:v>44865</x:v>
      </x:c>
      <x:c r="D116" t="n">
        <x:v>44893</x:v>
      </x:c>
      <x:c r="E116" t="n">
        <x:v>28</x:v>
      </x:c>
      <x:c r="F116" t="str">
        <x:v>enter_or_hold</x:v>
      </x:c>
      <x:c r="G116" t="str">
        <x:v>left_top_n</x:v>
      </x:c>
      <x:c r="H116" t="n">
        <x:v>5</x:v>
      </x:c>
      <x:c r="I116" t="n">
        <x:v>33.534846484557335</x:v>
      </x:c>
      <x:c r="J116" t="n">
        <x:v>43.40139170067947</x:v>
      </x:c>
      <x:c r="K116" t="n">
        <x:v>75.9000015258789</x:v>
      </x:c>
      <x:c r="L116" t="n">
        <x:v>78.45999908447266</x:v>
      </x:c>
      <x:c r="M116" t="n">
        <x:v>3294.16569630684</x:v>
      </x:c>
      <x:c r="N116" t="n">
        <x:v>3405.2731531001505</x:v>
      </x:c>
      <x:c r="O116" t="n">
        <x:v>7.905997671136415</x:v>
      </x:c>
      <x:c r="P116" t="n">
        <x:v>8.17265556744036</x:v>
      </x:c>
      <x:c r="Q116" t="n">
        <x:v>75.9000015258789</x:v>
      </x:c>
      <x:c r="R116" t="n">
        <x:v>3.372855740616676</x:v>
      </x:c>
      <x:c r="S116" t="n">
        <x:v>3.372855740616676</x:v>
      </x:c>
      <x:c r="T116" t="n">
        <x:v>2.892855740616676</x:v>
      </x:c>
      <x:c r="U116" t="n">
        <x:f>YEAR(C116)</x:f>
        <x:v>2022</x:v>
      </x:c>
      <x:c r="V116" t="n">
        <x:f>YEAR(D116)</x:f>
        <x:v>2022</x:v>
      </x:c>
      <x:c r="W116" t="n">
        <x:f>N116-M116-O116-P116</x:f>
        <x:v>95.0288035547338</x:v>
      </x:c>
      <x:c r="X116" t="str">
        <x:f>IF(T116&gt;1,"Ganador",IF(T116&lt;0,"Perdedor","Empate"))</x:f>
        <x:v>Ganador</x:v>
      </x:c>
    </x:row>
    <x:row r="117">
      <x:c r="A117" t="str">
        <x:v>COP</x:v>
      </x:c>
      <x:c r="B117" t="n">
        <x:v>44862</x:v>
      </x:c>
      <x:c r="C117" t="n">
        <x:v>44865</x:v>
      </x:c>
      <x:c r="D117" t="n">
        <x:v>44893</x:v>
      </x:c>
      <x:c r="E117" t="n">
        <x:v>28</x:v>
      </x:c>
      <x:c r="F117" t="str">
        <x:v>enter_or_hold</x:v>
      </x:c>
      <x:c r="G117" t="str">
        <x:v>left_top_n</x:v>
      </x:c>
      <x:c r="H117" t="n">
        <x:v>6</x:v>
      </x:c>
      <x:c r="I117" t="n">
        <x:v>32.564613143604795</x:v>
      </x:c>
      <x:c r="J117" t="n">
        <x:v>26.12551187232391</x:v>
      </x:c>
      <x:c r="K117" t="n">
        <x:v>126.08999633789062</x:v>
      </x:c>
      <x:c r="L117" t="n">
        <x:v>123.83999633789062</x:v>
      </x:c>
      <x:c r="M117" t="n">
        <x:v>3294.16569630684</x:v>
      </x:c>
      <x:c r="N117" t="n">
        <x:v>3235.383294594111</x:v>
      </x:c>
      <x:c r="O117" t="n">
        <x:v>7.905997671136415</x:v>
      </x:c>
      <x:c r="P117" t="n">
        <x:v>7.764919907025865</x:v>
      </x:c>
      <x:c r="Q117" t="n">
        <x:v>126.08999633789062</x:v>
      </x:c>
      <x:c r="R117" t="n">
        <x:v>-1.7844397377651977</x:v>
      </x:c>
      <x:c r="S117" t="n">
        <x:v>-1.7844397377651977</x:v>
      </x:c>
      <x:c r="T117" t="n">
        <x:v>-2.2644397377651977</x:v>
      </x:c>
      <x:c r="U117" t="n">
        <x:f>YEAR(C117)</x:f>
        <x:v>2022</x:v>
      </x:c>
      <x:c r="V117" t="n">
        <x:f>YEAR(D117)</x:f>
        <x:v>2022</x:v>
      </x:c>
      <x:c r="W117" t="n">
        <x:f>N117-M117-O117-P117</x:f>
        <x:v>-74.45331929089139</x:v>
      </x:c>
      <x:c r="X117" t="str">
        <x:f>IF(T117&gt;1,"Ganador",IF(T117&lt;0,"Perdedor","Empate"))</x:f>
        <x:v>Perdedor</x:v>
      </x:c>
    </x:row>
    <x:row r="118">
      <x:c r="A118" t="str">
        <x:v>OXY</x:v>
      </x:c>
      <x:c r="B118" t="n">
        <x:v>44862</x:v>
      </x:c>
      <x:c r="C118" t="n">
        <x:v>44865</x:v>
      </x:c>
      <x:c r="D118" t="n">
        <x:v>44893</x:v>
      </x:c>
      <x:c r="E118" t="n">
        <x:v>28</x:v>
      </x:c>
      <x:c r="F118" t="str">
        <x:v>enter_or_hold</x:v>
      </x:c>
      <x:c r="G118" t="str">
        <x:v>left_top_n</x:v>
      </x:c>
      <x:c r="H118" t="n">
        <x:v>4</x:v>
      </x:c>
      <x:c r="I118" t="n">
        <x:v>34.496953793216754</x:v>
      </x:c>
      <x:c r="J118" t="n">
        <x:v>45.37418409837948</x:v>
      </x:c>
      <x:c r="K118" t="n">
        <x:v>72.5999984741211</x:v>
      </x:c>
      <x:c r="L118" t="n">
        <x:v>68.2300033569336</x:v>
      </x:c>
      <x:c r="M118" t="n">
        <x:v>3294.16569630684</x:v>
      </x:c>
      <x:c r="N118" t="n">
        <x:v>3095.8807333505547</x:v>
      </x:c>
      <x:c r="O118" t="n">
        <x:v>7.905997671136415</x:v>
      </x:c>
      <x:c r="P118" t="n">
        <x:v>7.430113760041331</x:v>
      </x:c>
      <x:c r="Q118" t="n">
        <x:v>72.5999984741211</x:v>
      </x:c>
      <x:c r="R118" t="n">
        <x:v>-6.01927714743028</x:v>
      </x:c>
      <x:c r="S118" t="n">
        <x:v>-6.01927714743028</x:v>
      </x:c>
      <x:c r="T118" t="n">
        <x:v>-6.499277147430281</x:v>
      </x:c>
      <x:c r="U118" t="n">
        <x:f>YEAR(C118)</x:f>
        <x:v>2022</x:v>
      </x:c>
      <x:c r="V118" t="n">
        <x:f>YEAR(D118)</x:f>
        <x:v>2022</x:v>
      </x:c>
      <x:c r="W118" t="n">
        <x:f>N118-M118-O118-P118</x:f>
        <x:v>-213.62107438746295</x:v>
      </x:c>
      <x:c r="X118" t="str">
        <x:f>IF(T118&gt;1,"Ganador",IF(T118&lt;0,"Perdedor","Empate"))</x:f>
        <x:v>Perdedor</x:v>
      </x:c>
    </x:row>
    <x:row r="119">
      <x:c r="A119" t="str">
        <x:v>FSLR</x:v>
      </x:c>
      <x:c r="B119" t="n">
        <x:v>44862</x:v>
      </x:c>
      <x:c r="C119" t="n">
        <x:v>44865</x:v>
      </x:c>
      <x:c r="D119" t="n">
        <x:v>44893</x:v>
      </x:c>
      <x:c r="E119" t="n">
        <x:v>28</x:v>
      </x:c>
      <x:c r="F119" t="str">
        <x:v>enter_or_hold</x:v>
      </x:c>
      <x:c r="G119" t="str">
        <x:v>rebalance_trim</x:v>
      </x:c>
      <x:c r="H119" t="n">
        <x:v>2</x:v>
      </x:c>
      <x:c r="I119" t="n">
        <x:v>45.28155424406712</x:v>
      </x:c>
      <x:c r="J119" t="n">
        <x:v>1.0737152074922376</x:v>
      </x:c>
      <x:c r="K119" t="n">
        <x:v>145.57000732421875</x:v>
      </x:c>
      <x:c r="L119" t="n">
        <x:v>165.6199951171875</x:v>
      </x:c>
      <x:c r="M119" t="n">
        <x:v>156.30073061877007</x:v>
      </x:c>
      <x:c r="N119" t="n">
        <x:v>177.82870742211435</x:v>
      </x:c>
      <x:c r="O119" t="n">
        <x:v>0.37512175348504817</x:v>
      </x:c>
      <x:c r="P119" t="n">
        <x:v>0.4267888978130744</x:v>
      </x:c>
      <x:c r="Q119" t="n">
        <x:v>145.57000732421875</x:v>
      </x:c>
      <x:c r="R119" t="n">
        <x:v>13.773433251475154</x:v>
      </x:c>
      <x:c r="S119" t="n">
        <x:v>13.773433251475154</x:v>
      </x:c>
      <x:c r="T119" t="n">
        <x:v>13.293433251475154</x:v>
      </x:c>
      <x:c r="U119" t="n">
        <x:f>YEAR(C119)</x:f>
        <x:v>2022</x:v>
      </x:c>
      <x:c r="V119" t="n">
        <x:f>YEAR(D119)</x:f>
        <x:v>2022</x:v>
      </x:c>
      <x:c r="W119" t="n">
        <x:f>N119-M119-O119-P119</x:f>
        <x:v>20.72606615204615</x:v>
      </x:c>
      <x:c r="X119" t="str">
        <x:f>IF(T119&gt;1,"Ganador",IF(T119&lt;0,"Perdedor","Empate"))</x:f>
        <x:v>Ganador</x:v>
      </x:c>
    </x:row>
    <x:row r="120">
      <x:c r="A120" t="str">
        <x:v>SMCI</x:v>
      </x:c>
      <x:c r="B120" t="n">
        <x:v>44862</x:v>
      </x:c>
      <x:c r="C120" t="n">
        <x:v>44865</x:v>
      </x:c>
      <x:c r="D120" t="n">
        <x:v>44893</x:v>
      </x:c>
      <x:c r="E120" t="n">
        <x:v>28</x:v>
      </x:c>
      <x:c r="F120" t="str">
        <x:v>enter_or_hold</x:v>
      </x:c>
      <x:c r="G120" t="str">
        <x:v>rebalance_trim</x:v>
      </x:c>
      <x:c r="H120" t="n">
        <x:v>3</x:v>
      </x:c>
      <x:c r="I120" t="n">
        <x:v>42.57489417466842</x:v>
      </x:c>
      <x:c r="J120" t="n">
        <x:v>87.41559816263567</x:v>
      </x:c>
      <x:c r="K120" t="n">
        <x:v>6.959000110626221</x:v>
      </x:c>
      <x:c r="L120" t="n">
        <x:v>9.25</x:v>
      </x:c>
      <x:c r="M120" t="n">
        <x:v>608.3251572842389</x:v>
      </x:c>
      <x:c r="N120" t="n">
        <x:v>808.59428300438</x:v>
      </x:c>
      <x:c r="O120" t="n">
        <x:v>1.4599803774821731</x:v>
      </x:c>
      <x:c r="P120" t="n">
        <x:v>1.940626279210512</x:v>
      </x:c>
      <x:c r="Q120" t="n">
        <x:v>6.959000110626221</x:v>
      </x:c>
      <x:c r="R120" t="n">
        <x:v>32.92139463937469</x:v>
      </x:c>
      <x:c r="S120" t="n">
        <x:v>32.92139463937469</x:v>
      </x:c>
      <x:c r="T120" t="n">
        <x:v>32.44139463937469</x:v>
      </x:c>
      <x:c r="U120" t="n">
        <x:f>YEAR(C120)</x:f>
        <x:v>2022</x:v>
      </x:c>
      <x:c r="V120" t="n">
        <x:f>YEAR(D120)</x:f>
        <x:v>2022</x:v>
      </x:c>
      <x:c r="W120" t="n">
        <x:f>N120-M120-O120-P120</x:f>
        <x:v>196.86851906344845</x:v>
      </x:c>
      <x:c r="X120" t="str">
        <x:f>IF(T120&gt;1,"Ganador",IF(T120&lt;0,"Perdedor","Empate"))</x:f>
        <x:v>Ganador</x:v>
      </x:c>
    </x:row>
    <x:row r="121">
      <x:c r="A121" t="str">
        <x:v>TPL</x:v>
      </x:c>
      <x:c r="B121" t="n">
        <x:v>44862</x:v>
      </x:c>
      <x:c r="C121" t="n">
        <x:v>44865</x:v>
      </x:c>
      <x:c r="D121" t="n">
        <x:v>44893</x:v>
      </x:c>
      <x:c r="E121" t="n">
        <x:v>28</x:v>
      </x:c>
      <x:c r="F121" t="str">
        <x:v>enter_or_hold</x:v>
      </x:c>
      <x:c r="G121" t="str">
        <x:v>rebalance_trim</x:v>
      </x:c>
      <x:c r="H121" t="n">
        <x:v>1</x:v>
      </x:c>
      <x:c r="I121" t="n">
        <x:v>56.440433926257526</x:v>
      </x:c>
      <x:c r="J121" t="n">
        <x:v>0.03801527760447847</x:v>
      </x:c>
      <x:c r="K121" t="n">
        <x:v>255.9855499267578</x:v>
      </x:c>
      <x:c r="L121" t="n">
        <x:v>278.2466735839844</x:v>
      </x:c>
      <x:c r="M121" t="n">
        <x:v>9.731361743200782</x:v>
      </x:c>
      <x:c r="N121" t="n">
        <x:v>10.577624538817872</x:v>
      </x:c>
      <x:c r="O121" t="n">
        <x:v>0.023355268183681874</x:v>
      </x:c>
      <x:c r="P121" t="n">
        <x:v>0.025386298893162892</x:v>
      </x:c>
      <x:c r="Q121" t="n">
        <x:v>255.9855499267578</x:v>
      </x:c>
      <x:c r="R121" t="n">
        <x:v>8.696242293205959</x:v>
      </x:c>
      <x:c r="S121" t="n">
        <x:v>8.696242293205959</x:v>
      </x:c>
      <x:c r="T121" t="n">
        <x:v>8.216242293205958</x:v>
      </x:c>
      <x:c r="U121" t="n">
        <x:f>YEAR(C121)</x:f>
        <x:v>2022</x:v>
      </x:c>
      <x:c r="V121" t="n">
        <x:f>YEAR(D121)</x:f>
        <x:v>2022</x:v>
      </x:c>
      <x:c r="W121" t="n">
        <x:f>N121-M121-O121-P121</x:f>
        <x:v>0.7975212285402451</x:v>
      </x:c>
      <x:c r="X121" t="str">
        <x:f>IF(T121&gt;1,"Ganador",IF(T121&lt;0,"Perdedor","Empate"))</x:f>
        <x:v>Ganador</x:v>
      </x:c>
    </x:row>
    <x:row r="122">
      <x:c r="A122" t="str">
        <x:v>FSLR</x:v>
      </x:c>
      <x:c r="B122" t="n">
        <x:v>44862</x:v>
      </x:c>
      <x:c r="C122" t="n">
        <x:v>44865</x:v>
      </x:c>
      <x:c r="D122" t="n">
        <x:v>44929</x:v>
      </x:c>
      <x:c r="E122" t="n">
        <x:v>64</x:v>
      </x:c>
      <x:c r="F122" t="str">
        <x:v>enter_or_hold</x:v>
      </x:c>
      <x:c r="G122" t="str">
        <x:v>market_filter_failed</x:v>
      </x:c>
      <x:c r="H122" t="n">
        <x:v>2</x:v>
      </x:c>
      <x:c r="I122" t="n">
        <x:v>45.28155424406712</x:v>
      </x:c>
      <x:c r="J122" t="n">
        <x:v>21.555710708314415</x:v>
      </x:c>
      <x:c r="K122" t="n">
        <x:v>145.57000732421875</x:v>
      </x:c>
      <x:c r="L122" t="n">
        <x:v>145.94000244140625</x:v>
      </x:c>
      <x:c r="M122" t="n">
        <x:v>3137.86496568807</x:v>
      </x:c>
      <x:c r="N122" t="n">
        <x:v>3145.8404733976527</x:v>
      </x:c>
      <x:c r="O122" t="n">
        <x:v>7.530875917651366</x:v>
      </x:c>
      <x:c r="P122" t="n">
        <x:v>7.5500171361543655</x:v>
      </x:c>
      <x:c r="Q122" t="n">
        <x:v>145.57000732421875</x:v>
      </x:c>
      <x:c r="R122" t="n">
        <x:v>0.25416988292337184</x:v>
      </x:c>
      <x:c r="S122" t="n">
        <x:v>0.25416988292337184</x:v>
      </x:c>
      <x:c r="T122" t="n">
        <x:v>-0.22583011707662815</x:v>
      </x:c>
      <x:c r="U122" t="n">
        <x:f>YEAR(C122)</x:f>
        <x:v>2022</x:v>
      </x:c>
      <x:c r="V122" t="n">
        <x:f>YEAR(D122)</x:f>
        <x:v>2023</x:v>
      </x:c>
      <x:c r="W122" t="n">
        <x:f>N122-M122-O122-P122</x:f>
        <x:v>-7.105385344222861</x:v>
      </x:c>
      <x:c r="X122" t="str">
        <x:f>IF(T122&gt;1,"Ganador",IF(T122&lt;0,"Perdedor","Empate"))</x:f>
        <x:v>Perdedor</x:v>
      </x:c>
    </x:row>
    <x:row r="123">
      <x:c r="A123" t="str">
        <x:v>SMCI</x:v>
      </x:c>
      <x:c r="B123" t="n">
        <x:v>44862</x:v>
      </x:c>
      <x:c r="C123" t="n">
        <x:v>44865</x:v>
      </x:c>
      <x:c r="D123" t="n">
        <x:v>44929</x:v>
      </x:c>
      <x:c r="E123" t="n">
        <x:v>64</x:v>
      </x:c>
      <x:c r="F123" t="str">
        <x:v>enter_or_hold</x:v>
      </x:c>
      <x:c r="G123" t="str">
        <x:v>market_filter_failed</x:v>
      </x:c>
      <x:c r="H123" t="n">
        <x:v>3</x:v>
      </x:c>
      <x:c r="I123" t="n">
        <x:v>42.57489417466842</x:v>
      </x:c>
      <x:c r="J123" t="n">
        <x:v>385.9520759198422</x:v>
      </x:c>
      <x:c r="K123" t="n">
        <x:v>6.959000110626221</x:v>
      </x:c>
      <x:c r="L123" t="n">
        <x:v>8.38599967956543</x:v>
      </x:c>
      <x:c r="M123" t="n">
        <x:v>2685.8405390226008</x:v>
      </x:c>
      <x:c r="N123" t="n">
        <x:v>3236.593984991409</x:v>
      </x:c>
      <x:c r="O123" t="n">
        <x:v>6.446017293654242</x:v>
      </x:c>
      <x:c r="P123" t="n">
        <x:v>7.767825563979381</x:v>
      </x:c>
      <x:c r="Q123" t="n">
        <x:v>6.959000110626221</x:v>
      </x:c>
      <x:c r="R123" t="n">
        <x:v>20.50581328142553</x:v>
      </x:c>
      <x:c r="S123" t="n">
        <x:v>20.50581328142553</x:v>
      </x:c>
      <x:c r="T123" t="n">
        <x:v>20.02581328142553</x:v>
      </x:c>
      <x:c r="U123" t="n">
        <x:f>YEAR(C123)</x:f>
        <x:v>2022</x:v>
      </x:c>
      <x:c r="V123" t="n">
        <x:f>YEAR(D123)</x:f>
        <x:v>2023</x:v>
      </x:c>
      <x:c r="W123" t="n">
        <x:f>N123-M123-O123-P123</x:f>
        <x:v>536.5396031111745</x:v>
      </x:c>
      <x:c r="X123" t="str">
        <x:f>IF(T123&gt;1,"Ganador",IF(T123&lt;0,"Perdedor","Empate"))</x:f>
        <x:v>Ganador</x:v>
      </x:c>
    </x:row>
    <x:row r="124">
      <x:c r="A124" t="str">
        <x:v>TPL</x:v>
      </x:c>
      <x:c r="B124" t="n">
        <x:v>44862</x:v>
      </x:c>
      <x:c r="C124" t="n">
        <x:v>44865</x:v>
      </x:c>
      <x:c r="D124" t="n">
        <x:v>44929</x:v>
      </x:c>
      <x:c r="E124" t="n">
        <x:v>64</x:v>
      </x:c>
      <x:c r="F124" t="str">
        <x:v>enter_or_hold</x:v>
      </x:c>
      <x:c r="G124" t="str">
        <x:v>market_filter_failed</x:v>
      </x:c>
      <x:c r="H124" t="n">
        <x:v>1</x:v>
      </x:c>
      <x:c r="I124" t="n">
        <x:v>56.440433926257526</x:v>
      </x:c>
      <x:c r="J124" t="n">
        <x:v>12.830545847229956</x:v>
      </x:c>
      <x:c r="K124" t="n">
        <x:v>255.9855499267578</x:v>
      </x:c>
      <x:c r="L124" t="n">
        <x:v>233.6233367919922</x:v>
      </x:c>
      <x:c r="M124" t="n">
        <x:v>3284.434334563639</x:v>
      </x:c>
      <x:c r="N124" t="n">
        <x:v>2997.514933692501</x:v>
      </x:c>
      <x:c r="O124" t="n">
        <x:v>7.882642402952733</x:v>
      </x:c>
      <x:c r="P124" t="n">
        <x:v>7.194035840862002</x:v>
      </x:c>
      <x:c r="Q124" t="n">
        <x:v>255.9855499267578</x:v>
      </x:c>
      <x:c r="R124" t="n">
        <x:v>-8.73573259942363</x:v>
      </x:c>
      <x:c r="S124" t="n">
        <x:v>-8.73573259942363</x:v>
      </x:c>
      <x:c r="T124" t="n">
        <x:v>-9.21573259942363</x:v>
      </x:c>
      <x:c r="U124" t="n">
        <x:f>YEAR(C124)</x:f>
        <x:v>2022</x:v>
      </x:c>
      <x:c r="V124" t="n">
        <x:f>YEAR(D124)</x:f>
        <x:v>2023</x:v>
      </x:c>
      <x:c r="W124" t="n">
        <x:f>N124-M124-O124-P124</x:f>
        <x:v>-301.99607911495264</x:v>
      </x:c>
      <x:c r="X124" t="str">
        <x:f>IF(T124&gt;1,"Ganador",IF(T124&lt;0,"Perdedor","Empate"))</x:f>
        <x:v>Perdedor</x:v>
      </x:c>
    </x:row>
    <x:row r="125">
      <x:c r="A125" t="str">
        <x:v>AXON</x:v>
      </x:c>
      <x:c r="B125" t="n">
        <x:v>44890</x:v>
      </x:c>
      <x:c r="C125" t="n">
        <x:v>44893</x:v>
      </x:c>
      <x:c r="D125" t="n">
        <x:v>44929</x:v>
      </x:c>
      <x:c r="E125" t="n">
        <x:v>36</x:v>
      </x:c>
      <x:c r="F125" t="str">
        <x:v>enter_or_hold</x:v>
      </x:c>
      <x:c r="G125" t="str">
        <x:v>market_filter_failed</x:v>
      </x:c>
      <x:c r="H125" t="n">
        <x:v>4</x:v>
      </x:c>
      <x:c r="I125" t="n">
        <x:v>48.36750350239984</x:v>
      </x:c>
      <x:c r="J125" t="n">
        <x:v>19.358015343974515</x:v>
      </x:c>
      <x:c r="K125" t="n">
        <x:v>183.94000244140625</x:v>
      </x:c>
      <x:c r="L125" t="n">
        <x:v>168.24000549316406</x:v>
      </x:c>
      <x:c r="M125" t="n">
        <x:v>3560.7133896314517</x:v>
      </x:c>
      <x:c r="N125" t="n">
        <x:v>3256.7926078070263</x:v>
      </x:c>
      <x:c r="O125" t="n">
        <x:v>8.545712135115483</x:v>
      </x:c>
      <x:c r="P125" t="n">
        <x:v>7.8163022587368625</x:v>
      </x:c>
      <x:c r="Q125" t="n">
        <x:v>183.94000244140625</x:v>
      </x:c>
      <x:c r="R125" t="n">
        <x:v>-8.535390203250316</x:v>
      </x:c>
      <x:c r="S125" t="n">
        <x:v>-8.535390203250316</x:v>
      </x:c>
      <x:c r="T125" t="n">
        <x:v>-9.015390203250316</x:v>
      </x:c>
      <x:c r="U125" t="n">
        <x:f>YEAR(C125)</x:f>
        <x:v>2022</x:v>
      </x:c>
      <x:c r="V125" t="n">
        <x:f>YEAR(D125)</x:f>
        <x:v>2023</x:v>
      </x:c>
      <x:c r="W125" t="n">
        <x:f>N125-M125-O125-P125</x:f>
        <x:v>-320.2827962182777</x:v>
      </x:c>
      <x:c r="X125" t="str">
        <x:f>IF(T125&gt;1,"Ganador",IF(T125&lt;0,"Perdedor","Empate"))</x:f>
        <x:v>Perdedor</x:v>
      </x:c>
    </x:row>
    <x:row r="126">
      <x:c r="A126" t="str">
        <x:v>BIIB</x:v>
      </x:c>
      <x:c r="B126" t="n">
        <x:v>44890</x:v>
      </x:c>
      <x:c r="C126" t="n">
        <x:v>44893</x:v>
      </x:c>
      <x:c r="D126" t="n">
        <x:v>44929</x:v>
      </x:c>
      <x:c r="E126" t="n">
        <x:v>36</x:v>
      </x:c>
      <x:c r="F126" t="str">
        <x:v>enter_or_hold</x:v>
      </x:c>
      <x:c r="G126" t="str">
        <x:v>market_filter_failed</x:v>
      </x:c>
      <x:c r="H126" t="n">
        <x:v>6</x:v>
      </x:c>
      <x:c r="I126" t="n">
        <x:v>35.774356069158195</x:v>
      </x:c>
      <x:c r="J126" t="n">
        <x:v>12.198401726908486</x:v>
      </x:c>
      <x:c r="K126" t="n">
        <x:v>291.8999938964844</x:v>
      </x:c>
      <x:c r="L126" t="n">
        <x:v>272.6300048828125</x:v>
      </x:c>
      <x:c r="M126" t="n">
        <x:v>3560.7133896314517</x:v>
      </x:c>
      <x:c r="N126" t="n">
        <x:v>3325.650322369569</x:v>
      </x:c>
      <x:c r="O126" t="n">
        <x:v>8.545712135115483</x:v>
      </x:c>
      <x:c r="P126" t="n">
        <x:v>7.981560773686965</x:v>
      </x:c>
      <x:c r="Q126" t="n">
        <x:v>291.8999938964844</x:v>
      </x:c>
      <x:c r="R126" t="n">
        <x:v>-6.601572256457644</x:v>
      </x:c>
      <x:c r="S126" t="n">
        <x:v>-6.601572256457644</x:v>
      </x:c>
      <x:c r="T126" t="n">
        <x:v>-7.081572256457644</x:v>
      </x:c>
      <x:c r="U126" t="n">
        <x:f>YEAR(C126)</x:f>
        <x:v>2022</x:v>
      </x:c>
      <x:c r="V126" t="n">
        <x:f>YEAR(D126)</x:f>
        <x:v>2023</x:v>
      </x:c>
      <x:c r="W126" t="n">
        <x:f>N126-M126-O126-P126</x:f>
        <x:v>-251.59034017068512</x:v>
      </x:c>
      <x:c r="X126" t="str">
        <x:f>IF(T126&gt;1,"Ganador",IF(T126&lt;0,"Perdedor","Empate"))</x:f>
        <x:v>Perdedor</x:v>
      </x:c>
    </x:row>
    <x:row r="127">
      <x:c r="A127" t="str">
        <x:v>STLD</x:v>
      </x:c>
      <x:c r="B127" t="n">
        <x:v>44890</x:v>
      </x:c>
      <x:c r="C127" t="n">
        <x:v>44893</x:v>
      </x:c>
      <x:c r="D127" t="n">
        <x:v>44929</x:v>
      </x:c>
      <x:c r="E127" t="n">
        <x:v>36</x:v>
      </x:c>
      <x:c r="F127" t="str">
        <x:v>enter_or_hold</x:v>
      </x:c>
      <x:c r="G127" t="str">
        <x:v>market_filter_failed</x:v>
      </x:c>
      <x:c r="H127" t="n">
        <x:v>5</x:v>
      </x:c>
      <x:c r="I127" t="n">
        <x:v>36.71028636347573</x:v>
      </x:c>
      <x:c r="J127" t="n">
        <x:v>34.610356577484794</x:v>
      </x:c>
      <x:c r="K127" t="n">
        <x:v>102.87999725341795</x:v>
      </x:c>
      <x:c r="L127" t="n">
        <x:v>95.16999816894533</x:v>
      </x:c>
      <x:c r="M127" t="n">
        <x:v>3560.7133896314517</x:v>
      </x:c>
      <x:c r="N127" t="n">
        <x:v>3293.8675721057725</x:v>
      </x:c>
      <x:c r="O127" t="n">
        <x:v>8.545712135115483</x:v>
      </x:c>
      <x:c r="P127" t="n">
        <x:v>7.905282173053854</x:v>
      </x:c>
      <x:c r="Q127" t="n">
        <x:v>102.87999725341795</x:v>
      </x:c>
      <x:c r="R127" t="n">
        <x:v>-7.494167272848051</x:v>
      </x:c>
      <x:c r="S127" t="n">
        <x:v>-7.494167272848051</x:v>
      </x:c>
      <x:c r="T127" t="n">
        <x:v>-7.974167272848051</x:v>
      </x:c>
      <x:c r="U127" t="n">
        <x:f>YEAR(C127)</x:f>
        <x:v>2022</x:v>
      </x:c>
      <x:c r="V127" t="n">
        <x:f>YEAR(D127)</x:f>
        <x:v>2023</x:v>
      </x:c>
      <x:c r="W127" t="n">
        <x:f>N127-M127-O127-P127</x:f>
        <x:v>-283.29681183384855</x:v>
      </x:c>
      <x:c r="X127" t="str">
        <x:f>IF(T127&gt;1,"Ganador",IF(T127&lt;0,"Perdedor","Empate"))</x:f>
        <x:v>Perdedor</x:v>
      </x:c>
    </x:row>
    <x:row r="128">
      <x:c r="A128" t="str">
        <x:v>AXON</x:v>
      </x:c>
      <x:c r="B128" t="n">
        <x:v>44953</x:v>
      </x:c>
      <x:c r="C128" t="n">
        <x:v>44956</x:v>
      </x:c>
      <x:c r="D128" t="n">
        <x:v>44984</x:v>
      </x:c>
      <x:c r="E128" t="n">
        <x:v>28</x:v>
      </x:c>
      <x:c r="F128" t="str">
        <x:v>enter_or_hold</x:v>
      </x:c>
      <x:c r="G128" t="str">
        <x:v>market_filter_failed</x:v>
      </x:c>
      <x:c r="H128" t="n">
        <x:v>3</x:v>
      </x:c>
      <x:c r="I128" t="n">
        <x:v>44.8874270656674</x:v>
      </x:c>
      <x:c r="J128" t="n">
        <x:v>16.682379675339405</x:v>
      </x:c>
      <x:c r="K128" t="n">
        <x:v>191.4600067138672</x:v>
      </x:c>
      <x:c r="L128" t="n">
        <x:v>194.97000122070312</x:v>
      </x:c>
      <x:c r="M128" t="n">
        <x:v>3194.0085246437643</x:v>
      </x:c>
      <x:c r="N128" t="n">
        <x:v>3252.5635856651566</x:v>
      </x:c>
      <x:c r="O128" t="n">
        <x:v>7.665620459145034</x:v>
      </x:c>
      <x:c r="P128" t="n">
        <x:v>7.806152605596375</x:v>
      </x:c>
      <x:c r="Q128" t="n">
        <x:v>191.4600067138672</x:v>
      </x:c>
      <x:c r="R128" t="n">
        <x:v>1.8332781697232292</x:v>
      </x:c>
      <x:c r="S128" t="n">
        <x:v>1.8332781697232292</x:v>
      </x:c>
      <x:c r="T128" t="n">
        <x:v>1.3532781697232292</x:v>
      </x:c>
      <x:c r="U128" t="n">
        <x:f>YEAR(C128)</x:f>
        <x:v>2023</x:v>
      </x:c>
      <x:c r="V128" t="n">
        <x:f>YEAR(D128)</x:f>
        <x:v>2023</x:v>
      </x:c>
      <x:c r="W128" t="n">
        <x:f>N128-M128-O128-P128</x:f>
        <x:v>43.08328795665084</x:v>
      </x:c>
      <x:c r="X128" t="str">
        <x:f>IF(T128&gt;1,"Ganador",IF(T128&lt;0,"Perdedor","Empate"))</x:f>
        <x:v>Ganador</x:v>
      </x:c>
    </x:row>
    <x:row r="129">
      <x:c r="A129" t="str">
        <x:v>FICO</x:v>
      </x:c>
      <x:c r="B129" t="n">
        <x:v>44953</x:v>
      </x:c>
      <x:c r="C129" t="n">
        <x:v>44956</x:v>
      </x:c>
      <x:c r="D129" t="n">
        <x:v>44984</x:v>
      </x:c>
      <x:c r="E129" t="n">
        <x:v>28</x:v>
      </x:c>
      <x:c r="F129" t="str">
        <x:v>enter_or_hold</x:v>
      </x:c>
      <x:c r="G129" t="str">
        <x:v>market_filter_failed</x:v>
      </x:c>
      <x:c r="H129" t="n">
        <x:v>5</x:v>
      </x:c>
      <x:c r="I129" t="n">
        <x:v>38.033929152495325</x:v>
      </x:c>
      <x:c r="J129" t="n">
        <x:v>4.957484912468102</x:v>
      </x:c>
      <x:c r="K129" t="n">
        <x:v>644.280029296875</x:v>
      </x:c>
      <x:c r="L129" t="n">
        <x:v>670.4099731445312</x:v>
      </x:c>
      <x:c r="M129" t="n">
        <x:v>3194.0085246437643</x:v>
      </x:c>
      <x:c r="N129" t="n">
        <x:v>3323.547327032159</x:v>
      </x:c>
      <x:c r="O129" t="n">
        <x:v>7.665620459145034</x:v>
      </x:c>
      <x:c r="P129" t="n">
        <x:v>7.976513584877181</x:v>
      </x:c>
      <x:c r="Q129" t="n">
        <x:v>644.280029296875</x:v>
      </x:c>
      <x:c r="R129" t="n">
        <x:v>4.055681172699521</x:v>
      </x:c>
      <x:c r="S129" t="n">
        <x:v>4.055681172699521</x:v>
      </x:c>
      <x:c r="T129" t="n">
        <x:v>3.5756811726995212</x:v>
      </x:c>
      <x:c r="U129" t="n">
        <x:f>YEAR(C129)</x:f>
        <x:v>2023</x:v>
      </x:c>
      <x:c r="V129" t="n">
        <x:f>YEAR(D129)</x:f>
        <x:v>2023</x:v>
      </x:c>
      <x:c r="W129" t="n">
        <x:f>N129-M129-O129-P129</x:f>
        <x:v>113.89666834437253</x:v>
      </x:c>
      <x:c r="X129" t="str">
        <x:f>IF(T129&gt;1,"Ganador",IF(T129&lt;0,"Perdedor","Empate"))</x:f>
        <x:v>Ganador</x:v>
      </x:c>
    </x:row>
    <x:row r="130">
      <x:c r="A130" t="str">
        <x:v>FSLR</x:v>
      </x:c>
      <x:c r="B130" t="n">
        <x:v>44953</x:v>
      </x:c>
      <x:c r="C130" t="n">
        <x:v>44956</x:v>
      </x:c>
      <x:c r="D130" t="n">
        <x:v>44984</x:v>
      </x:c>
      <x:c r="E130" t="n">
        <x:v>28</x:v>
      </x:c>
      <x:c r="F130" t="str">
        <x:v>enter_or_hold</x:v>
      </x:c>
      <x:c r="G130" t="str">
        <x:v>market_filter_failed</x:v>
      </x:c>
      <x:c r="H130" t="n">
        <x:v>1</x:v>
      </x:c>
      <x:c r="I130" t="n">
        <x:v>65.55835742838447</x:v>
      </x:c>
      <x:c r="J130" t="n">
        <x:v>18.70247422106765</x:v>
      </x:c>
      <x:c r="K130" t="n">
        <x:v>170.77999877929688</x:v>
      </x:c>
      <x:c r="L130" t="n">
        <x:v>166.11000061035156</x:v>
      </x:c>
      <x:c r="M130" t="n">
        <x:v>3194.0085246437643</x:v>
      </x:c>
      <x:c r="N130" t="n">
        <x:v>3106.6680042766316</x:v>
      </x:c>
      <x:c r="O130" t="n">
        <x:v>7.665620459145034</x:v>
      </x:c>
      <x:c r="P130" t="n">
        <x:v>7.456003210263915</x:v>
      </x:c>
      <x:c r="Q130" t="n">
        <x:v>170.77999877929688</x:v>
      </x:c>
      <x:c r="R130" t="n">
        <x:v>-2.7345111853411264</x:v>
      </x:c>
      <x:c r="S130" t="n">
        <x:v>-2.7345111853411264</x:v>
      </x:c>
      <x:c r="T130" t="n">
        <x:v>-3.2145111853411263</x:v>
      </x:c>
      <x:c r="U130" t="n">
        <x:f>YEAR(C130)</x:f>
        <x:v>2023</x:v>
      </x:c>
      <x:c r="V130" t="n">
        <x:f>YEAR(D130)</x:f>
        <x:v>2023</x:v>
      </x:c>
      <x:c r="W130" t="n">
        <x:f>N130-M130-O130-P130</x:f>
        <x:v>-102.46214403654169</x:v>
      </x:c>
      <x:c r="X130" t="str">
        <x:f>IF(T130&gt;1,"Ganador",IF(T130&lt;0,"Perdedor","Empate"))</x:f>
        <x:v>Perdedor</x:v>
      </x:c>
    </x:row>
    <x:row r="131">
      <x:c r="A131" t="str">
        <x:v>LVS</x:v>
      </x:c>
      <x:c r="B131" t="n">
        <x:v>44953</x:v>
      </x:c>
      <x:c r="C131" t="n">
        <x:v>44956</x:v>
      </x:c>
      <x:c r="D131" t="n">
        <x:v>44984</x:v>
      </x:c>
      <x:c r="E131" t="n">
        <x:v>28</x:v>
      </x:c>
      <x:c r="F131" t="str">
        <x:v>enter_or_hold</x:v>
      </x:c>
      <x:c r="G131" t="str">
        <x:v>market_filter_failed</x:v>
      </x:c>
      <x:c r="H131" t="n">
        <x:v>2</x:v>
      </x:c>
      <x:c r="I131" t="n">
        <x:v>46.43126417984573</x:v>
      </x:c>
      <x:c r="J131" t="n">
        <x:v>55.18328378890218</x:v>
      </x:c>
      <x:c r="K131" t="n">
        <x:v>57.880001068115234</x:v>
      </x:c>
      <x:c r="L131" t="n">
        <x:v>56.02000045776367</x:v>
      </x:c>
      <x:c r="M131" t="n">
        <x:v>3194.0085246437643</x:v>
      </x:c>
      <x:c r="N131" t="n">
        <x:v>3091.3675831152027</x:v>
      </x:c>
      <x:c r="O131" t="n">
        <x:v>7.665620459145034</x:v>
      </x:c>
      <x:c r="P131" t="n">
        <x:v>7.419282199476486</x:v>
      </x:c>
      <x:c r="Q131" t="n">
        <x:v>57.880001068115234</x:v>
      </x:c>
      <x:c r="R131" t="n">
        <x:v>-3.2135462612771004</x:v>
      </x:c>
      <x:c r="S131" t="n">
        <x:v>-3.2135462612771004</x:v>
      </x:c>
      <x:c r="T131" t="n">
        <x:v>-3.6935462612771004</x:v>
      </x:c>
      <x:c r="U131" t="n">
        <x:f>YEAR(C131)</x:f>
        <x:v>2023</x:v>
      </x:c>
      <x:c r="V131" t="n">
        <x:f>YEAR(D131)</x:f>
        <x:v>2023</x:v>
      </x:c>
      <x:c r="W131" t="n">
        <x:f>N131-M131-O131-P131</x:f>
        <x:v>-117.72584418718311</x:v>
      </x:c>
      <x:c r="X131" t="str">
        <x:f>IF(T131&gt;1,"Ganador",IF(T131&lt;0,"Perdedor","Empate"))</x:f>
        <x:v>Perdedor</x:v>
      </x:c>
    </x:row>
    <x:row r="132">
      <x:c r="A132" t="str">
        <x:v>STLD</x:v>
      </x:c>
      <x:c r="B132" t="n">
        <x:v>44953</x:v>
      </x:c>
      <x:c r="C132" t="n">
        <x:v>44956</x:v>
      </x:c>
      <x:c r="D132" t="n">
        <x:v>44984</x:v>
      </x:c>
      <x:c r="E132" t="n">
        <x:v>28</x:v>
      </x:c>
      <x:c r="F132" t="str">
        <x:v>enter_or_hold</x:v>
      </x:c>
      <x:c r="G132" t="str">
        <x:v>market_filter_failed</x:v>
      </x:c>
      <x:c r="H132" t="n">
        <x:v>4</x:v>
      </x:c>
      <x:c r="I132" t="n">
        <x:v>41.257032902913934</x:v>
      </x:c>
      <x:c r="J132" t="n">
        <x:v>26.820124467730235</x:v>
      </x:c>
      <x:c r="K132" t="n">
        <x:v>119.08999633789062</x:v>
      </x:c>
      <x:c r="L132" t="n">
        <x:v>121.33999633789062</x:v>
      </x:c>
      <x:c r="M132" t="n">
        <x:v>3194.0085246437643</x:v>
      </x:c>
      <x:c r="N132" t="n">
        <x:v>3254.3538046961576</x:v>
      </x:c>
      <x:c r="O132" t="n">
        <x:v>7.665620459145034</x:v>
      </x:c>
      <x:c r="P132" t="n">
        <x:v>7.810449131270778</x:v>
      </x:c>
      <x:c r="Q132" t="n">
        <x:v>119.08999633789062</x:v>
      </x:c>
      <x:c r="R132" t="n">
        <x:v>1.8893274575440655</x:v>
      </x:c>
      <x:c r="S132" t="n">
        <x:v>1.8893274575440655</x:v>
      </x:c>
      <x:c r="T132" t="n">
        <x:v>1.4093274575440655</x:v>
      </x:c>
      <x:c r="U132" t="n">
        <x:f>YEAR(C132)</x:f>
        <x:v>2023</x:v>
      </x:c>
      <x:c r="V132" t="n">
        <x:f>YEAR(D132)</x:f>
        <x:v>2023</x:v>
      </x:c>
      <x:c r="W132" t="n">
        <x:f>N132-M132-O132-P132</x:f>
        <x:v>44.86921046197745</x:v>
      </x:c>
      <x:c r="X132" t="str">
        <x:f>IF(T132&gt;1,"Ganador",IF(T132&lt;0,"Perdedor","Empate"))</x:f>
        <x:v>Ganador</x:v>
      </x:c>
    </x:row>
    <x:row r="133">
      <x:c r="A133" t="str">
        <x:v>URI</x:v>
      </x:c>
      <x:c r="B133" t="n">
        <x:v>44953</x:v>
      </x:c>
      <x:c r="C133" t="n">
        <x:v>44956</x:v>
      </x:c>
      <x:c r="D133" t="n">
        <x:v>44984</x:v>
      </x:c>
      <x:c r="E133" t="n">
        <x:v>28</x:v>
      </x:c>
      <x:c r="F133" t="str">
        <x:v>enter_or_hold</x:v>
      </x:c>
      <x:c r="G133" t="str">
        <x:v>market_filter_failed</x:v>
      </x:c>
      <x:c r="H133" t="n">
        <x:v>6</x:v>
      </x:c>
      <x:c r="I133" t="n">
        <x:v>37.66834301673785</x:v>
      </x:c>
      <x:c r="J133" t="n">
        <x:v>7.4445470376437894</x:v>
      </x:c>
      <x:c r="K133" t="n">
        <x:v>429.0400085449219</x:v>
      </x:c>
      <x:c r="L133" t="n">
        <x:v>463.260009765625</x:v>
      </x:c>
      <x:c r="M133" t="n">
        <x:v>3194.0085246437643</x:v>
      </x:c>
      <x:c r="N133" t="n">
        <x:v>3448.7609333595165</x:v>
      </x:c>
      <x:c r="O133" t="n">
        <x:v>7.665620459145034</x:v>
      </x:c>
      <x:c r="P133" t="n">
        <x:v>8.277026240062838</x:v>
      </x:c>
      <x:c r="Q133" t="n">
        <x:v>429.0400085449219</x:v>
      </x:c>
      <x:c r="R133" t="n">
        <x:v>7.9759464243811085</x:v>
      </x:c>
      <x:c r="S133" t="n">
        <x:v>7.9759464243811085</x:v>
      </x:c>
      <x:c r="T133" t="n">
        <x:v>7.495946424381108</x:v>
      </x:c>
      <x:c r="U133" t="n">
        <x:f>YEAR(C133)</x:f>
        <x:v>2023</x:v>
      </x:c>
      <x:c r="V133" t="n">
        <x:f>YEAR(D133)</x:f>
        <x:v>2023</x:v>
      </x:c>
      <x:c r="W133" t="n">
        <x:f>N133-M133-O133-P133</x:f>
        <x:v>238.80976201654428</x:v>
      </x:c>
      <x:c r="X133" t="str">
        <x:f>IF(T133&gt;1,"Ganador",IF(T133&lt;0,"Perdedor","Empate"))</x:f>
        <x:v>Ganador</x:v>
      </x:c>
    </x:row>
    <x:row r="134">
      <x:c r="A134" t="str">
        <x:v>AXON</x:v>
      </x:c>
      <x:c r="B134" t="n">
        <x:v>45016</x:v>
      </x:c>
      <x:c r="C134" t="n">
        <x:v>45019</x:v>
      </x:c>
      <x:c r="D134" t="n">
        <x:v>45047</x:v>
      </x:c>
      <x:c r="E134" t="n">
        <x:v>28</x:v>
      </x:c>
      <x:c r="F134" t="str">
        <x:v>enter_or_hold</x:v>
      </x:c>
      <x:c r="G134" t="str">
        <x:v>left_top_n</x:v>
      </x:c>
      <x:c r="H134" t="n">
        <x:v>4</x:v>
      </x:c>
      <x:c r="I134" t="n">
        <x:v>55.56309897841128</x:v>
      </x:c>
      <x:c r="J134" t="n">
        <x:v>14.207598015936629</x:v>
      </x:c>
      <x:c r="K134" t="n">
        <x:v>227.38999938964844</x:v>
      </x:c>
      <x:c r="L134" t="n">
        <x:v>216</x:v>
      </x:c>
      <x:c r="M134" t="n">
        <x:v>3230.6657041722005</x:v>
      </x:c>
      <x:c r="N134" t="n">
        <x:v>3068.841171442312</x:v>
      </x:c>
      <x:c r="O134" t="n">
        <x:v>7.75359769001328</x:v>
      </x:c>
      <x:c r="P134" t="n">
        <x:v>7.365218811461548</x:v>
      </x:c>
      <x:c r="Q134" t="n">
        <x:v>227.38999938964844</x:v>
      </x:c>
      <x:c r="R134" t="n">
        <x:v>-5.009015093109214</x:v>
      </x:c>
      <x:c r="S134" t="n">
        <x:v>-5.009015093109214</x:v>
      </x:c>
      <x:c r="T134" t="n">
        <x:v>-5.489015093109215</x:v>
      </x:c>
      <x:c r="U134" t="n">
        <x:f>YEAR(C134)</x:f>
        <x:v>2023</x:v>
      </x:c>
      <x:c r="V134" t="n">
        <x:f>YEAR(D134)</x:f>
        <x:v>2023</x:v>
      </x:c>
      <x:c r="W134" t="n">
        <x:f>N134-M134-O134-P134</x:f>
        <x:v>-176.94334923136353</x:v>
      </x:c>
      <x:c r="X134" t="str">
        <x:f>IF(T134&gt;1,"Ganador",IF(T134&lt;0,"Perdedor","Empate"))</x:f>
        <x:v>Perdedor</x:v>
      </x:c>
    </x:row>
    <x:row r="135">
      <x:c r="A135" t="str">
        <x:v>FICO</x:v>
      </x:c>
      <x:c r="B135" t="n">
        <x:v>45016</x:v>
      </x:c>
      <x:c r="C135" t="n">
        <x:v>45019</x:v>
      </x:c>
      <x:c r="D135" t="n">
        <x:v>45047</x:v>
      </x:c>
      <x:c r="E135" t="n">
        <x:v>28</x:v>
      </x:c>
      <x:c r="F135" t="str">
        <x:v>enter_or_hold</x:v>
      </x:c>
      <x:c r="G135" t="str">
        <x:v>left_top_n</x:v>
      </x:c>
      <x:c r="H135" t="n">
        <x:v>6</x:v>
      </x:c>
      <x:c r="I135" t="n">
        <x:v>36.94329101732114</x:v>
      </x:c>
      <x:c r="J135" t="n">
        <x:v>4.683209988406588</x:v>
      </x:c>
      <x:c r="K135" t="n">
        <x:v>689.8400268554688</x:v>
      </x:c>
      <x:c r="L135" t="n">
        <x:v>745.989990234375</x:v>
      </x:c>
      <x:c r="M135" t="n">
        <x:v>3230.6657041722005</x:v>
      </x:c>
      <x:c r="N135" t="n">
        <x:v>3493.6277735169583</x:v>
      </x:c>
      <x:c r="O135" t="n">
        <x:v>7.75359769001328</x:v>
      </x:c>
      <x:c r="P135" t="n">
        <x:v>8.384706656440699</x:v>
      </x:c>
      <x:c r="Q135" t="n">
        <x:v>689.8400268554688</x:v>
      </x:c>
      <x:c r="R135" t="n">
        <x:v>8.139562970107338</x:v>
      </x:c>
      <x:c r="S135" t="n">
        <x:v>8.139562970107338</x:v>
      </x:c>
      <x:c r="T135" t="n">
        <x:v>7.659562970107338</x:v>
      </x:c>
      <x:c r="U135" t="n">
        <x:f>YEAR(C135)</x:f>
        <x:v>2023</x:v>
      </x:c>
      <x:c r="V135" t="n">
        <x:f>YEAR(D135)</x:f>
        <x:v>2023</x:v>
      </x:c>
      <x:c r="W135" t="n">
        <x:f>N135-M135-O135-P135</x:f>
        <x:v>246.82376499830377</x:v>
      </x:c>
      <x:c r="X135" t="str">
        <x:f>IF(T135&gt;1,"Ganador",IF(T135&lt;0,"Perdedor","Empate"))</x:f>
        <x:v>Ganador</x:v>
      </x:c>
    </x:row>
    <x:row r="136">
      <x:c r="A136" t="str">
        <x:v>FSLR</x:v>
      </x:c>
      <x:c r="B136" t="n">
        <x:v>45016</x:v>
      </x:c>
      <x:c r="C136" t="n">
        <x:v>45019</x:v>
      </x:c>
      <x:c r="D136" t="n">
        <x:v>45047</x:v>
      </x:c>
      <x:c r="E136" t="n">
        <x:v>28</x:v>
      </x:c>
      <x:c r="F136" t="str">
        <x:v>enter_or_hold</x:v>
      </x:c>
      <x:c r="G136" t="str">
        <x:v>left_top_n</x:v>
      </x:c>
      <x:c r="H136" t="n">
        <x:v>1</x:v>
      </x:c>
      <x:c r="I136" t="n">
        <x:v>69.58581093215577</x:v>
      </x:c>
      <x:c r="J136" t="n">
        <x:v>15.495542323625324</x:v>
      </x:c>
      <x:c r="K136" t="n">
        <x:v>208.4900054931641</x:v>
      </x:c>
      <x:c r="L136" t="n">
        <x:v>180.8500061035156</x:v>
      </x:c>
      <x:c r="M136" t="n">
        <x:v>3230.6657041722005</x:v>
      </x:c>
      <x:c r="N136" t="n">
        <x:v>2802.368923804924</x:v>
      </x:c>
      <x:c r="O136" t="n">
        <x:v>7.75359769001328</x:v>
      </x:c>
      <x:c r="P136" t="n">
        <x:v>6.7256854171318174</x:v>
      </x:c>
      <x:c r="Q136" t="n">
        <x:v>208.4900054931641</x:v>
      </x:c>
      <x:c r="R136" t="n">
        <x:v>-13.257229920575131</x:v>
      </x:c>
      <x:c r="S136" t="n">
        <x:v>-13.257229920575131</x:v>
      </x:c>
      <x:c r="T136" t="n">
        <x:v>-13.737229920575132</x:v>
      </x:c>
      <x:c r="U136" t="n">
        <x:f>YEAR(C136)</x:f>
        <x:v>2023</x:v>
      </x:c>
      <x:c r="V136" t="n">
        <x:f>YEAR(D136)</x:f>
        <x:v>2023</x:v>
      </x:c>
      <x:c r="W136" t="n">
        <x:f>N136-M136-O136-P136</x:f>
        <x:v>-442.7760634744215</x:v>
      </x:c>
      <x:c r="X136" t="str">
        <x:f>IF(T136&gt;1,"Ganador",IF(T136&lt;0,"Perdedor","Empate"))</x:f>
        <x:v>Perdedor</x:v>
      </x:c>
    </x:row>
    <x:row r="137">
      <x:c r="A137" t="str">
        <x:v>GE</x:v>
      </x:c>
      <x:c r="B137" t="n">
        <x:v>45016</x:v>
      </x:c>
      <x:c r="C137" t="n">
        <x:v>45019</x:v>
      </x:c>
      <x:c r="D137" t="n">
        <x:v>45047</x:v>
      </x:c>
      <x:c r="E137" t="n">
        <x:v>28</x:v>
      </x:c>
      <x:c r="F137" t="str">
        <x:v>enter_or_hold</x:v>
      </x:c>
      <x:c r="G137" t="str">
        <x:v>rebalance_trim</x:v>
      </x:c>
      <x:c r="H137" t="n">
        <x:v>5</x:v>
      </x:c>
      <x:c r="I137" t="n">
        <x:v>46.29621668828159</x:v>
      </x:c>
      <x:c r="J137" t="n">
        <x:v>2.4119108870418073</x:v>
      </x:c>
      <x:c r="K137" t="n">
        <x:v>77.35035705566406</x:v>
      </x:c>
      <x:c r="L137" t="n">
        <x:v>80.75019836425781</x:v>
      </x:c>
      <x:c r="M137" t="n">
        <x:v>186.56216829912722</x:v>
      </x:c>
      <x:c r="N137" t="n">
        <x:v>194.76228256553895</x:v>
      </x:c>
      <x:c r="O137" t="n">
        <x:v>0.4477492039179053</x:v>
      </x:c>
      <x:c r="P137" t="n">
        <x:v>0.46742947815729347</x:v>
      </x:c>
      <x:c r="Q137" t="n">
        <x:v>77.35035705566406</x:v>
      </x:c>
      <x:c r="R137" t="n">
        <x:v>4.395378945887862</x:v>
      </x:c>
      <x:c r="S137" t="n">
        <x:v>4.395378945887862</x:v>
      </x:c>
      <x:c r="T137" t="n">
        <x:v>3.9153789458878623</x:v>
      </x:c>
      <x:c r="U137" t="n">
        <x:f>YEAR(C137)</x:f>
        <x:v>2023</x:v>
      </x:c>
      <x:c r="V137" t="n">
        <x:f>YEAR(D137)</x:f>
        <x:v>2023</x:v>
      </x:c>
      <x:c r="W137" t="n">
        <x:f>N137-M137-O137-P137</x:f>
        <x:v>7.284935584336532</x:v>
      </x:c>
      <x:c r="X137" t="str">
        <x:f>IF(T137&gt;1,"Ganador",IF(T137&lt;0,"Perdedor","Empate"))</x:f>
        <x:v>Ganador</x:v>
      </x:c>
    </x:row>
    <x:row r="138">
      <x:c r="A138" t="str">
        <x:v>NVDA</x:v>
      </x:c>
      <x:c r="B138" t="n">
        <x:v>45016</x:v>
      </x:c>
      <x:c r="C138" t="n">
        <x:v>45019</x:v>
      </x:c>
      <x:c r="D138" t="n">
        <x:v>45047</x:v>
      </x:c>
      <x:c r="E138" t="n">
        <x:v>28</x:v>
      </x:c>
      <x:c r="F138" t="str">
        <x:v>enter_or_hold</x:v>
      </x:c>
      <x:c r="G138" t="str">
        <x:v>rebalance_trim</x:v>
      </x:c>
      <x:c r="H138" t="n">
        <x:v>3</x:v>
      </x:c>
      <x:c r="I138" t="n">
        <x:v>57.25786156824635</x:v>
      </x:c>
      <x:c r="J138" t="n">
        <x:v>5.601303327616076</x:v>
      </x:c>
      <x:c r="K138" t="n">
        <x:v>27.96500015258789</x:v>
      </x:c>
      <x:c r="L138" t="n">
        <x:v>28.90999984741211</x:v>
      </x:c>
      <x:c r="M138" t="n">
        <x:v>156.64044841147464</x:v>
      </x:c>
      <x:c r="N138" t="n">
        <x:v>161.9336783466897</x:v>
      </x:c>
      <x:c r="O138" t="n">
        <x:v>0.3759370761875391</x:v>
      </x:c>
      <x:c r="P138" t="n">
        <x:v>0.38864082803205524</x:v>
      </x:c>
      <x:c r="Q138" t="n">
        <x:v>27.96500015258789</x:v>
      </x:c>
      <x:c r="R138" t="n">
        <x:v>3.3792229203216007</x:v>
      </x:c>
      <x:c r="S138" t="n">
        <x:v>3.3792229203216007</x:v>
      </x:c>
      <x:c r="T138" t="n">
        <x:v>2.8992229203216007</x:v>
      </x:c>
      <x:c r="U138" t="n">
        <x:f>YEAR(C138)</x:f>
        <x:v>2023</x:v>
      </x:c>
      <x:c r="V138" t="n">
        <x:f>YEAR(D138)</x:f>
        <x:v>2023</x:v>
      </x:c>
      <x:c r="W138" t="n">
        <x:f>N138-M138-O138-P138</x:f>
        <x:v>4.528652030995472</x:v>
      </x:c>
      <x:c r="X138" t="str">
        <x:f>IF(T138&gt;1,"Ganador",IF(T138&lt;0,"Perdedor","Empate"))</x:f>
        <x:v>Ganador</x:v>
      </x:c>
    </x:row>
    <x:row r="139">
      <x:c r="A139" t="str">
        <x:v>GE</x:v>
      </x:c>
      <x:c r="B139" t="n">
        <x:v>45016</x:v>
      </x:c>
      <x:c r="C139" t="n">
        <x:v>45019</x:v>
      </x:c>
      <x:c r="D139" t="n">
        <x:v>45076</x:v>
      </x:c>
      <x:c r="E139" t="n">
        <x:v>57</x:v>
      </x:c>
      <x:c r="F139" t="str">
        <x:v>enter_or_hold</x:v>
      </x:c>
      <x:c r="G139" t="str">
        <x:v>left_top_n</x:v>
      </x:c>
      <x:c r="H139" t="n">
        <x:v>5</x:v>
      </x:c>
      <x:c r="I139" t="n">
        <x:v>46.29621668828159</x:v>
      </x:c>
      <x:c r="J139" t="n">
        <x:v>39.354744460745394</x:v>
      </x:c>
      <x:c r="K139" t="n">
        <x:v>77.35035705566406</x:v>
      </x:c>
      <x:c r="L139" t="n">
        <x:v>81.72386169433594</x:v>
      </x:c>
      <x:c r="M139" t="n">
        <x:v>3044.1035358730733</x:v>
      </x:c>
      <x:c r="N139" t="n">
        <x:v>3216.22169332589</x:v>
      </x:c>
      <x:c r="O139" t="n">
        <x:v>7.305848486095375</x:v>
      </x:c>
      <x:c r="P139" t="n">
        <x:v>7.718932063982136</x:v>
      </x:c>
      <x:c r="Q139" t="n">
        <x:v>77.35035705566406</x:v>
      </x:c>
      <x:c r="R139" t="n">
        <x:v>5.654149256899421</x:v>
      </x:c>
      <x:c r="S139" t="n">
        <x:v>5.654149256899421</x:v>
      </x:c>
      <x:c r="T139" t="n">
        <x:v>5.174149256899421</x:v>
      </x:c>
      <x:c r="U139" t="n">
        <x:f>YEAR(C139)</x:f>
        <x:v>2023</x:v>
      </x:c>
      <x:c r="V139" t="n">
        <x:f>YEAR(D139)</x:f>
        <x:v>2023</x:v>
      </x:c>
      <x:c r="W139" t="n">
        <x:f>N139-M139-O139-P139</x:f>
        <x:v>157.09337690273932</x:v>
      </x:c>
      <x:c r="X139" t="str">
        <x:f>IF(T139&gt;1,"Ganador",IF(T139&lt;0,"Perdedor","Empate"))</x:f>
        <x:v>Ganador</x:v>
      </x:c>
    </x:row>
    <x:row r="140">
      <x:c r="A140" t="str">
        <x:v>LVS</x:v>
      </x:c>
      <x:c r="B140" t="n">
        <x:v>45044</x:v>
      </x:c>
      <x:c r="C140" t="n">
        <x:v>45047</x:v>
      </x:c>
      <x:c r="D140" t="n">
        <x:v>45076</x:v>
      </x:c>
      <x:c r="E140" t="n">
        <x:v>29</x:v>
      </x:c>
      <x:c r="F140" t="str">
        <x:v>enter_or_hold</x:v>
      </x:c>
      <x:c r="G140" t="str">
        <x:v>left_top_n</x:v>
      </x:c>
      <x:c r="H140" t="n">
        <x:v>6</x:v>
      </x:c>
      <x:c r="I140" t="n">
        <x:v>42.83993131375312</x:v>
      </x:c>
      <x:c r="J140" t="n">
        <x:v>48.875409698771946</x:v>
      </x:c>
      <x:c r="K140" t="n">
        <x:v>64.86000061035156</x:v>
      </x:c>
      <x:c r="L140" t="n">
        <x:v>55.02999877929688</x:v>
      </x:c>
      <x:c r="M140" t="n">
        <x:v>3170.059102893531</x:v>
      </x:c>
      <x:c r="N140" t="n">
        <x:v>2689.613736061055</x:v>
      </x:c>
      <x:c r="O140" t="n">
        <x:v>7.6081418469444735</x:v>
      </x:c>
      <x:c r="P140" t="n">
        <x:v>6.455072966546532</x:v>
      </x:c>
      <x:c r="Q140" t="n">
        <x:v>64.86000061035156</x:v>
      </x:c>
      <x:c r="R140" t="n">
        <x:v>-15.155722692802176</x:v>
      </x:c>
      <x:c r="S140" t="n">
        <x:v>-15.155722692802176</x:v>
      </x:c>
      <x:c r="T140" t="n">
        <x:v>-15.635722692802176</x:v>
      </x:c>
      <x:c r="U140" t="n">
        <x:f>YEAR(C140)</x:f>
        <x:v>2023</x:v>
      </x:c>
      <x:c r="V140" t="n">
        <x:f>YEAR(D140)</x:f>
        <x:v>2023</x:v>
      </x:c>
      <x:c r="W140" t="n">
        <x:f>N140-M140-O140-P140</x:f>
        <x:v>-494.5085816459669</x:v>
      </x:c>
      <x:c r="X140" t="str">
        <x:f>IF(T140&gt;1,"Ganador",IF(T140&lt;0,"Perdedor","Empate"))</x:f>
        <x:v>Perdedor</x:v>
      </x:c>
    </x:row>
    <x:row r="141">
      <x:c r="A141" t="str">
        <x:v>PHM</x:v>
      </x:c>
      <x:c r="B141" t="n">
        <x:v>45044</x:v>
      </x:c>
      <x:c r="C141" t="n">
        <x:v>45047</x:v>
      </x:c>
      <x:c r="D141" t="n">
        <x:v>45076</x:v>
      </x:c>
      <x:c r="E141" t="n">
        <x:v>29</x:v>
      </x:c>
      <x:c r="F141" t="str">
        <x:v>enter_or_hold</x:v>
      </x:c>
      <x:c r="G141" t="str">
        <x:v>left_top_n</x:v>
      </x:c>
      <x:c r="H141" t="n">
        <x:v>5</x:v>
      </x:c>
      <x:c r="I141" t="n">
        <x:v>43.70138961230701</x:v>
      </x:c>
      <x:c r="J141" t="n">
        <x:v>48.19183888296533</x:v>
      </x:c>
      <x:c r="K141" t="n">
        <x:v>65.77999877929688</x:v>
      </x:c>
      <x:c r="L141" t="n">
        <x:v>66.69000244140625</x:v>
      </x:c>
      <x:c r="M141" t="n">
        <x:v>3170.059102893531</x:v>
      </x:c>
      <x:c r="N141" t="n">
        <x:v>3213.9138527608143</x:v>
      </x:c>
      <x:c r="O141" t="n">
        <x:v>7.6081418469444735</x:v>
      </x:c>
      <x:c r="P141" t="n">
        <x:v>7.713393246625953</x:v>
      </x:c>
      <x:c r="Q141" t="n">
        <x:v>65.77999877929688</x:v>
      </x:c>
      <x:c r="R141" t="n">
        <x:v>1.383404802366428</x:v>
      </x:c>
      <x:c r="S141" t="n">
        <x:v>1.383404802366428</x:v>
      </x:c>
      <x:c r="T141" t="n">
        <x:v>0.9034048023664281</x:v>
      </x:c>
      <x:c r="U141" t="n">
        <x:f>YEAR(C141)</x:f>
        <x:v>2023</x:v>
      </x:c>
      <x:c r="V141" t="n">
        <x:f>YEAR(D141)</x:f>
        <x:v>2023</x:v>
      </x:c>
      <x:c r="W141" t="n">
        <x:f>N141-M141-O141-P141</x:f>
        <x:v>28.533214773712885</x:v>
      </x:c>
      <x:c r="X141" t="str">
        <x:f>IF(T141&gt;1,"Ganador",IF(T141&lt;0,"Perdedor","Empate"))</x:f>
        <x:v>Empate</x:v>
      </x:c>
    </x:row>
    <x:row r="142">
      <x:c r="A142" t="str">
        <x:v>NVDA</x:v>
      </x:c>
      <x:c r="B142" t="n">
        <x:v>45016</x:v>
      </x:c>
      <x:c r="C142" t="n">
        <x:v>45019</x:v>
      </x:c>
      <x:c r="D142" t="n">
        <x:v>45076</x:v>
      </x:c>
      <x:c r="E142" t="n">
        <x:v>57</x:v>
      </x:c>
      <x:c r="F142" t="str">
        <x:v>enter_or_hold</x:v>
      </x:c>
      <x:c r="G142" t="str">
        <x:v>rebalance_trim</x:v>
      </x:c>
      <x:c r="H142" t="n">
        <x:v>3</x:v>
      </x:c>
      <x:c r="I142" t="n">
        <x:v>57.25786156824635</x:v>
      </x:c>
      <x:c r="J142" t="n">
        <x:v>10.176719906508984</x:v>
      </x:c>
      <x:c r="K142" t="n">
        <x:v>27.96500015258789</x:v>
      </x:c>
      <x:c r="L142" t="n">
        <x:v>40.11100006103516</x:v>
      </x:c>
      <x:c r="M142" t="n">
        <x:v>284.5919737383679</x:v>
      </x:c>
      <x:c r="N142" t="n">
        <x:v>408.1984127911196</x:v>
      </x:c>
      <x:c r="O142" t="n">
        <x:v>0.683020736972083</x:v>
      </x:c>
      <x:c r="P142" t="n">
        <x:v>0.9796761906986869</x:v>
      </x:c>
      <x:c r="Q142" t="n">
        <x:v>27.96500015258789</x:v>
      </x:c>
      <x:c r="R142" t="n">
        <x:v>43.432861942335</x:v>
      </x:c>
      <x:c r="S142" t="n">
        <x:v>43.432861942335</x:v>
      </x:c>
      <x:c r="T142" t="n">
        <x:v>42.952861942335005</x:v>
      </x:c>
      <x:c r="U142" t="n">
        <x:f>YEAR(C142)</x:f>
        <x:v>2023</x:v>
      </x:c>
      <x:c r="V142" t="n">
        <x:f>YEAR(D142)</x:f>
        <x:v>2023</x:v>
      </x:c>
      <x:c r="W142" t="n">
        <x:f>N142-M142-O142-P142</x:f>
        <x:v>121.94374212508092</x:v>
      </x:c>
      <x:c r="X142" t="str">
        <x:f>IF(T142&gt;1,"Ganador",IF(T142&lt;0,"Perdedor","Empate"))</x:f>
        <x:v>Ganador</x:v>
      </x:c>
    </x:row>
    <x:row r="143">
      <x:c r="A143" t="str">
        <x:v>SMCI</x:v>
      </x:c>
      <x:c r="B143" t="n">
        <x:v>45016</x:v>
      </x:c>
      <x:c r="C143" t="n">
        <x:v>45019</x:v>
      </x:c>
      <x:c r="D143" t="n">
        <x:v>45076</x:v>
      </x:c>
      <x:c r="E143" t="n">
        <x:v>57</x:v>
      </x:c>
      <x:c r="F143" t="str">
        <x:v>enter_or_hold</x:v>
      </x:c>
      <x:c r="G143" t="str">
        <x:v>rebalance_trim</x:v>
      </x:c>
      <x:c r="H143" t="n">
        <x:v>4</x:v>
      </x:c>
      <x:c r="I143" t="n">
        <x:v>44.686513783044376</x:v>
      </x:c>
      <x:c r="J143" t="n">
        <x:v>131.38074274540526</x:v>
      </x:c>
      <x:c r="K143" t="n">
        <x:v>11.23252835931908</x:v>
      </x:c>
      <x:c r="L143" t="n">
        <x:v>23.40999984741211</x:v>
      </x:c>
      <x:c r="M143" t="n">
        <x:v>1475.737918756169</x:v>
      </x:c>
      <x:c r="N143" t="n">
        <x:v>3075.6231676228267</x:v>
      </x:c>
      <x:c r="O143" t="n">
        <x:v>3.541771005014805</x:v>
      </x:c>
      <x:c r="P143" t="n">
        <x:v>7.381495602294783</x:v>
      </x:c>
      <x:c r="Q143" t="n">
        <x:v>11.272000312805176</x:v>
      </x:c>
      <x:c r="R143" t="n">
        <x:v>107.68274660902884</x:v>
      </x:c>
      <x:c r="S143" t="n">
        <x:v>108.41255947499992</x:v>
      </x:c>
      <x:c r="T143" t="n">
        <x:v>107.93255947499992</x:v>
      </x:c>
      <x:c r="U143" t="n">
        <x:f>YEAR(C143)</x:f>
        <x:v>2023</x:v>
      </x:c>
      <x:c r="V143" t="n">
        <x:f>YEAR(D143)</x:f>
        <x:v>2023</x:v>
      </x:c>
      <x:c r="W143" t="n">
        <x:f>N143-M143-O143-P143</x:f>
        <x:v>1588.9619822593481</x:v>
      </x:c>
      <x:c r="X143" t="str">
        <x:f>IF(T143&gt;1,"Ganador",IF(T143&lt;0,"Perdedor","Empate"))</x:f>
        <x:v>Ganador</x:v>
      </x:c>
    </x:row>
    <x:row r="144">
      <x:c r="A144" t="str">
        <x:v>META</x:v>
      </x:c>
      <x:c r="B144" t="n">
        <x:v>45044</x:v>
      </x:c>
      <x:c r="C144" t="n">
        <x:v>45047</x:v>
      </x:c>
      <x:c r="D144" t="n">
        <x:v>45110</x:v>
      </x:c>
      <x:c r="E144" t="n">
        <x:v>63</x:v>
      </x:c>
      <x:c r="F144" t="str">
        <x:v>enter_or_hold</x:v>
      </x:c>
      <x:c r="G144" t="str">
        <x:v>left_top_n</x:v>
      </x:c>
      <x:c r="H144" t="n">
        <x:v>5</x:v>
      </x:c>
      <x:c r="I144" t="n">
        <x:v>58.946062954741166</x:v>
      </x:c>
      <x:c r="J144" t="n">
        <x:v>15.229546457303428</x:v>
      </x:c>
      <x:c r="K144" t="n">
        <x:v>245.96576088643127</x:v>
      </x:c>
      <x:c r="L144" t="n">
        <x:v>286.0199890136719</x:v>
      </x:c>
      <x:c r="M144" t="n">
        <x:v>3745.9469823258914</x:v>
      </x:c>
      <x:c r="N144" t="n">
        <x:v>4355.954710401132</x:v>
      </x:c>
      <x:c r="O144" t="n">
        <x:v>8.990272757582138</x:v>
      </x:c>
      <x:c r="P144" t="n">
        <x:v>10.454291304962716</x:v>
      </x:c>
      <x:c r="Q144" t="n">
        <x:v>243.17999267578125</x:v>
      </x:c>
      <x:c r="R144" t="n">
        <x:v>17.61657933554053</x:v>
      </x:c>
      <x:c r="S144" t="n">
        <x:v>16.284473083932482</x:v>
      </x:c>
      <x:c r="T144" t="n">
        <x:v>15.804473083932482</x:v>
      </x:c>
      <x:c r="U144" t="n">
        <x:f>YEAR(C144)</x:f>
        <x:v>2023</x:v>
      </x:c>
      <x:c r="V144" t="n">
        <x:f>YEAR(D144)</x:f>
        <x:v>2023</x:v>
      </x:c>
      <x:c r="W144" t="n">
        <x:f>N144-M144-O144-P144</x:f>
        <x:v>590.5631640126954</x:v>
      </x:c>
      <x:c r="X144" t="str">
        <x:f>IF(T144&gt;1,"Ganador",IF(T144&lt;0,"Perdedor","Empate"))</x:f>
        <x:v>Ganador</x:v>
      </x:c>
    </x:row>
    <x:row r="145">
      <x:c r="A145" t="str">
        <x:v>AMD</x:v>
      </x:c>
      <x:c r="B145" t="n">
        <x:v>45072</x:v>
      </x:c>
      <x:c r="C145" t="n">
        <x:v>45076</x:v>
      </x:c>
      <x:c r="D145" t="n">
        <x:v>45110</x:v>
      </x:c>
      <x:c r="E145" t="n">
        <x:v>34</x:v>
      </x:c>
      <x:c r="F145" t="str">
        <x:v>enter_or_hold</x:v>
      </x:c>
      <x:c r="G145" t="str">
        <x:v>left_top_n</x:v>
      </x:c>
      <x:c r="H145" t="n">
        <x:v>6</x:v>
      </x:c>
      <x:c r="I145" t="n">
        <x:v>55.44103332806252</x:v>
      </x:c>
      <x:c r="J145" t="n">
        <x:v>31.844099436395393</x:v>
      </x:c>
      <x:c r="K145" t="n">
        <x:v>125.2699966430664</x:v>
      </x:c>
      <x:c r="L145" t="n">
        <x:v>115.81999969482422</x:v>
      </x:c>
      <x:c r="M145" t="n">
        <x:v>3989.1102294987236</x:v>
      </x:c>
      <x:c r="N145" t="n">
        <x:v>3688.1835870052664</x:v>
      </x:c>
      <x:c r="O145" t="n">
        <x:v>9.573864550796936</x:v>
      </x:c>
      <x:c r="P145" t="n">
        <x:v>8.85164060881264</x:v>
      </x:c>
      <x:c r="Q145" t="n">
        <x:v>125.2699966430664</x:v>
      </x:c>
      <x:c r="R145" t="n">
        <x:v>-7.543703361921694</x:v>
      </x:c>
      <x:c r="S145" t="n">
        <x:v>-7.543703361921694</x:v>
      </x:c>
      <x:c r="T145" t="n">
        <x:v>-8.023703361921694</x:v>
      </x:c>
      <x:c r="U145" t="n">
        <x:f>YEAR(C145)</x:f>
        <x:v>2023</x:v>
      </x:c>
      <x:c r="V145" t="n">
        <x:f>YEAR(D145)</x:f>
        <x:v>2023</x:v>
      </x:c>
      <x:c r="W145" t="n">
        <x:f>N145-M145-O145-P145</x:f>
        <x:v>-319.35214765306677</x:v>
      </x:c>
      <x:c r="X145" t="str">
        <x:f>IF(T145&gt;1,"Ganador",IF(T145&lt;0,"Perdedor","Empate"))</x:f>
        <x:v>Perdedor</x:v>
      </x:c>
    </x:row>
    <x:row r="146">
      <x:c r="A146" t="str">
        <x:v>BLDR</x:v>
      </x:c>
      <x:c r="B146" t="n">
        <x:v>45072</x:v>
      </x:c>
      <x:c r="C146" t="n">
        <x:v>45076</x:v>
      </x:c>
      <x:c r="D146" t="n">
        <x:v>45110</x:v>
      </x:c>
      <x:c r="E146" t="n">
        <x:v>34</x:v>
      </x:c>
      <x:c r="F146" t="str">
        <x:v>enter_or_hold</x:v>
      </x:c>
      <x:c r="G146" t="str">
        <x:v>rebalance_trim</x:v>
      </x:c>
      <x:c r="H146" t="n">
        <x:v>4</x:v>
      </x:c>
      <x:c r="I146" t="n">
        <x:v>58.9753931521732</x:v>
      </x:c>
      <x:c r="J146" t="n">
        <x:v>2.916061257615998</x:v>
      </x:c>
      <x:c r="K146" t="n">
        <x:v>117.66999816894533</x:v>
      </x:c>
      <x:c r="L146" t="n">
        <x:v>136.3300018310547</x:v>
      </x:c>
      <x:c r="M146" t="n">
        <x:v>343.1329228442069</x:v>
      </x:c>
      <x:c r="N146" t="n">
        <x:v>397.54663659025664</x:v>
      </x:c>
      <x:c r="O146" t="n">
        <x:v>0.8235190148260965</x:v>
      </x:c>
      <x:c r="P146" t="n">
        <x:v>0.9541119278166158</x:v>
      </x:c>
      <x:c r="Q146" t="n">
        <x:v>117.66999816894533</x:v>
      </x:c>
      <x:c r="R146" t="n">
        <x:v>15.857911066946873</x:v>
      </x:c>
      <x:c r="S146" t="n">
        <x:v>15.857911066946873</x:v>
      </x:c>
      <x:c r="T146" t="n">
        <x:v>15.377911066946872</x:v>
      </x:c>
      <x:c r="U146" t="n">
        <x:f>YEAR(C146)</x:f>
        <x:v>2023</x:v>
      </x:c>
      <x:c r="V146" t="n">
        <x:f>YEAR(D146)</x:f>
        <x:v>2023</x:v>
      </x:c>
      <x:c r="W146" t="n">
        <x:f>N146-M146-O146-P146</x:f>
        <x:v>52.63608280340701</x:v>
      </x:c>
      <x:c r="X146" t="str">
        <x:f>IF(T146&gt;1,"Ganador",IF(T146&lt;0,"Perdedor","Empate"))</x:f>
        <x:v>Ganador</x:v>
      </x:c>
    </x:row>
    <x:row r="147">
      <x:c r="A147" t="str">
        <x:v>NVDA</x:v>
      </x:c>
      <x:c r="B147" t="n">
        <x:v>45016</x:v>
      </x:c>
      <x:c r="C147" t="n">
        <x:v>45019</x:v>
      </x:c>
      <x:c r="D147" t="n">
        <x:v>45110</x:v>
      </x:c>
      <x:c r="E147" t="n">
        <x:v>91</x:v>
      </x:c>
      <x:c r="F147" t="str">
        <x:v>enter_or_hold</x:v>
      </x:c>
      <x:c r="G147" t="str">
        <x:v>rebalance_trim</x:v>
      </x:c>
      <x:c r="H147" t="n">
        <x:v>3</x:v>
      </x:c>
      <x:c r="I147" t="n">
        <x:v>57.25786156824635</x:v>
      </x:c>
      <x:c r="J147" t="n">
        <x:v>0.15157956130859773</x:v>
      </x:c>
      <x:c r="K147" t="n">
        <x:v>27.96500015258789</x:v>
      </x:c>
      <x:c r="L147" t="n">
        <x:v>42.41299819946289</x:v>
      </x:c>
      <x:c r="M147" t="n">
        <x:v>4.238922455124142</x:v>
      </x:c>
      <x:c r="N147" t="n">
        <x:v>6.42894366085693</x:v>
      </x:c>
      <x:c r="O147" t="n">
        <x:v>0.010173413892297936</x:v>
      </x:c>
      <x:c r="P147" t="n">
        <x:v>0.015429464786056632</x:v>
      </x:c>
      <x:c r="Q147" t="n">
        <x:v>27.96500015258789</x:v>
      </x:c>
      <x:c r="R147" t="n">
        <x:v>51.66457345982878</x:v>
      </x:c>
      <x:c r="S147" t="n">
        <x:v>51.66457345982878</x:v>
      </x:c>
      <x:c r="T147" t="n">
        <x:v>51.18457345982878</x:v>
      </x:c>
      <x:c r="U147" t="n">
        <x:f>YEAR(C147)</x:f>
        <x:v>2023</x:v>
      </x:c>
      <x:c r="V147" t="n">
        <x:f>YEAR(D147)</x:f>
        <x:v>2023</x:v>
      </x:c>
      <x:c r="W147" t="n">
        <x:f>N147-M147-O147-P147</x:f>
        <x:v>2.1644183270544346</x:v>
      </x:c>
      <x:c r="X147" t="str">
        <x:f>IF(T147&gt;1,"Ganador",IF(T147&lt;0,"Perdedor","Empate"))</x:f>
        <x:v>Ganador</x:v>
      </x:c>
    </x:row>
    <x:row r="148">
      <x:c r="A148" t="str">
        <x:v>SMCI</x:v>
      </x:c>
      <x:c r="B148" t="n">
        <x:v>45016</x:v>
      </x:c>
      <x:c r="C148" t="n">
        <x:v>45019</x:v>
      </x:c>
      <x:c r="D148" t="n">
        <x:v>45110</x:v>
      </x:c>
      <x:c r="E148" t="n">
        <x:v>91</x:v>
      </x:c>
      <x:c r="F148" t="str">
        <x:v>enter_or_hold</x:v>
      </x:c>
      <x:c r="G148" t="str">
        <x:v>rebalance_trim</x:v>
      </x:c>
      <x:c r="H148" t="n">
        <x:v>4</x:v>
      </x:c>
      <x:c r="I148" t="n">
        <x:v>44.686513783044376</x:v>
      </x:c>
      <x:c r="J148" t="n">
        <x:v>1.3997777212427094</x:v>
      </x:c>
      <x:c r="K148" t="n">
        <x:v>11.23252835931908</x:v>
      </x:c>
      <x:c r="L148" t="n">
        <x:v>24.920000076293945</x:v>
      </x:c>
      <x:c r="M148" t="n">
        <x:v>15.72304295060177</x:v>
      </x:c>
      <x:c r="N148" t="n">
        <x:v>34.882460920162885</x:v>
      </x:c>
      <x:c r="O148" t="n">
        <x:v>0.03773530308144424</x:v>
      </x:c>
      <x:c r="P148" t="n">
        <x:v>0.08371790620839091</x:v>
      </x:c>
      <x:c r="Q148" t="n">
        <x:v>11.272000312805176</x:v>
      </x:c>
      <x:c r="R148" t="n">
        <x:v>121.07877381785039</x:v>
      </x:c>
      <x:c r="S148" t="n">
        <x:v>121.8556613357583</x:v>
      </x:c>
      <x:c r="T148" t="n">
        <x:v>121.3756613357583</x:v>
      </x:c>
      <x:c r="U148" t="n">
        <x:f>YEAR(C148)</x:f>
        <x:v>2023</x:v>
      </x:c>
      <x:c r="V148" t="n">
        <x:f>YEAR(D148)</x:f>
        <x:v>2023</x:v>
      </x:c>
      <x:c r="W148" t="n">
        <x:f>N148-M148-O148-P148</x:f>
        <x:v>19.03796476027128</x:v>
      </x:c>
      <x:c r="X148" t="str">
        <x:f>IF(T148&gt;1,"Ganador",IF(T148&lt;0,"Perdedor","Empate"))</x:f>
        <x:v>Ganador</x:v>
      </x:c>
    </x:row>
    <x:row r="149">
      <x:c r="A149" t="str">
        <x:v>BLDR</x:v>
      </x:c>
      <x:c r="B149" t="n">
        <x:v>45072</x:v>
      </x:c>
      <x:c r="C149" t="n">
        <x:v>45076</x:v>
      </x:c>
      <x:c r="D149" t="n">
        <x:v>45138</x:v>
      </x:c>
      <x:c r="E149" t="n">
        <x:v>62</x:v>
      </x:c>
      <x:c r="F149" t="str">
        <x:v>enter_or_hold</x:v>
      </x:c>
      <x:c r="G149" t="str">
        <x:v>left_top_n</x:v>
      </x:c>
      <x:c r="H149" t="n">
        <x:v>4</x:v>
      </x:c>
      <x:c r="I149" t="n">
        <x:v>58.9753931521732</x:v>
      </x:c>
      <x:c r="J149" t="n">
        <x:v>30.984765559525083</x:v>
      </x:c>
      <x:c r="K149" t="n">
        <x:v>117.66999816894533</x:v>
      </x:c>
      <x:c r="L149" t="n">
        <x:v>144.42999267578125</x:v>
      </x:c>
      <x:c r="M149" t="n">
        <x:v>3645.9773066545167</x:v>
      </x:c>
      <x:c r="N149" t="n">
        <x:v>4475.129462823007</x:v>
      </x:c>
      <x:c r="O149" t="n">
        <x:v>8.750345535970839</x:v>
      </x:c>
      <x:c r="P149" t="n">
        <x:v>10.740310710775216</x:v>
      </x:c>
      <x:c r="Q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:v>
      </x:c>
      <x:c r="U149" t="n">
        <x:f>YEAR(C149)</x:f>
        <x:v>2023</x:v>
      </x:c>
      <x:c r="V149" t="n">
        <x:f>YEAR(D149)</x:f>
        <x:v>2023</x:v>
      </x:c>
      <x:c r="W149" t="n">
        <x:f>N149-M149-O149-P149</x:f>
        <x:v>809.6614999217443</x:v>
      </x:c>
      <x:c r="X149" t="str">
        <x:f>IF(T149&gt;1,"Ganador",IF(T149&lt;0,"Perdedor","Empate"))</x:f>
        <x:v>Ganador</x:v>
      </x:c>
    </x:row>
    <x:row r="150">
      <x:c r="A150" t="str">
        <x:v>RCL</x:v>
      </x:c>
      <x:c r="B150" t="n">
        <x:v>45107</x:v>
      </x:c>
      <x:c r="C150" t="n">
        <x:v>45110</x:v>
      </x:c>
      <x:c r="D150" t="n">
        <x:v>45138</x:v>
      </x:c>
      <x:c r="E150" t="n">
        <x:v>28</x:v>
      </x:c>
      <x:c r="F150" t="str">
        <x:v>enter_or_hold</x:v>
      </x:c>
      <x:c r="G150" t="str">
        <x:v>left_top_n</x:v>
      </x:c>
      <x:c r="H150" t="n">
        <x:v>4</x:v>
      </x:c>
      <x:c r="I150" t="n">
        <x:v>73.47714181753975</x:v>
      </x:c>
      <x:c r="J150" t="n">
        <x:v>40.82947907105758</x:v>
      </x:c>
      <x:c r="K150" t="n">
        <x:v>103.1999969482422</x:v>
      </x:c>
      <x:c r="L150" t="n">
        <x:v>109.11000061035156</x:v>
      </x:c>
      <x:c r="M150" t="n">
        <x:v>4213.602115531461</x:v>
      </x:c>
      <x:c r="N150" t="n">
        <x:v>4454.904486363429</x:v>
      </x:c>
      <x:c r="O150" t="n">
        <x:v>10.112645077275506</x:v>
      </x:c>
      <x:c r="P150" t="n">
        <x:v>10.691770767272228</x:v>
      </x:c>
      <x:c r="Q150" t="n">
        <x:v>103.1999969482422</x:v>
      </x:c>
      <x:c r="R150" t="n">
        <x:v>5.726747903949447</x:v>
      </x:c>
      <x:c r="S150" t="n">
        <x:v>5.726747903949447</x:v>
      </x:c>
      <x:c r="T150" t="n">
        <x:v>5.246747903949448</x:v>
      </x:c>
      <x:c r="U150" t="n">
        <x:f>YEAR(C150)</x:f>
        <x:v>2023</x:v>
      </x:c>
      <x:c r="V150" t="n">
        <x:f>YEAR(D150)</x:f>
        <x:v>2023</x:v>
      </x:c>
      <x:c r="W150" t="n">
        <x:f>N150-M150-O150-P150</x:f>
        <x:v>220.49795498742014</x:v>
      </x:c>
      <x:c r="X150" t="str">
        <x:f>IF(T150&gt;1,"Ganador",IF(T150&lt;0,"Perdedor","Empate"))</x:f>
        <x:v>Ganador</x:v>
      </x:c>
    </x:row>
    <x:row r="151">
      <x:c r="A151" t="str">
        <x:v>PLTR</x:v>
      </x:c>
      <x:c r="B151" t="n">
        <x:v>45072</x:v>
      </x:c>
      <x:c r="C151" t="n">
        <x:v>45076</x:v>
      </x:c>
      <x:c r="D151" t="n">
        <x:v>45138</x:v>
      </x:c>
      <x:c r="E151" t="n">
        <x:v>62</x:v>
      </x:c>
      <x:c r="F151" t="str">
        <x:v>enter_or_hold</x:v>
      </x:c>
      <x:c r="G151" t="str">
        <x:v>rebalance_trim</x:v>
      </x:c>
      <x:c r="H151" t="n">
        <x:v>6</x:v>
      </x:c>
      <x:c r="I151" t="n">
        <x:v>71.29963773645447</x:v>
      </x:c>
      <x:c r="J151" t="n">
        <x:v>30.665969175959077</x:v>
      </x:c>
      <x:c r="K151" t="n">
        <x:v>14.712909333731329</x:v>
      </x:c>
      <x:c r="L151" t="n">
        <x:v>19.84000015258789</x:v>
      </x:c>
      <x:c r="M151" t="n">
        <x:v>451.1856241168855</x:v>
      </x:c>
      <x:c r="N151" t="n">
        <x:v>608.4128331302836</x:v>
      </x:c>
      <x:c r="O151" t="n">
        <x:v>1.082845497880525</x:v>
      </x:c>
      <x:c r="P151" t="n">
        <x:v>1.4601907995126806</x:v>
      </x:c>
      <x:c r="Q151" t="n">
        <x:v>14.710000038146973</x:v>
      </x:c>
      <x:c r="R151" t="n">
        <x:v>34.87423590168221</x:v>
      </x:c>
      <x:c r="S151" t="n">
        <x:v>34.84756619210596</x:v>
      </x:c>
      <x:c r="T151" t="n">
        <x:v>34.36756619210596</x:v>
      </x:c>
      <x:c r="U151" t="n">
        <x:f>YEAR(C151)</x:f>
        <x:v>2023</x:v>
      </x:c>
      <x:c r="V151" t="n">
        <x:f>YEAR(D151)</x:f>
        <x:v>2023</x:v>
      </x:c>
      <x:c r="W151" t="n">
        <x:f>N151-M151-O151-P151</x:f>
        <x:v>154.68417271600492</x:v>
      </x:c>
      <x:c r="X151" t="str">
        <x:f>IF(T151&gt;1,"Ganador",IF(T151&lt;0,"Perdedor","Empate"))</x:f>
        <x:v>Ganador</x:v>
      </x:c>
    </x:row>
    <x:row r="152">
      <x:c r="A152" t="str">
        <x:v>SMCI</x:v>
      </x:c>
      <x:c r="B152" t="n">
        <x:v>45016</x:v>
      </x:c>
      <x:c r="C152" t="n">
        <x:v>45019</x:v>
      </x:c>
      <x:c r="D152" t="n">
        <x:v>45138</x:v>
      </x:c>
      <x:c r="E152" t="n">
        <x:v>119</x:v>
      </x:c>
      <x:c r="F152" t="str">
        <x:v>enter_or_hold</x:v>
      </x:c>
      <x:c r="G152" t="str">
        <x:v>rebalance_trim</x:v>
      </x:c>
      <x:c r="H152" t="n">
        <x:v>4</x:v>
      </x:c>
      <x:c r="I152" t="n">
        <x:v>44.686513783044376</x:v>
      </x:c>
      <x:c r="J152" t="n">
        <x:v>24.437453975168733</x:v>
      </x:c>
      <x:c r="K152" t="n">
        <x:v>11.23252835931908</x:v>
      </x:c>
      <x:c r="L152" t="n">
        <x:v>33.027000427246094</x:v>
      </x:c>
      <x:c r="M152" t="n">
        <x:v>274.4943948056376</x:v>
      </x:c>
      <x:c r="N152" t="n">
        <x:v>807.0958028787045</x:v>
      </x:c>
      <x:c r="O152" t="n">
        <x:v>0.65878654753353</x:v>
      </x:c>
      <x:c r="P152" t="n">
        <x:v>1.9370299269088906</x:v>
      </x:c>
      <x:c r="Q152" t="n">
        <x:v>11.272000312805176</x:v>
      </x:c>
      <x:c r="R152" t="n">
        <x:v>193.00035052098855</x:v>
      </x:c>
      <x:c r="S152" t="n">
        <x:v>194.02997589447622</x:v>
      </x:c>
      <x:c r="T152" t="n">
        <x:v>193.54997589447623</x:v>
      </x:c>
      <x:c r="U152" t="n">
        <x:f>YEAR(C152)</x:f>
        <x:v>2023</x:v>
      </x:c>
      <x:c r="V152" t="n">
        <x:f>YEAR(D152)</x:f>
        <x:v>2023</x:v>
      </x:c>
      <x:c r="W152" t="n">
        <x:f>N152-M152-O152-P152</x:f>
        <x:v>530.0055915986245</x:v>
      </x:c>
      <x:c r="X152" t="str">
        <x:f>IF(T152&gt;1,"Ganador",IF(T152&lt;0,"Perdedor","Empate"))</x:f>
        <x:v>Ganador</x:v>
      </x:c>
    </x:row>
    <x:row r="153">
      <x:c r="A153" t="str">
        <x:v>NVDA</x:v>
      </x:c>
      <x:c r="B153" t="n">
        <x:v>45016</x:v>
      </x:c>
      <x:c r="C153" t="n">
        <x:v>45019</x:v>
      </x:c>
      <x:c r="D153" t="n">
        <x:v>45166</x:v>
      </x:c>
      <x:c r="E153" t="n">
        <x:v>147</x:v>
      </x:c>
      <x:c r="F153" t="str">
        <x:v>enter_or_hold</x:v>
      </x:c>
      <x:c r="G153" t="str">
        <x:v>market_filter_failed</x:v>
      </x:c>
      <x:c r="H153" t="n">
        <x:v>3</x:v>
      </x:c>
      <x:c r="I153" t="n">
        <x:v>96.9875734185674</x:v>
      </x:c>
      <x:c r="J153" t="n">
        <x:v>102.51353117861649</x:v>
      </x:c>
      <x:c r="K153" t="n">
        <x:v>28.499073898288383</x:v>
      </x:c>
      <x:c r="L153" t="n">
        <x:v>46.834999084472656</x:v>
      </x:c>
      <x:c r="M153" t="n">
        <x:v>2921.5407006338814</x:v>
      </x:c>
      <x:c r="N153" t="n">
        <x:v>4801.2211388965625</x:v>
      </x:c>
      <x:c r="O153" t="n">
        <x:v>7.011697681521314</x:v>
      </x:c>
      <x:c r="P153" t="n">
        <x:v>11.52293073335175</x:v>
      </x:c>
      <x:c r="Q153" t="n">
        <x:v>27.96500015258789</x:v>
      </x:c>
      <x:c r="R153" t="n">
        <x:v>67.47719945976303</x:v>
      </x:c>
      <x:c r="S153" t="n">
        <x:v>64.33867027266982</x:v>
      </x:c>
      <x:c r="T153" t="n">
        <x:v>63.85867027266982</x:v>
      </x:c>
      <x:c r="U153" t="n">
        <x:f>YEAR(C153)</x:f>
        <x:v>2023</x:v>
      </x:c>
      <x:c r="V153" t="n">
        <x:f>YEAR(D153)</x:f>
        <x:v>2023</x:v>
      </x:c>
      <x:c r="W153" t="n">
        <x:f>N153-M153-O153-P153</x:f>
        <x:v>1861.1458098478079</x:v>
      </x:c>
      <x:c r="X153" t="str">
        <x:f>IF(T153&gt;1,"Ganador",IF(T153&lt;0,"Perdedor","Empate"))</x:f>
        <x:v>Ganador</x:v>
      </x:c>
    </x:row>
    <x:row r="154">
      <x:c r="A154" t="str">
        <x:v>SMCI</x:v>
      </x:c>
      <x:c r="B154" t="n">
        <x:v>45016</x:v>
      </x:c>
      <x:c r="C154" t="n">
        <x:v>45019</x:v>
      </x:c>
      <x:c r="D154" t="n">
        <x:v>45166</x:v>
      </x:c>
      <x:c r="E154" t="n">
        <x:v>147</x:v>
      </x:c>
      <x:c r="F154" t="str">
        <x:v>enter_or_hold</x:v>
      </x:c>
      <x:c r="G154" t="str">
        <x:v>market_filter_failed</x:v>
      </x:c>
      <x:c r="H154" t="n">
        <x:v>4</x:v>
      </x:c>
      <x:c r="I154" t="n">
        <x:v>44.686513783044376</x:v>
      </x:c>
      <x:c r="J154" t="n">
        <x:v>145.0710986946699</x:v>
      </x:c>
      <x:c r="K154" t="n">
        <x:v>11.23252835931908</x:v>
      </x:c>
      <x:c r="L154" t="n">
        <x:v>25.516000747680664</x:v>
      </x:c>
      <x:c r="M154" t="n">
        <x:v>1629.5152302054566</x:v>
      </x:c>
      <x:c r="N154" t="n">
        <x:v>3701.6342627600525</x:v>
      </x:c>
      <x:c r="O154" t="n">
        <x:v>3.910836552493095</x:v>
      </x:c>
      <x:c r="P154" t="n">
        <x:v>8.883922230624124</x:v>
      </x:c>
      <x:c r="Q154" t="n">
        <x:v>11.272000312805176</x:v>
      </x:c>
      <x:c r="R154" t="n">
        <x:v>126.36621752657398</x:v>
      </x:c>
      <x:c r="S154" t="n">
        <x:v>127.16168552124141</x:v>
      </x:c>
      <x:c r="T154" t="n">
        <x:v>126.6816855212414</x:v>
      </x:c>
      <x:c r="U154" t="n">
        <x:f>YEAR(C154)</x:f>
        <x:v>2023</x:v>
      </x:c>
      <x:c r="V154" t="n">
        <x:f>YEAR(D154)</x:f>
        <x:v>2023</x:v>
      </x:c>
      <x:c r="W154" t="n">
        <x:f>N154-M154-O154-P154</x:f>
        <x:v>2059.3242737714786</x:v>
      </x:c>
      <x:c r="X154" t="str">
        <x:f>IF(T154&gt;1,"Ganador",IF(T154&lt;0,"Perdedor","Empate"))</x:f>
        <x:v>Ganador</x:v>
      </x:c>
    </x:row>
    <x:row r="155">
      <x:c r="A155" t="str">
        <x:v>PLTR</x:v>
      </x:c>
      <x:c r="B155" t="n">
        <x:v>45072</x:v>
      </x:c>
      <x:c r="C155" t="n">
        <x:v>45076</x:v>
      </x:c>
      <x:c r="D155" t="n">
        <x:v>45166</x:v>
      </x:c>
      <x:c r="E155" t="n">
        <x:v>90</x:v>
      </x:c>
      <x:c r="F155" t="str">
        <x:v>enter_or_hold</x:v>
      </x:c>
      <x:c r="G155" t="str">
        <x:v>market_filter_failed</x:v>
      </x:c>
      <x:c r="H155" t="n">
        <x:v>6</x:v>
      </x:c>
      <x:c r="I155" t="n">
        <x:v>71.29963773645447</x:v>
      </x:c>
      <x:c r="J155" t="n">
        <x:v>241.49512105447033</x:v>
      </x:c>
      <x:c r="K155" t="n">
        <x:v>14.712909333731329</x:v>
      </x:c>
      <x:c r="L155" t="n">
        <x:v>14.640000343322754</x:v>
      </x:c>
      <x:c r="M155" t="n">
        <x:v>3553.0958206128935</x:v>
      </x:c>
      <x:c r="N155" t="n">
        <x:v>3535.4886551482155</x:v>
      </x:c>
      <x:c r="O155" t="n">
        <x:v>8.527429969470944</x:v>
      </x:c>
      <x:c r="P155" t="n">
        <x:v>8.485172772355716</x:v>
      </x:c>
      <x:c r="Q155" t="n">
        <x:v>14.710000038146973</x:v>
      </x:c>
      <x:c r="R155" t="n">
        <x:v>-0.47586468145949246</x:v>
      </x:c>
      <x:c r="S155" t="n">
        <x:v>-0.49554434649726753</x:v>
      </x:c>
      <x:c r="T155" t="n">
        <x:v>-0.9755443464972675</x:v>
      </x:c>
      <x:c r="U155" t="n">
        <x:f>YEAR(C155)</x:f>
        <x:v>2023</x:v>
      </x:c>
      <x:c r="V155" t="n">
        <x:f>YEAR(D155)</x:f>
        <x:v>2023</x:v>
      </x:c>
      <x:c r="W155" t="n">
        <x:f>N155-M155-O155-P155</x:f>
        <x:v>-34.61976820650468</x:v>
      </x:c>
      <x:c r="X155" t="str">
        <x:f>IF(T155&gt;1,"Ganador",IF(T155&lt;0,"Perdedor","Empate"))</x:f>
        <x:v>Perdedor</x:v>
      </x:c>
    </x:row>
    <x:row r="156">
      <x:c r="A156" t="str">
        <x:v>CCL</x:v>
      </x:c>
      <x:c r="B156" t="n">
        <x:v>45107</x:v>
      </x:c>
      <x:c r="C156" t="n">
        <x:v>45110</x:v>
      </x:c>
      <x:c r="D156" t="n">
        <x:v>45166</x:v>
      </x:c>
      <x:c r="E156" t="n">
        <x:v>56</x:v>
      </x:c>
      <x:c r="F156" t="str">
        <x:v>enter_or_hold</x:v>
      </x:c>
      <x:c r="G156" t="str">
        <x:v>market_filter_failed</x:v>
      </x:c>
      <x:c r="H156" t="n">
        <x:v>6</x:v>
      </x:c>
      <x:c r="I156" t="n">
        <x:v>70.85384091115661</x:v>
      </x:c>
      <x:c r="J156" t="n">
        <x:v>254.20304428149484</x:v>
      </x:c>
      <x:c r="K156" t="n">
        <x:v>18.94490893449822</x:v>
      </x:c>
      <x:c r="L156" t="n">
        <x:v>15.710000038146973</x:v>
      </x:c>
      <x:c r="M156" t="n">
        <x:v>4815.853524785138</x:v>
      </x:c>
      <x:c r="N156" t="n">
        <x:v>3993.5298353593607</x:v>
      </x:c>
      <x:c r="O156" t="n">
        <x:v>11.558048459484331</x:v>
      </x:c>
      <x:c r="P156" t="n">
        <x:v>9.584471604862465</x:v>
      </x:c>
      <x:c r="Q156" t="n">
        <x:v>18.959999084472656</x:v>
      </x:c>
      <x:c r="R156" t="n">
        <x:v>-17.14134600875208</x:v>
      </x:c>
      <x:c r="S156" t="n">
        <x:v>-17.075346772771006</x:v>
      </x:c>
      <x:c r="T156" t="n">
        <x:v>-17.555346772771006</x:v>
      </x:c>
      <x:c r="U156" t="n">
        <x:f>YEAR(C156)</x:f>
        <x:v>2023</x:v>
      </x:c>
      <x:c r="V156" t="n">
        <x:f>YEAR(D156)</x:f>
        <x:v>2023</x:v>
      </x:c>
      <x:c r="W156" t="n">
        <x:f>N156-M156-O156-P156</x:f>
        <x:v>-843.4662094901238</x:v>
      </x:c>
      <x:c r="X156" t="str">
        <x:f>IF(T156&gt;1,"Ganador",IF(T156&lt;0,"Perdedor","Empate"))</x:f>
        <x:v>Perdedor</x:v>
      </x:c>
    </x:row>
    <x:row r="157">
      <x:c r="A157" t="str">
        <x:v>CVNA</x:v>
      </x:c>
      <x:c r="B157" t="n">
        <x:v>45135</x:v>
      </x:c>
      <x:c r="C157" t="n">
        <x:v>45138</x:v>
      </x:c>
      <x:c r="D157" t="n">
        <x:v>45166</x:v>
      </x:c>
      <x:c r="E157" t="n">
        <x:v>28</x:v>
      </x:c>
      <x:c r="F157" t="str">
        <x:v>enter_or_hold</x:v>
      </x:c>
      <x:c r="G157" t="str">
        <x:v>market_filter_failed</x:v>
      </x:c>
      <x:c r="H157" t="n">
        <x:v>2</x:v>
      </x:c>
      <x:c r="I157" t="n">
        <x:v>152.68689388866946</x:v>
      </x:c>
      <x:c r="J157" t="n">
        <x:v>103.9978777701834</x:v>
      </x:c>
      <x:c r="K157" t="n">
        <x:v>45.95000076293945</x:v>
      </x:c>
      <x:c r="L157" t="n">
        <x:v>45.369998931884766</x:v>
      </x:c>
      <x:c r="M157" t="n">
        <x:v>4778.702562884011</x:v>
      </x:c>
      <x:c r="N157" t="n">
        <x:v>4718.383603351503</x:v>
      </x:c>
      <x:c r="O157" t="n">
        <x:v>11.468886150921625</x:v>
      </x:c>
      <x:c r="P157" t="n">
        <x:v>11.324120648043605</x:v>
      </x:c>
      <x:c r="Q157" t="n">
        <x:v>45.95000076293945</x:v>
      </x:c>
      <x:c r="R157" t="n">
        <x:v>-1.2622455308477054</x:v>
      </x:c>
      <x:c r="S157" t="n">
        <x:v>-1.2622455308477054</x:v>
      </x:c>
      <x:c r="T157" t="n">
        <x:v>-1.7422455308477054</x:v>
      </x:c>
      <x:c r="U157" t="n">
        <x:f>YEAR(C157)</x:f>
        <x:v>2023</x:v>
      </x:c>
      <x:c r="V157" t="n">
        <x:f>YEAR(D157)</x:f>
        <x:v>2023</x:v>
      </x:c>
      <x:c r="W157" t="n">
        <x:f>N157-M157-O157-P157</x:f>
        <x:v>-83.11196633147364</x:v>
      </x:c>
      <x:c r="X157" t="str">
        <x:f>IF(T157&gt;1,"Ganador",IF(T157&lt;0,"Perdedor","Empate"))</x:f>
        <x:v>Perdedor</x:v>
      </x:c>
    </x:row>
    <x:row r="158">
      <x:c r="A158" t="str">
        <x:v>META</x:v>
      </x:c>
      <x:c r="B158" t="n">
        <x:v>45135</x:v>
      </x:c>
      <x:c r="C158" t="n">
        <x:v>45138</x:v>
      </x:c>
      <x:c r="D158" t="n">
        <x:v>45166</x:v>
      </x:c>
      <x:c r="E158" t="n">
        <x:v>28</x:v>
      </x:c>
      <x:c r="F158" t="str">
        <x:v>enter_or_hold</x:v>
      </x:c>
      <x:c r="G158" t="str">
        <x:v>market_filter_failed</x:v>
      </x:c>
      <x:c r="H158" t="n">
        <x:v>5</x:v>
      </x:c>
      <x:c r="I158" t="n">
        <x:v>75.17126987629132</x:v>
      </x:c>
      <x:c r="J158" t="n">
        <x:v>14.999066137278646</x:v>
      </x:c>
      <x:c r="K158" t="n">
        <x:v>318.6000061035156</x:v>
      </x:c>
      <x:c r="L158" t="n">
        <x:v>290.260009765625</x:v>
      </x:c>
      <x:c r="M158" t="n">
        <x:v>4778.702562884011</x:v>
      </x:c>
      <x:c r="N158" t="n">
        <x:v>4353.6290834817555</x:v>
      </x:c>
      <x:c r="O158" t="n">
        <x:v>11.468886150921625</x:v>
      </x:c>
      <x:c r="P158" t="n">
        <x:v>10.448709800356212</x:v>
      </x:c>
      <x:c r="Q158" t="n">
        <x:v>318.6000061035156</x:v>
      </x:c>
      <x:c r="R158" t="n">
        <x:v>-8.89516503294816</x:v>
      </x:c>
      <x:c r="S158" t="n">
        <x:v>-8.89516503294816</x:v>
      </x:c>
      <x:c r="T158" t="n">
        <x:v>-9.37516503294816</x:v>
      </x:c>
      <x:c r="U158" t="n">
        <x:f>YEAR(C158)</x:f>
        <x:v>2023</x:v>
      </x:c>
      <x:c r="V158" t="n">
        <x:f>YEAR(D158)</x:f>
        <x:v>2023</x:v>
      </x:c>
      <x:c r="W158" t="n">
        <x:f>N158-M158-O158-P158</x:f>
        <x:v>-446.99107535353335</x:v>
      </x:c>
      <x:c r="X158" t="str">
        <x:f>IF(T158&gt;1,"Ganador",IF(T158&lt;0,"Perdedor","Empate"))</x:f>
        <x:v>Perdedor</x:v>
      </x:c>
    </x:row>
    <x:row r="159">
      <x:c r="A159" t="str">
        <x:v>DELL</x:v>
      </x:c>
      <x:c r="B159" t="n">
        <x:v>45254</x:v>
      </x:c>
      <x:c r="C159" t="n">
        <x:v>45257</x:v>
      </x:c>
      <x:c r="D159" t="n">
        <x:v>45293</x:v>
      </x:c>
      <x:c r="E159" t="n">
        <x:v>36</x:v>
      </x:c>
      <x:c r="F159" t="str">
        <x:v>enter_or_hold</x:v>
      </x:c>
      <x:c r="G159" t="str">
        <x:v>left_top_n</x:v>
      </x:c>
      <x:c r="H159" t="n">
        <x:v>5</x:v>
      </x:c>
      <x:c r="I159" t="n">
        <x:v>44.63883123047548</x:v>
      </x:c>
      <x:c r="J159" t="n">
        <x:v>55.92191945332943</x:v>
      </x:c>
      <x:c r="K159" t="n">
        <x:v>74.45999908447266</x:v>
      </x:c>
      <x:c r="L159" t="n">
        <x:v>74.79000091552734</x:v>
      </x:c>
      <x:c r="M159" t="n">
        <x:v>4163.946071296863</x:v>
      </x:c>
      <x:c r="N159" t="n">
        <x:v>4182.400407112555</x:v>
      </x:c>
      <x:c r="O159" t="n">
        <x:v>9.99347057111247</x:v>
      </x:c>
      <x:c r="P159" t="n">
        <x:v>10.03776097707013</x:v>
      </x:c>
      <x:c r="Q159" t="n">
        <x:v>74.45999908447266</x:v>
      </x:c>
      <x:c r="R159" t="n">
        <x:v>0.443193439581302</x:v>
      </x:c>
      <x:c r="S159" t="n">
        <x:v>0.443193439581302</x:v>
      </x:c>
      <x:c r="T159" t="n">
        <x:v>-0.03680656041869801</x:v>
      </x:c>
      <x:c r="U159" t="n">
        <x:f>YEAR(C159)</x:f>
        <x:v>2023</x:v>
      </x:c>
      <x:c r="V159" t="n">
        <x:f>YEAR(D159)</x:f>
        <x:v>2024</x:v>
      </x:c>
      <x:c r="W159" t="n">
        <x:f>N159-M159-O159-P159</x:f>
        <x:v>-1.576895732491007</x:v>
      </x:c>
      <x:c r="X159" t="str">
        <x:f>IF(T159&gt;1,"Ganador",IF(T159&lt;0,"Perdedor","Empate"))</x:f>
        <x:v>Perdedor</x:v>
      </x:c>
    </x:row>
    <x:row r="160">
      <x:c r="A160" t="str">
        <x:v>PLTR</x:v>
      </x:c>
      <x:c r="B160" t="n">
        <x:v>45254</x:v>
      </x:c>
      <x:c r="C160" t="n">
        <x:v>45257</x:v>
      </x:c>
      <x:c r="D160" t="n">
        <x:v>45293</x:v>
      </x:c>
      <x:c r="E160" t="n">
        <x:v>36</x:v>
      </x:c>
      <x:c r="F160" t="str">
        <x:v>enter_or_hold</x:v>
      </x:c>
      <x:c r="G160" t="str">
        <x:v>left_top_n</x:v>
      </x:c>
      <x:c r="H160" t="n">
        <x:v>3</x:v>
      </x:c>
      <x:c r="I160" t="n">
        <x:v>57.54592517175503</x:v>
      </x:c>
      <x:c r="J160" t="n">
        <x:v>218.23616813139213</x:v>
      </x:c>
      <x:c r="K160" t="n">
        <x:v>19.07999992370605</x:v>
      </x:c>
      <x:c r="L160" t="n">
        <x:v>16.579999923706055</x:v>
      </x:c>
      <x:c r="M160" t="n">
        <x:v>4163.946071296863</x:v>
      </x:c>
      <x:c r="N160" t="n">
        <x:v>3618.355650968383</x:v>
      </x:c>
      <x:c r="O160" t="n">
        <x:v>9.99347057111247</x:v>
      </x:c>
      <x:c r="P160" t="n">
        <x:v>8.684053562324118</x:v>
      </x:c>
      <x:c r="Q160" t="n">
        <x:v>19.07999992370605</x:v>
      </x:c>
      <x:c r="R160" t="n">
        <x:v>-13.102725419269301</x:v>
      </x:c>
      <x:c r="S160" t="n">
        <x:v>-13.102725419269301</x:v>
      </x:c>
      <x:c r="T160" t="n">
        <x:v>-13.582725419269302</x:v>
      </x:c>
      <x:c r="U160" t="n">
        <x:f>YEAR(C160)</x:f>
        <x:v>2023</x:v>
      </x:c>
      <x:c r="V160" t="n">
        <x:f>YEAR(D160)</x:f>
        <x:v>2024</x:v>
      </x:c>
      <x:c r="W160" t="n">
        <x:f>N160-M160-O160-P160</x:f>
        <x:v>-564.2679444619165</x:v>
      </x:c>
      <x:c r="X160" t="str">
        <x:f>IF(T160&gt;1,"Ganador",IF(T160&lt;0,"Perdedor","Empate"))</x:f>
        <x:v>Perdedor</x:v>
      </x:c>
    </x:row>
    <x:row r="161">
      <x:c r="A161" t="str">
        <x:v>SMCI</x:v>
      </x:c>
      <x:c r="B161" t="n">
        <x:v>45254</x:v>
      </x:c>
      <x:c r="C161" t="n">
        <x:v>45257</x:v>
      </x:c>
      <x:c r="D161" t="n">
        <x:v>45293</x:v>
      </x:c>
      <x:c r="E161" t="n">
        <x:v>36</x:v>
      </x:c>
      <x:c r="F161" t="str">
        <x:v>enter_or_hold</x:v>
      </x:c>
      <x:c r="G161" t="str">
        <x:v>left_top_n</x:v>
      </x:c>
      <x:c r="H161" t="n">
        <x:v>4</x:v>
      </x:c>
      <x:c r="I161" t="n">
        <x:v>54.45490727402807</x:v>
      </x:c>
      <x:c r="J161" t="n">
        <x:v>143.4013836555846</x:v>
      </x:c>
      <x:c r="K161" t="n">
        <x:v>29.03700065612793</x:v>
      </x:c>
      <x:c r="L161" t="n">
        <x:v>28.545000076293945</x:v>
      </x:c>
      <x:c r="M161" t="n">
        <x:v>4163.946071296863</x:v>
      </x:c>
      <x:c r="N161" t="n">
        <x:v>4093.3925073893197</x:v>
      </x:c>
      <x:c r="O161" t="n">
        <x:v>9.99347057111247</x:v>
      </x:c>
      <x:c r="P161" t="n">
        <x:v>9.824142017734367</x:v>
      </x:c>
      <x:c r="Q161" t="n">
        <x:v>29.03700065612793</x:v>
      </x:c>
      <x:c r="R161" t="n">
        <x:v>-1.69439187490652</x:v>
      </x:c>
      <x:c r="S161" t="n">
        <x:v>-1.69439187490652</x:v>
      </x:c>
      <x:c r="T161" t="n">
        <x:v>-2.17439187490652</x:v>
      </x:c>
      <x:c r="U161" t="n">
        <x:f>YEAR(C161)</x:f>
        <x:v>2023</x:v>
      </x:c>
      <x:c r="V161" t="n">
        <x:f>YEAR(D161)</x:f>
        <x:v>2024</x:v>
      </x:c>
      <x:c r="W161" t="n">
        <x:f>N161-M161-O161-P161</x:f>
        <x:v>-90.37117649639015</x:v>
      </x:c>
      <x:c r="X161" t="str">
        <x:f>IF(T161&gt;1,"Ganador",IF(T161&lt;0,"Perdedor","Empate"))</x:f>
        <x:v>Perdedor</x:v>
      </x:c>
    </x:row>
    <x:row r="162">
      <x:c r="A162" t="str">
        <x:v>COIN</x:v>
      </x:c>
      <x:c r="B162" t="n">
        <x:v>45254</x:v>
      </x:c>
      <x:c r="C162" t="n">
        <x:v>45257</x:v>
      </x:c>
      <x:c r="D162" t="n">
        <x:v>45293</x:v>
      </x:c>
      <x:c r="E162" t="n">
        <x:v>36</x:v>
      </x:c>
      <x:c r="F162" t="str">
        <x:v>enter_or_hold</x:v>
      </x:c>
      <x:c r="G162" t="str">
        <x:v>rebalance_trim</x:v>
      </x:c>
      <x:c r="H162" t="n">
        <x:v>1</x:v>
      </x:c>
      <x:c r="I162" t="n">
        <x:v>70.0541184529295</x:v>
      </x:c>
      <x:c r="J162" t="n">
        <x:v>5.021265906920917</x:v>
      </x:c>
      <x:c r="K162" t="n">
        <x:v>119.7699966430664</x:v>
      </x:c>
      <x:c r="L162" t="n">
        <x:v>156.8800048828125</x:v>
      </x:c>
      <x:c r="M162" t="n">
        <x:v>601.3970008158619</x:v>
      </x:c>
      <x:c r="N162" t="n">
        <x:v>787.7362199956533</x:v>
      </x:c>
      <x:c r="O162" t="n">
        <x:v>1.4433528019580686</x:v>
      </x:c>
      <x:c r="P162" t="n">
        <x:v>1.8905669279895678</x:v>
      </x:c>
      <x:c r="Q162" t="n">
        <x:v>119.7699966430664</x:v>
      </x:c>
      <x:c r="R162" t="n">
        <x:v>30.984394489330924</x:v>
      </x:c>
      <x:c r="S162" t="n">
        <x:v>30.984394489330924</x:v>
      </x:c>
      <x:c r="T162" t="n">
        <x:v>30.504394489330924</x:v>
      </x:c>
      <x:c r="U162" t="n">
        <x:f>YEAR(C162)</x:f>
        <x:v>2023</x:v>
      </x:c>
      <x:c r="V162" t="n">
        <x:f>YEAR(D162)</x:f>
        <x:v>2024</x:v>
      </x:c>
      <x:c r="W162" t="n">
        <x:f>N162-M162-O162-P162</x:f>
        <x:v>183.00529944984373</x:v>
      </x:c>
      <x:c r="X162" t="str">
        <x:f>IF(T162&gt;1,"Ganador",IF(T162&lt;0,"Perdedor","Empate"))</x:f>
        <x:v>Ganador</x:v>
      </x:c>
    </x:row>
    <x:row r="163">
      <x:c r="A163" t="str">
        <x:v>CVNA</x:v>
      </x:c>
      <x:c r="B163" t="n">
        <x:v>45254</x:v>
      </x:c>
      <x:c r="C163" t="n">
        <x:v>45257</x:v>
      </x:c>
      <x:c r="D163" t="n">
        <x:v>45293</x:v>
      </x:c>
      <x:c r="E163" t="n">
        <x:v>36</x:v>
      </x:c>
      <x:c r="F163" t="str">
        <x:v>enter_or_hold</x:v>
      </x:c>
      <x:c r="G163" t="str">
        <x:v>rebalance_trim</x:v>
      </x:c>
      <x:c r="H163" t="n">
        <x:v>6</x:v>
      </x:c>
      <x:c r="I163" t="n">
        <x:v>43.71112063050337</x:v>
      </x:c>
      <x:c r="J163" t="n">
        <x:v>39.13918707366877</x:v>
      </x:c>
      <x:c r="K163" t="n">
        <x:v>30.93000030517578</x:v>
      </x:c>
      <x:c r="L163" t="n">
        <x:v>48.869998931884766</x:v>
      </x:c>
      <x:c r="M163" t="n">
        <x:v>1210.575068132907</x:v>
      </x:c>
      <x:c r="N163" t="n">
        <x:v>1912.732030485031</x:v>
      </x:c>
      <x:c r="O163" t="n">
        <x:v>2.9053801635189767</x:v>
      </x:c>
      <x:c r="P163" t="n">
        <x:v>4.590556873164074</x:v>
      </x:c>
      <x:c r="Q163" t="n">
        <x:v>30.93000030517578</x:v>
      </x:c>
      <x:c r="R163" t="n">
        <x:v>58.00193485192735</x:v>
      </x:c>
      <x:c r="S163" t="n">
        <x:v>58.00193485192735</x:v>
      </x:c>
      <x:c r="T163" t="n">
        <x:v>57.521934851927355</x:v>
      </x:c>
      <x:c r="U163" t="n">
        <x:f>YEAR(C163)</x:f>
        <x:v>2023</x:v>
      </x:c>
      <x:c r="V163" t="n">
        <x:f>YEAR(D163)</x:f>
        <x:v>2024</x:v>
      </x:c>
      <x:c r="W163" t="n">
        <x:f>N163-M163-O163-P163</x:f>
        <x:v>694.6610253154408</x:v>
      </x:c>
      <x:c r="X163" t="str">
        <x:f>IF(T163&gt;1,"Ganador",IF(T163&lt;0,"Perdedor","Empate"))</x:f>
        <x:v>Ganador</x:v>
      </x:c>
    </x:row>
    <x:row r="164">
      <x:c r="A164" t="str">
        <x:v>CVNA</x:v>
      </x:c>
      <x:c r="B164" t="n">
        <x:v>45254</x:v>
      </x:c>
      <x:c r="C164" t="n">
        <x:v>45257</x:v>
      </x:c>
      <x:c r="D164" t="n">
        <x:v>45320</x:v>
      </x:c>
      <x:c r="E164" t="n">
        <x:v>63</x:v>
      </x:c>
      <x:c r="F164" t="str">
        <x:v>enter_or_hold</x:v>
      </x:c>
      <x:c r="G164" t="str">
        <x:v>left_top_n</x:v>
      </x:c>
      <x:c r="H164" t="n">
        <x:v>6</x:v>
      </x:c>
      <x:c r="I164" t="n">
        <x:v>43.71112063050337</x:v>
      </x:c>
      <x:c r="J164" t="n">
        <x:v>95.48564416501938</x:v>
      </x:c>
      <x:c r="K164" t="n">
        <x:v>30.93000030517578</x:v>
      </x:c>
      <x:c r="L164" t="n">
        <x:v>44.91999816894531</x:v>
      </x:c>
      <x:c r="M164" t="n">
        <x:v>2953.3710031639557</x:v>
      </x:c>
      <x:c r="N164" t="n">
        <x:v>4289.214961053234</x:v>
      </x:c>
      <x:c r="O164" t="n">
        <x:v>7.0880904075934925</x:v>
      </x:c>
      <x:c r="P164" t="n">
        <x:v>10.294115906527761</x:v>
      </x:c>
      <x:c r="Q164" t="n">
        <x:v>30.93000030517578</x:v>
      </x:c>
      <x:c r="R164" t="n">
        <x:v>45.23115979869055</x:v>
      </x:c>
      <x:c r="S164" t="n">
        <x:v>45.23115979869055</x:v>
      </x:c>
      <x:c r="T164" t="n">
        <x:v>44.75115979869055</x:v>
      </x:c>
      <x:c r="U164" t="n">
        <x:f>YEAR(C164)</x:f>
        <x:v>2023</x:v>
      </x:c>
      <x:c r="V164" t="n">
        <x:f>YEAR(D164)</x:f>
        <x:v>2024</x:v>
      </x:c>
      <x:c r="W164" t="n">
        <x:f>N164-M164-O164-P164</x:f>
        <x:v>1318.4617515751572</x:v>
      </x:c>
      <x:c r="X164" t="str">
        <x:f>IF(T164&gt;1,"Ganador",IF(T164&lt;0,"Perdedor","Empate"))</x:f>
        <x:v>Ganador</x:v>
      </x:c>
    </x:row>
    <x:row r="165">
      <x:c r="A165" t="str">
        <x:v>INTC</x:v>
      </x:c>
      <x:c r="B165" t="n">
        <x:v>45289</x:v>
      </x:c>
      <x:c r="C165" t="n">
        <x:v>45293</x:v>
      </x:c>
      <x:c r="D165" t="n">
        <x:v>45320</x:v>
      </x:c>
      <x:c r="E165" t="n">
        <x:v>27</x:v>
      </x:c>
      <x:c r="F165" t="str">
        <x:v>enter_or_hold</x:v>
      </x:c>
      <x:c r="G165" t="str">
        <x:v>left_top_n</x:v>
      </x:c>
      <x:c r="H165" t="n">
        <x:v>4</x:v>
      </x:c>
      <x:c r="I165" t="n">
        <x:v>47.18722035651683</x:v>
      </x:c>
      <x:c r="J165" t="n">
        <x:v>97.35236005265351</x:v>
      </x:c>
      <x:c r="K165" t="n">
        <x:v>47.79999923706055</x:v>
      </x:c>
      <x:c r="L165" t="n">
        <x:v>43.84000015258789</x:v>
      </x:c>
      <x:c r="M165" t="n">
        <x:v>4653.442736242881</x:v>
      </x:c>
      <x:c r="N165" t="n">
        <x:v>4267.927479563121</x:v>
      </x:c>
      <x:c r="O165" t="n">
        <x:v>11.168262566982914</x:v>
      </x:c>
      <x:c r="P165" t="n">
        <x:v>10.24302595095149</x:v>
      </x:c>
      <x:c r="Q165" t="n">
        <x:v>47.79999923706055</x:v>
      </x:c>
      <x:c r="R165" t="n">
        <x:v>-8.284517045352525</x:v>
      </x:c>
      <x:c r="S165" t="n">
        <x:v>-8.284517045352525</x:v>
      </x:c>
      <x:c r="T165" t="n">
        <x:v>-8.764517045352525</x:v>
      </x:c>
      <x:c r="U165" t="n">
        <x:f>YEAR(C165)</x:f>
        <x:v>2024</x:v>
      </x:c>
      <x:c r="V165" t="n">
        <x:f>YEAR(D165)</x:f>
        <x:v>2024</x:v>
      </x:c>
      <x:c r="W165" t="n">
        <x:f>N165-M165-O165-P165</x:f>
        <x:v>-406.92654519769496</x:v>
      </x:c>
      <x:c r="X165" t="str">
        <x:f>IF(T165&gt;1,"Ganador",IF(T165&lt;0,"Perdedor","Empate"))</x:f>
        <x:v>Perdedor</x:v>
      </x:c>
    </x:row>
    <x:row r="166">
      <x:c r="A166" t="str">
        <x:v>RCL</x:v>
      </x:c>
      <x:c r="B166" t="n">
        <x:v>45289</x:v>
      </x:c>
      <x:c r="C166" t="n">
        <x:v>45293</x:v>
      </x:c>
      <x:c r="D166" t="n">
        <x:v>45320</x:v>
      </x:c>
      <x:c r="E166" t="n">
        <x:v>27</x:v>
      </x:c>
      <x:c r="F166" t="str">
        <x:v>enter_or_hold</x:v>
      </x:c>
      <x:c r="G166" t="str">
        <x:v>left_top_n</x:v>
      </x:c>
      <x:c r="H166" t="n">
        <x:v>3</x:v>
      </x:c>
      <x:c r="I166" t="n">
        <x:v>48.521623380140014</x:v>
      </x:c>
      <x:c r="J166" t="n">
        <x:v>38.73350058168748</x:v>
      </x:c>
      <x:c r="K166" t="n">
        <x:v>120.13999938964844</x:v>
      </x:c>
      <x:c r="L166" t="n">
        <x:v>127.38999938964844</x:v>
      </x:c>
      <x:c r="M166" t="n">
        <x:v>4653.442736242881</x:v>
      </x:c>
      <x:c r="N166" t="n">
        <x:v>4934.260615460115</x:v>
      </x:c>
      <x:c r="O166" t="n">
        <x:v>11.168262566982914</x:v>
      </x:c>
      <x:c r="P166" t="n">
        <x:v>11.842225477104275</x:v>
      </x:c>
      <x:c r="Q166" t="n">
        <x:v>120.13999938964844</x:v>
      </x:c>
      <x:c r="R166" t="n">
        <x:v>6.034626300010348</x:v>
      </x:c>
      <x:c r="S166" t="n">
        <x:v>6.034626300010348</x:v>
      </x:c>
      <x:c r="T166" t="n">
        <x:v>5.554626300010348</x:v>
      </x:c>
      <x:c r="U166" t="n">
        <x:f>YEAR(C166)</x:f>
        <x:v>2024</x:v>
      </x:c>
      <x:c r="V166" t="n">
        <x:f>YEAR(D166)</x:f>
        <x:v>2024</x:v>
      </x:c>
      <x:c r="W166" t="n">
        <x:f>N166-M166-O166-P166</x:f>
        <x:v>257.80739117314675</x:v>
      </x:c>
      <x:c r="X166" t="str">
        <x:f>IF(T166&gt;1,"Ganador",IF(T166&lt;0,"Perdedor","Empate"))</x:f>
        <x:v>Ganador</x:v>
      </x:c>
    </x:row>
    <x:row r="167">
      <x:c r="A167" t="str">
        <x:v>APP</x:v>
      </x:c>
      <x:c r="B167" t="n">
        <x:v>45254</x:v>
      </x:c>
      <x:c r="C167" t="n">
        <x:v>45257</x:v>
      </x:c>
      <x:c r="D167" t="n">
        <x:v>45320</x:v>
      </x:c>
      <x:c r="E167" t="n">
        <x:v>63</x:v>
      </x:c>
      <x:c r="F167" t="str">
        <x:v>enter_or_hold</x:v>
      </x:c>
      <x:c r="G167" t="str">
        <x:v>rebalance_trim</x:v>
      </x:c>
      <x:c r="H167" t="n">
        <x:v>6</x:v>
      </x:c>
      <x:c r="I167" t="n">
        <x:v>45.51454836049924</x:v>
      </x:c>
      <x:c r="J167" t="n">
        <x:v>18.806614715918563</x:v>
      </x:c>
      <x:c r="K167" t="n">
        <x:v>39.316179564663436</x:v>
      </x:c>
      <x:c r="L167" t="n">
        <x:v>46.56999969482422</x:v>
      </x:c>
      <x:c r="M167" t="n">
        <x:v>739.404241174496</x:v>
      </x:c>
      <x:c r="N167" t="n">
        <x:v>875.8240415810042</x:v>
      </x:c>
      <x:c r="O167" t="n">
        <x:v>1.7745701788187902</x:v>
      </x:c>
      <x:c r="P167" t="n">
        <x:v>2.1019776997944097</x:v>
      </x:c>
      <x:c r="Q167" t="n">
        <x:v>39.38999938964844</x:v>
      </x:c>
      <x:c r="R167" t="n">
        <x:v>18.22797770101683</x:v>
      </x:c>
      <x:c r="S167" t="n">
        <x:v>18.44996184898995</x:v>
      </x:c>
      <x:c r="T167" t="n">
        <x:v>17.96996184898995</x:v>
      </x:c>
      <x:c r="U167" t="n">
        <x:f>YEAR(C167)</x:f>
        <x:v>2023</x:v>
      </x:c>
      <x:c r="V167" t="n">
        <x:f>YEAR(D167)</x:f>
        <x:v>2024</x:v>
      </x:c>
      <x:c r="W167" t="n">
        <x:f>N167-M167-O167-P167</x:f>
        <x:v>132.54325252789502</x:v>
      </x:c>
      <x:c r="X167" t="str">
        <x:f>IF(T167&gt;1,"Ganador",IF(T167&lt;0,"Perdedor","Empate"))</x:f>
        <x:v>Ganador</x:v>
      </x:c>
    </x:row>
    <x:row r="168">
      <x:c r="A168" t="str">
        <x:v>UBER</x:v>
      </x:c>
      <x:c r="B168" t="n">
        <x:v>45289</x:v>
      </x:c>
      <x:c r="C168" t="n">
        <x:v>45293</x:v>
      </x:c>
      <x:c r="D168" t="n">
        <x:v>45320</x:v>
      </x:c>
      <x:c r="E168" t="n">
        <x:v>27</x:v>
      </x:c>
      <x:c r="F168" t="str">
        <x:v>enter_or_hold</x:v>
      </x:c>
      <x:c r="G168" t="str">
        <x:v>rebalance_trim</x:v>
      </x:c>
      <x:c r="H168" t="n">
        <x:v>5</x:v>
      </x:c>
      <x:c r="I168" t="n">
        <x:v>46.819096021795744</x:v>
      </x:c>
      <x:c r="J168" t="n">
        <x:v>9.167546097179676</x:v>
      </x:c>
      <x:c r="K168" t="n">
        <x:v>58.380001068115234</x:v>
      </x:c>
      <x:c r="L168" t="n">
        <x:v>66.9800033569336</x:v>
      </x:c>
      <x:c r="M168" t="n">
        <x:v>535.2013509453451</x:v>
      </x:c>
      <x:c r="N168" t="n">
        <x:v>614.0422683639381</x:v>
      </x:c>
      <x:c r="O168" t="n">
        <x:v>1.2844832422688282</x:v>
      </x:c>
      <x:c r="P168" t="n">
        <x:v>1.4737014440734513</x:v>
      </x:c>
      <x:c r="Q168" t="n">
        <x:v>58.380001068115234</x:v>
      </x:c>
      <x:c r="R168" t="n">
        <x:v>14.731075936062844</x:v>
      </x:c>
      <x:c r="S168" t="n">
        <x:v>14.731075936062844</x:v>
      </x:c>
      <x:c r="T168" t="n">
        <x:v>14.251075936062843</x:v>
      </x:c>
      <x:c r="U168" t="n">
        <x:f>YEAR(C168)</x:f>
        <x:v>2024</x:v>
      </x:c>
      <x:c r="V168" t="n">
        <x:f>YEAR(D168)</x:f>
        <x:v>2024</x:v>
      </x:c>
      <x:c r="W168" t="n">
        <x:f>N168-M168-O168-P168</x:f>
        <x:v>76.0827327322507</x:v>
      </x:c>
      <x:c r="X168" t="str">
        <x:f>IF(T168&gt;1,"Ganador",IF(T168&lt;0,"Perdedor","Empate"))</x:f>
        <x:v>Ganador</x:v>
      </x:c>
    </x:row>
    <x:row r="169">
      <x:c r="A169" t="str">
        <x:v>AMD</x:v>
      </x:c>
      <x:c r="B169" t="n">
        <x:v>45317</x:v>
      </x:c>
      <x:c r="C169" t="n">
        <x:v>45320</x:v>
      </x:c>
      <x:c r="D169" t="n">
        <x:v>45348</x:v>
      </x:c>
      <x:c r="E169" t="n">
        <x:v>28</x:v>
      </x:c>
      <x:c r="F169" t="str">
        <x:v>enter_or_hold</x:v>
      </x:c>
      <x:c r="G169" t="str">
        <x:v>left_top_n</x:v>
      </x:c>
      <x:c r="H169" t="n">
        <x:v>2</x:v>
      </x:c>
      <x:c r="I169" t="n">
        <x:v>60.39356310742148</x:v>
      </x:c>
      <x:c r="J169" t="n">
        <x:v>26.50070086013329</x:v>
      </x:c>
      <x:c r="K169" t="n">
        <x:v>177.8300018310547</x:v>
      </x:c>
      <x:c r="L169" t="n">
        <x:v>176.00999450683594</x:v>
      </x:c>
      <x:c r="M169" t="n">
        <x:v>4712.619682481735</x:v>
      </x:c>
      <x:c r="N169" t="n">
        <x:v>4664.388212819363</x:v>
      </x:c>
      <x:c r="O169" t="n">
        <x:v>11.310287237956164</x:v>
      </x:c>
      <x:c r="P169" t="n">
        <x:v>11.19453171076647</x:v>
      </x:c>
      <x:c r="Q169" t="n">
        <x:v>177.8300018310547</x:v>
      </x:c>
      <x:c r="R169" t="n">
        <x:v>-1.0234534698750242</x:v>
      </x:c>
      <x:c r="S169" t="n">
        <x:v>-1.0234534698750242</x:v>
      </x:c>
      <x:c r="T169" t="n">
        <x:v>-1.5034534698750242</x:v>
      </x:c>
      <x:c r="U169" t="n">
        <x:f>YEAR(C169)</x:f>
        <x:v>2024</x:v>
      </x:c>
      <x:c r="V169" t="n">
        <x:f>YEAR(D169)</x:f>
        <x:v>2024</x:v>
      </x:c>
      <x:c r="W169" t="n">
        <x:f>N169-M169-O169-P169</x:f>
        <x:v>-70.73628861109518</x:v>
      </x:c>
      <x:c r="X169" t="str">
        <x:f>IF(T169&gt;1,"Ganador",IF(T169&lt;0,"Perdedor","Empate"))</x:f>
        <x:v>Perdedor</x:v>
      </x:c>
    </x:row>
    <x:row r="170">
      <x:c r="A170" t="str">
        <x:v>COIN</x:v>
      </x:c>
      <x:c r="B170" t="n">
        <x:v>45254</x:v>
      </x:c>
      <x:c r="C170" t="n">
        <x:v>45257</x:v>
      </x:c>
      <x:c r="D170" t="n">
        <x:v>45348</x:v>
      </x:c>
      <x:c r="E170" t="n">
        <x:v>91</x:v>
      </x:c>
      <x:c r="F170" t="str">
        <x:v>enter_or_hold</x:v>
      </x:c>
      <x:c r="G170" t="str">
        <x:v>rebalance_trim</x:v>
      </x:c>
      <x:c r="H170" t="n">
        <x:v>6</x:v>
      </x:c>
      <x:c r="I170" t="n">
        <x:v>46.292244357338895</x:v>
      </x:c>
      <x:c r="J170" t="n">
        <x:v>3.4484430154326655</x:v>
      </x:c>
      <x:c r="K170" t="n">
        <x:v>121.90246063204047</x:v>
      </x:c>
      <x:c r="L170" t="n">
        <x:v>193.94000244140625</x:v>
      </x:c>
      <x:c r="M170" t="n">
        <x:v>420.37368893061534</x:v>
      </x:c>
      <x:c r="N170" t="n">
        <x:v>668.7910468320615</x:v>
      </x:c>
      <x:c r="O170" t="n">
        <x:v>1.0088968534334768</x:v>
      </x:c>
      <x:c r="P170" t="n">
        <x:v>1.6050985123969475</x:v>
      </x:c>
      <x:c r="Q170" t="n">
        <x:v>119.7699966430664</x:v>
      </x:c>
      <x:c r="R170" t="n">
        <x:v>61.927033378299434</x:v>
      </x:c>
      <x:c r="S170" t="n">
        <x:v>59.09441157780178</x:v>
      </x:c>
      <x:c r="T170" t="n">
        <x:v>58.61441157780178</x:v>
      </x:c>
      <x:c r="U170" t="n">
        <x:f>YEAR(C170)</x:f>
        <x:v>2023</x:v>
      </x:c>
      <x:c r="V170" t="n">
        <x:f>YEAR(D170)</x:f>
        <x:v>2024</x:v>
      </x:c>
      <x:c r="W170" t="n">
        <x:f>N170-M170-O170-P170</x:f>
        <x:v>245.80336253561575</x:v>
      </x:c>
      <x:c r="X170" t="str">
        <x:f>IF(T170&gt;1,"Ganador",IF(T170&lt;0,"Perdedor","Empate"))</x:f>
        <x:v>Ganador</x:v>
      </x:c>
    </x:row>
    <x:row r="171">
      <x:c r="A171" t="str">
        <x:v>SMCI</x:v>
      </x:c>
      <x:c r="B171" t="n">
        <x:v>45317</x:v>
      </x:c>
      <x:c r="C171" t="n">
        <x:v>45320</x:v>
      </x:c>
      <x:c r="D171" t="n">
        <x:v>45348</x:v>
      </x:c>
      <x:c r="E171" t="n">
        <x:v>28</x:v>
      </x:c>
      <x:c r="F171" t="str">
        <x:v>enter_or_hold</x:v>
      </x:c>
      <x:c r="G171" t="str">
        <x:v>rebalance_trim</x:v>
      </x:c>
      <x:c r="H171" t="n">
        <x:v>1</x:v>
      </x:c>
      <x:c r="I171" t="n">
        <x:v>108.30894202877732</x:v>
      </x:c>
      <x:c r="J171" t="n">
        <x:v>24.022127444173776</x:v>
      </x:c>
      <x:c r="K171" t="n">
        <x:v>49.56700134277344</x:v>
      </x:c>
      <x:c r="L171" t="n">
        <x:v>87.63400268554688</x:v>
      </x:c>
      <x:c r="M171" t="n">
        <x:v>1190.7048232816364</x:v>
      </x:c>
      <x:c r="N171" t="n">
        <x:v>2105.155180955274</x:v>
      </x:c>
      <x:c r="O171" t="n">
        <x:v>2.857691575875927</x:v>
      </x:c>
      <x:c r="P171" t="n">
        <x:v>5.052372434292657</x:v>
      </x:c>
      <x:c r="Q171" t="n">
        <x:v>49.56700134277344</x:v>
      </x:c>
      <x:c r="R171" t="n">
        <x:v>76.79908066160104</x:v>
      </x:c>
      <x:c r="S171" t="n">
        <x:v>76.79908066160104</x:v>
      </x:c>
      <x:c r="T171" t="n">
        <x:v>76.31908066160103</x:v>
      </x:c>
      <x:c r="U171" t="n">
        <x:f>YEAR(C171)</x:f>
        <x:v>2024</x:v>
      </x:c>
      <x:c r="V171" t="n">
        <x:f>YEAR(D171)</x:f>
        <x:v>2024</x:v>
      </x:c>
      <x:c r="W171" t="n">
        <x:f>N171-M171-O171-P171</x:f>
        <x:v>906.5402936634688</x:v>
      </x:c>
      <x:c r="X171" t="str">
        <x:f>IF(T171&gt;1,"Ganador",IF(T171&lt;0,"Perdedor","Empate"))</x:f>
        <x:v>Ganador</x:v>
      </x:c>
    </x:row>
    <x:row r="172">
      <x:c r="A172" t="str">
        <x:v>UBER</x:v>
      </x:c>
      <x:c r="B172" t="n">
        <x:v>45289</x:v>
      </x:c>
      <x:c r="C172" t="n">
        <x:v>45293</x:v>
      </x:c>
      <x:c r="D172" t="n">
        <x:v>45383</x:v>
      </x:c>
      <x:c r="E172" t="n">
        <x:v>90</x:v>
      </x:c>
      <x:c r="F172" t="str">
        <x:v>enter_or_hold</x:v>
      </x:c>
      <x:c r="G172" t="str">
        <x:v>left_top_n</x:v>
      </x:c>
      <x:c r="H172" t="n">
        <x:v>6</x:v>
      </x:c>
      <x:c r="I172" t="n">
        <x:v>64.26248051122782</x:v>
      </x:c>
      <x:c r="J172" t="n">
        <x:v>79.42476104859679</x:v>
      </x:c>
      <x:c r="K172" t="n">
        <x:v>60.61454079873403</x:v>
      </x:c>
      <x:c r="L172" t="n">
        <x:v>76.4000015258789</x:v>
      </x:c>
      <x:c r="M172" t="n">
        <x:v>4814.295419009872</x:v>
      </x:c>
      <x:c r="N172" t="n">
        <x:v>6068.051865305362</x:v>
      </x:c>
      <x:c r="O172" t="n">
        <x:v>11.55430900562369</x:v>
      </x:c>
      <x:c r="P172" t="n">
        <x:v>14.563324476732868</x:v>
      </x:c>
      <x:c r="Q172" t="n">
        <x:v>58.380001068115234</x:v>
      </x:c>
      <x:c r="R172" t="n">
        <x:v>30.866735402657362</x:v>
      </x:c>
      <x:c r="S172" t="n">
        <x:v>26.042366269109074</x:v>
      </x:c>
      <x:c r="T172" t="n">
        <x:v>25.562366269109074</x:v>
      </x:c>
      <x:c r="U172" t="n">
        <x:f>YEAR(C172)</x:f>
        <x:v>2024</x:v>
      </x:c>
      <x:c r="V172" t="n">
        <x:f>YEAR(D172)</x:f>
        <x:v>2024</x:v>
      </x:c>
      <x:c r="W172" t="n">
        <x:f>N172-M172-O172-P172</x:f>
        <x:v>1227.638812813134</x:v>
      </x:c>
      <x:c r="X172" t="str">
        <x:f>IF(T172&gt;1,"Ganador",IF(T172&lt;0,"Perdedor","Empate"))</x:f>
        <x:v>Ganador</x:v>
      </x:c>
    </x:row>
    <x:row r="173">
      <x:c r="A173" t="str">
        <x:v>APP</x:v>
      </x:c>
      <x:c r="B173" t="n">
        <x:v>45254</x:v>
      </x:c>
      <x:c r="C173" t="n">
        <x:v>45257</x:v>
      </x:c>
      <x:c r="D173" t="n">
        <x:v>45383</x:v>
      </x:c>
      <x:c r="E173" t="n">
        <x:v>126</x:v>
      </x:c>
      <x:c r="F173" t="str">
        <x:v>enter_or_hold</x:v>
      </x:c>
      <x:c r="G173" t="str">
        <x:v>rebalance_trim</x:v>
      </x:c>
      <x:c r="H173" t="n">
        <x:v>5</x:v>
      </x:c>
      <x:c r="I173" t="n">
        <x:v>75.85517957778616</x:v>
      </x:c>
      <x:c r="J173" t="n">
        <x:v>0.3369087751601736</x:v>
      </x:c>
      <x:c r="K173" t="n">
        <x:v>40.07451533104322</x:v>
      </x:c>
      <x:c r="L173" t="n">
        <x:v>69.13999938964844</x:v>
      </x:c>
      <x:c r="M173" t="n">
        <x:v>13.501455875319369</x:v>
      </x:c>
      <x:c r="N173" t="n">
        <x:v>23.293872508941604</x:v>
      </x:c>
      <x:c r="O173" t="n">
        <x:v>0.03240349410076648</x:v>
      </x:c>
      <x:c r="P173" t="n">
        <x:v>0.05590529402145984</x:v>
      </x:c>
      <x:c r="Q173" t="n">
        <x:v>39.38999938964844</x:v>
      </x:c>
      <x:c r="R173" t="n">
        <x:v>75.5267846178698</x:v>
      </x:c>
      <x:c r="S173" t="n">
        <x:v>72.52859783456944</x:v>
      </x:c>
      <x:c r="T173" t="n">
        <x:v>72.04859783456943</x:v>
      </x:c>
      <x:c r="U173" t="n">
        <x:f>YEAR(C173)</x:f>
        <x:v>2023</x:v>
      </x:c>
      <x:c r="V173" t="n">
        <x:f>YEAR(D173)</x:f>
        <x:v>2024</x:v>
      </x:c>
      <x:c r="W173" t="n">
        <x:f>N173-M173-O173-P173</x:f>
        <x:v>9.704107845500008</x:v>
      </x:c>
      <x:c r="X173" t="str">
        <x:f>IF(T173&gt;1,"Ganador",IF(T173&lt;0,"Perdedor","Empate"))</x:f>
        <x:v>Ganador</x:v>
      </x:c>
    </x:row>
    <x:row r="174">
      <x:c r="A174" t="str">
        <x:v>COIN</x:v>
      </x:c>
      <x:c r="B174" t="n">
        <x:v>45254</x:v>
      </x:c>
      <x:c r="C174" t="n">
        <x:v>45257</x:v>
      </x:c>
      <x:c r="D174" t="n">
        <x:v>45383</x:v>
      </x:c>
      <x:c r="E174" t="n">
        <x:v>126</x:v>
      </x:c>
      <x:c r="F174" t="str">
        <x:v>enter_or_hold</x:v>
      </x:c>
      <x:c r="G174" t="str">
        <x:v>rebalance_trim</x:v>
      </x:c>
      <x:c r="H174" t="n">
        <x:v>6</x:v>
      </x:c>
      <x:c r="I174" t="n">
        <x:v>46.292244357338895</x:v>
      </x:c>
      <x:c r="J174" t="n">
        <x:v>3.2588756674514836</x:v>
      </x:c>
      <x:c r="K174" t="n">
        <x:v>121.90246063204047</x:v>
      </x:c>
      <x:c r="L174" t="n">
        <x:v>252.1100006103516</x:v>
      </x:c>
      <x:c r="M174" t="n">
        <x:v>397.264962756219</x:v>
      </x:c>
      <x:c r="N174" t="n">
        <x:v>821.5951465102535</x:v>
      </x:c>
      <x:c r="O174" t="n">
        <x:v>0.9534359106149255</x:v>
      </x:c>
      <x:c r="P174" t="n">
        <x:v>1.9718283516246082</x:v>
      </x:c>
      <x:c r="Q174" t="n">
        <x:v>119.7699966430664</x:v>
      </x:c>
      <x:c r="R174" t="n">
        <x:v>110.49512204770231</x:v>
      </x:c>
      <x:c r="S174" t="n">
        <x:v>106.81288901242061</x:v>
      </x:c>
      <x:c r="T174" t="n">
        <x:v>106.33288901242061</x:v>
      </x:c>
      <x:c r="U174" t="n">
        <x:f>YEAR(C174)</x:f>
        <x:v>2023</x:v>
      </x:c>
      <x:c r="V174" t="n">
        <x:f>YEAR(D174)</x:f>
        <x:v>2024</x:v>
      </x:c>
      <x:c r="W174" t="n">
        <x:f>N174-M174-O174-P174</x:f>
        <x:v>421.40491949179494</x:v>
      </x:c>
      <x:c r="X174" t="str">
        <x:f>IF(T174&gt;1,"Ganador",IF(T174&lt;0,"Perdedor","Empate"))</x:f>
        <x:v>Ganador</x:v>
      </x:c>
    </x:row>
    <x:row r="175">
      <x:c r="A175" t="str">
        <x:v>CVNA</x:v>
      </x:c>
      <x:c r="B175" t="n">
        <x:v>45345</x:v>
      </x:c>
      <x:c r="C175" t="n">
        <x:v>45348</x:v>
      </x:c>
      <x:c r="D175" t="n">
        <x:v>45383</x:v>
      </x:c>
      <x:c r="E175" t="n">
        <x:v>35</x:v>
      </x:c>
      <x:c r="F175" t="str">
        <x:v>enter_or_hold</x:v>
      </x:c>
      <x:c r="G175" t="str">
        <x:v>rebalance_trim</x:v>
      </x:c>
      <x:c r="H175" t="n">
        <x:v>2</x:v>
      </x:c>
      <x:c r="I175" t="n">
        <x:v>115.76932704170306</x:v>
      </x:c>
      <x:c r="J175" t="n">
        <x:v>5.052991505592334</x:v>
      </x:c>
      <x:c r="K175" t="n">
        <x:v>69.87999725341797</x:v>
      </x:c>
      <x:c r="L175" t="n">
        <x:v>86.79000091552734</x:v>
      </x:c>
      <x:c r="M175" t="n">
        <x:v>353.1030325323366</x:v>
      </x:c>
      <x:c r="N175" t="n">
        <x:v>438.54913739651056</x:v>
      </x:c>
      <x:c r="O175" t="n">
        <x:v>0.8474472780776079</x:v>
      </x:c>
      <x:c r="P175" t="n">
        <x:v>1.0525179297516252</x:v>
      </x:c>
      <x:c r="Q175" t="n">
        <x:v>69.87999725341797</x:v>
      </x:c>
      <x:c r="R175" t="n">
        <x:v>24.198632408049026</x:v>
      </x:c>
      <x:c r="S175" t="n">
        <x:v>24.198632408049026</x:v>
      </x:c>
      <x:c r="T175" t="n">
        <x:v>23.718632408049025</x:v>
      </x:c>
      <x:c r="U175" t="n">
        <x:f>YEAR(C175)</x:f>
        <x:v>2024</x:v>
      </x:c>
      <x:c r="V175" t="n">
        <x:f>YEAR(D175)</x:f>
        <x:v>2024</x:v>
      </x:c>
      <x:c r="W175" t="n">
        <x:f>N175-M175-O175-P175</x:f>
        <x:v>83.5461396563447</x:v>
      </x:c>
      <x:c r="X175" t="str">
        <x:f>IF(T175&gt;1,"Ganador",IF(T175&lt;0,"Perdedor","Empate"))</x:f>
        <x:v>Ganador</x:v>
      </x:c>
    </x:row>
    <x:row r="176">
      <x:c r="A176" t="str">
        <x:v>SMCI</x:v>
      </x:c>
      <x:c r="B176" t="n">
        <x:v>45317</x:v>
      </x:c>
      <x:c r="C176" t="n">
        <x:v>45320</x:v>
      </x:c>
      <x:c r="D176" t="n">
        <x:v>45383</x:v>
      </x:c>
      <x:c r="E176" t="n">
        <x:v>63</x:v>
      </x:c>
      <x:c r="F176" t="str">
        <x:v>enter_or_hold</x:v>
      </x:c>
      <x:c r="G176" t="str">
        <x:v>rebalance_trim</x:v>
      </x:c>
      <x:c r="H176" t="n">
        <x:v>1</x:v>
      </x:c>
      <x:c r="I176" t="n">
        <x:v>108.30894202877732</x:v>
      </x:c>
      <x:c r="J176" t="n">
        <x:v>0.9311997992238923</x:v>
      </x:c>
      <x:c r="K176" t="n">
        <x:v>49.56700134277344</x:v>
      </x:c>
      <x:c r="L176" t="n">
        <x:v>103.71499633789062</x:v>
      </x:c>
      <x:c r="M176" t="n">
        <x:v>46.15678169852102</x:v>
      </x:c>
      <x:c r="N176" t="n">
        <x:v>96.57938376635047</x:v>
      </x:c>
      <x:c r="O176" t="n">
        <x:v>0.11077627607645044</x:v>
      </x:c>
      <x:c r="P176" t="n">
        <x:v>0.2317905210392411</x:v>
      </x:c>
      <x:c r="Q176" t="n">
        <x:v>49.56700134277344</x:v>
      </x:c>
      <x:c r="R176" t="n">
        <x:v>109.24202297545608</x:v>
      </x:c>
      <x:c r="S176" t="n">
        <x:v>109.24202297545608</x:v>
      </x:c>
      <x:c r="T176" t="n">
        <x:v>108.76202297545608</x:v>
      </x:c>
      <x:c r="U176" t="n">
        <x:f>YEAR(C176)</x:f>
        <x:v>2024</x:v>
      </x:c>
      <x:c r="V176" t="n">
        <x:f>YEAR(D176)</x:f>
        <x:v>2024</x:v>
      </x:c>
      <x:c r="W176" t="n">
        <x:f>N176-M176-O176-P176</x:f>
        <x:v>50.08003527071376</x:v>
      </x:c>
      <x:c r="X176" t="str">
        <x:f>IF(T176&gt;1,"Ganador",IF(T176&lt;0,"Perdedor","Empate"))</x:f>
        <x:v>Ganador</x:v>
      </x:c>
    </x:row>
    <x:row r="177">
      <x:c r="A177" t="str">
        <x:v>APP</x:v>
      </x:c>
      <x:c r="B177" t="n">
        <x:v>45254</x:v>
      </x:c>
      <x:c r="C177" t="n">
        <x:v>45257</x:v>
      </x:c>
      <x:c r="D177" t="n">
        <x:v>45411</x:v>
      </x:c>
      <x:c r="E177" t="n">
        <x:v>154</x:v>
      </x:c>
      <x:c r="F177" t="str">
        <x:v>enter_or_hold</x:v>
      </x:c>
      <x:c r="G177" t="str">
        <x:v>market_filter_failed</x:v>
      </x:c>
      <x:c r="H177" t="n">
        <x:v>5</x:v>
      </x:c>
      <x:c r="I177" t="n">
        <x:v>75.85517957778616</x:v>
      </x:c>
      <x:c r="J177" t="n">
        <x:v>105.18869799391393</x:v>
      </x:c>
      <x:c r="K177" t="n">
        <x:v>40.07451533104322</x:v>
      </x:c>
      <x:c r="L177" t="n">
        <x:v>72.98999786376953</x:v>
      </x:c>
      <x:c r="M177" t="n">
        <x:v>4215.386090409579</x:v>
      </x:c>
      <x:c r="N177" t="n">
        <x:v>7677.722841868476</x:v>
      </x:c>
      <x:c r="O177" t="n">
        <x:v>10.116926616982989</x:v>
      </x:c>
      <x:c r="P177" t="n">
        <x:v>18.426534820484342</x:v>
      </x:c>
      <x:c r="Q177" t="n">
        <x:v>39.38999938964844</x:v>
      </x:c>
      <x:c r="R177" t="n">
        <x:v>85.30083522405705</x:v>
      </x:c>
      <x:c r="S177" t="n">
        <x:v>82.13569711529047</x:v>
      </x:c>
      <x:c r="T177" t="n">
        <x:v>81.65569711529047</x:v>
      </x:c>
      <x:c r="U177" t="n">
        <x:f>YEAR(C177)</x:f>
        <x:v>2023</x:v>
      </x:c>
      <x:c r="V177" t="n">
        <x:f>YEAR(D177)</x:f>
        <x:v>2024</x:v>
      </x:c>
      <x:c r="W177" t="n">
        <x:f>N177-M177-O177-P177</x:f>
        <x:v>3433.7932900214296</x:v>
      </x:c>
      <x:c r="X177" t="str">
        <x:f>IF(T177&gt;1,"Ganador",IF(T177&lt;0,"Perdedor","Empate"))</x:f>
        <x:v>Ganador</x:v>
      </x:c>
    </x:row>
    <x:row r="178">
      <x:c r="A178" t="str">
        <x:v>COIN</x:v>
      </x:c>
      <x:c r="B178" t="n">
        <x:v>45254</x:v>
      </x:c>
      <x:c r="C178" t="n">
        <x:v>45257</x:v>
      </x:c>
      <x:c r="D178" t="n">
        <x:v>45411</x:v>
      </x:c>
      <x:c r="E178" t="n">
        <x:v>154</x:v>
      </x:c>
      <x:c r="F178" t="str">
        <x:v>enter_or_hold</x:v>
      </x:c>
      <x:c r="G178" t="str">
        <x:v>market_filter_failed</x:v>
      </x:c>
      <x:c r="H178" t="n">
        <x:v>6</x:v>
      </x:c>
      <x:c r="I178" t="n">
        <x:v>46.292244357338895</x:v>
      </x:c>
      <x:c r="J178" t="n">
        <x:v>28.84751298040537</x:v>
      </x:c>
      <x:c r="K178" t="n">
        <x:v>121.90246063204047</x:v>
      </x:c>
      <x:c r="L178" t="n">
        <x:v>218.16000366210935</x:v>
      </x:c>
      <x:c r="M178" t="n">
        <x:v>3516.582815426141</x:v>
      </x:c>
      <x:c r="N178" t="n">
        <x:v>6293.373537447982</x:v>
      </x:c>
      <x:c r="O178" t="n">
        <x:v>8.43979875702274</x:v>
      </x:c>
      <x:c r="P178" t="n">
        <x:v>15.104096489875156</x:v>
      </x:c>
      <x:c r="Q178" t="n">
        <x:v>119.7699966430664</x:v>
      </x:c>
      <x:c r="R178" t="n">
        <x:v>82.14912730795241</x:v>
      </x:c>
      <x:c r="S178" t="n">
        <x:v>78.96275639637813</x:v>
      </x:c>
      <x:c r="T178" t="n">
        <x:v>78.48275639637812</x:v>
      </x:c>
      <x:c r="U178" t="n">
        <x:f>YEAR(C178)</x:f>
        <x:v>2023</x:v>
      </x:c>
      <x:c r="V178" t="n">
        <x:f>YEAR(D178)</x:f>
        <x:v>2024</x:v>
      </x:c>
      <x:c r="W178" t="n">
        <x:f>N178-M178-O178-P178</x:f>
        <x:v>2753.2468267749427</x:v>
      </x:c>
      <x:c r="X178" t="str">
        <x:f>IF(T178&gt;1,"Ganador",IF(T178&lt;0,"Perdedor","Empate"))</x:f>
        <x:v>Ganador</x:v>
      </x:c>
    </x:row>
    <x:row r="179">
      <x:c r="A179" t="str">
        <x:v>NVDA</x:v>
      </x:c>
      <x:c r="B179" t="n">
        <x:v>45317</x:v>
      </x:c>
      <x:c r="C179" t="n">
        <x:v>45320</x:v>
      </x:c>
      <x:c r="D179" t="n">
        <x:v>45411</x:v>
      </x:c>
      <x:c r="E179" t="n">
        <x:v>91</x:v>
      </x:c>
      <x:c r="F179" t="str">
        <x:v>enter_or_hold</x:v>
      </x:c>
      <x:c r="G179" t="str">
        <x:v>market_filter_failed</x:v>
      </x:c>
      <x:c r="H179" t="n">
        <x:v>6</x:v>
      </x:c>
      <x:c r="I179" t="n">
        <x:v>82.14506637452239</x:v>
      </x:c>
      <x:c r="J179" t="n">
        <x:v>80.47279896970609</x:v>
      </x:c>
      <x:c r="K179" t="n">
        <x:v>63.75164724844684</x:v>
      </x:c>
      <x:c r="L179" t="n">
        <x:v>87.75700378417969</x:v>
      </x:c>
      <x:c r="M179" t="n">
        <x:v>5130.273493011879</x:v>
      </x:c>
      <x:c r="N179" t="n">
        <x:v>7062.0517237080285</x:v>
      </x:c>
      <x:c r="O179" t="n">
        <x:v>12.312656383228507</x:v>
      </x:c>
      <x:c r="P179" t="n">
        <x:v>16.948924136899265</x:v>
      </x:c>
      <x:c r="Q179" t="n">
        <x:v>62.46500015258789</x:v>
      </x:c>
      <x:c r="R179" t="n">
        <x:v>40.489880044519566</x:v>
      </x:c>
      <x:c r="S179" t="n">
        <x:v>37.654488270995515</x:v>
      </x:c>
      <x:c r="T179" t="n">
        <x:v>37.17448827099552</x:v>
      </x:c>
      <x:c r="U179" t="n">
        <x:f>YEAR(C179)</x:f>
        <x:v>2024</x:v>
      </x:c>
      <x:c r="V179" t="n">
        <x:f>YEAR(D179)</x:f>
        <x:v>2024</x:v>
      </x:c>
      <x:c r="W179" t="n">
        <x:f>N179-M179-O179-P179</x:f>
        <x:v>1902.516650176022</x:v>
      </x:c>
      <x:c r="X179" t="str">
        <x:f>IF(T179&gt;1,"Ganador",IF(T179&lt;0,"Perdedor","Empate"))</x:f>
        <x:v>Ganador</x:v>
      </x:c>
    </x:row>
    <x:row r="180">
      <x:c r="A180" t="str">
        <x:v>SMCI</x:v>
      </x:c>
      <x:c r="B180" t="n">
        <x:v>45317</x:v>
      </x:c>
      <x:c r="C180" t="n">
        <x:v>45320</x:v>
      </x:c>
      <x:c r="D180" t="n">
        <x:v>45411</x:v>
      </x:c>
      <x:c r="E180" t="n">
        <x:v>91</x:v>
      </x:c>
      <x:c r="F180" t="str">
        <x:v>enter_or_hold</x:v>
      </x:c>
      <x:c r="G180" t="str">
        <x:v>market_filter_failed</x:v>
      </x:c>
      <x:c r="H180" t="n">
        <x:v>1</x:v>
      </x:c>
      <x:c r="I180" t="n">
        <x:v>108.30894202877732</x:v>
      </x:c>
      <x:c r="J180" t="n">
        <x:v>70.12241982252417</x:v>
      </x:c>
      <x:c r="K180" t="n">
        <x:v>49.56700134277344</x:v>
      </x:c>
      <x:c r="L180" t="n">
        <x:v>89.03500366210938</x:v>
      </x:c>
      <x:c r="M180" t="n">
        <x:v>3475.7580775015776</x:v>
      </x:c>
      <x:c r="N180" t="n">
        <x:v>6243.34990569441</x:v>
      </x:c>
      <x:c r="O180" t="n">
        <x:v>8.341819386003786</x:v>
      </x:c>
      <x:c r="P180" t="n">
        <x:v>14.984039773666582</x:v>
      </x:c>
      <x:c r="Q180" t="n">
        <x:v>49.56700134277344</x:v>
      </x:c>
      <x:c r="R180" t="n">
        <x:v>79.62555984857885</x:v>
      </x:c>
      <x:c r="S180" t="n">
        <x:v>79.62555984857885</x:v>
      </x:c>
      <x:c r="T180" t="n">
        <x:v>79.14555984857884</x:v>
      </x:c>
      <x:c r="U180" t="n">
        <x:f>YEAR(C180)</x:f>
        <x:v>2024</x:v>
      </x:c>
      <x:c r="V180" t="n">
        <x:f>YEAR(D180)</x:f>
        <x:v>2024</x:v>
      </x:c>
      <x:c r="W180" t="n">
        <x:f>N180-M180-O180-P180</x:f>
        <x:v>2744.265969033162</x:v>
      </x:c>
      <x:c r="X180" t="str">
        <x:f>IF(T180&gt;1,"Ganador",IF(T180&lt;0,"Perdedor","Empate"))</x:f>
        <x:v>Ganador</x:v>
      </x:c>
    </x:row>
    <x:row r="181">
      <x:c r="A181" t="str">
        <x:v>CVNA</x:v>
      </x:c>
      <x:c r="B181" t="n">
        <x:v>45345</x:v>
      </x:c>
      <x:c r="C181" t="n">
        <x:v>45348</x:v>
      </x:c>
      <x:c r="D181" t="n">
        <x:v>45411</x:v>
      </x:c>
      <x:c r="E181" t="n">
        <x:v>63</x:v>
      </x:c>
      <x:c r="F181" t="str">
        <x:v>enter_or_hold</x:v>
      </x:c>
      <x:c r="G181" t="str">
        <x:v>market_filter_failed</x:v>
      </x:c>
      <x:c r="H181" t="n">
        <x:v>2</x:v>
      </x:c>
      <x:c r="I181" t="n">
        <x:v>115.76932704170306</x:v>
      </x:c>
      <x:c r="J181" t="n">
        <x:v>83.79705540244991</x:v>
      </x:c>
      <x:c r="K181" t="n">
        <x:v>69.87999725341797</x:v>
      </x:c>
      <x:c r="L181" t="n">
        <x:v>83.76000213623047</x:v>
      </x:c>
      <x:c r="M181" t="n">
        <x:v>5855.738001367714</x:v>
      </x:c>
      <x:c r="N181" t="n">
        <x:v>7018.841539519028</x:v>
      </x:c>
      <x:c r="O181" t="n">
        <x:v>14.053771203282512</x:v>
      </x:c>
      <x:c r="P181" t="n">
        <x:v>16.845219694845664</x:v>
      </x:c>
      <x:c r="Q181" t="n">
        <x:v>69.87999725341797</x:v>
      </x:c>
      <x:c r="R181" t="n">
        <x:v>19.86262940520307</x:v>
      </x:c>
      <x:c r="S181" t="n">
        <x:v>19.86262940520307</x:v>
      </x:c>
      <x:c r="T181" t="n">
        <x:v>19.38262940520307</x:v>
      </x:c>
      <x:c r="U181" t="n">
        <x:f>YEAR(C181)</x:f>
        <x:v>2024</x:v>
      </x:c>
      <x:c r="V181" t="n">
        <x:f>YEAR(D181)</x:f>
        <x:v>2024</x:v>
      </x:c>
      <x:c r="W181" t="n">
        <x:f>N181-M181-O181-P181</x:f>
        <x:v>1132.2045472531856</x:v>
      </x:c>
      <x:c r="X181" t="str">
        <x:f>IF(T181&gt;1,"Ganador",IF(T181&lt;0,"Perdedor","Empate"))</x:f>
        <x:v>Ganador</x:v>
      </x:c>
    </x:row>
    <x:row r="182">
      <x:c r="A182" t="str">
        <x:v>WSM</x:v>
      </x:c>
      <x:c r="B182" t="n">
        <x:v>45380</x:v>
      </x:c>
      <x:c r="C182" t="n">
        <x:v>45383</x:v>
      </x:c>
      <x:c r="D182" t="n">
        <x:v>45411</x:v>
      </x:c>
      <x:c r="E182" t="n">
        <x:v>28</x:v>
      </x:c>
      <x:c r="F182" t="str">
        <x:v>enter_or_hold</x:v>
      </x:c>
      <x:c r="G182" t="str">
        <x:v>market_filter_failed</x:v>
      </x:c>
      <x:c r="H182" t="n">
        <x:v>4</x:v>
      </x:c>
      <x:c r="I182" t="n">
        <x:v>89.68186661455613</x:v>
      </x:c>
      <x:c r="J182" t="n">
        <x:v>46.05866660352281</x:v>
      </x:c>
      <x:c r="K182" t="n">
        <x:v>157.46499633789062</x:v>
      </x:c>
      <x:c r="L182" t="n">
        <x:v>143.1999969482422</x:v>
      </x:c>
      <x:c r="M182" t="n">
        <x:v>7252.627768051844</x:v>
      </x:c>
      <x:c r="N182" t="n">
        <x:v>6595.60091706457</x:v>
      </x:c>
      <x:c r="O182" t="n">
        <x:v>17.406306643324424</x:v>
      </x:c>
      <x:c r="P182" t="n">
        <x:v>15.829442200954967</x:v>
      </x:c>
      <x:c r="Q182" t="n">
        <x:v>157.46499633789062</x:v>
      </x:c>
      <x:c r="R182" t="n">
        <x:v>-9.059155825996024</x:v>
      </x:c>
      <x:c r="S182" t="n">
        <x:v>-9.059155825996024</x:v>
      </x:c>
      <x:c r="T182" t="n">
        <x:v>-9.539155825996025</x:v>
      </x:c>
      <x:c r="U182" t="n">
        <x:f>YEAR(C182)</x:f>
        <x:v>2024</x:v>
      </x:c>
      <x:c r="V182" t="n">
        <x:f>YEAR(D182)</x:f>
        <x:v>2024</x:v>
      </x:c>
      <x:c r="W182" t="n">
        <x:f>N182-M182-O182-P182</x:f>
        <x:v>-690.2625998315534</x:v>
      </x:c>
      <x:c r="X182" t="str">
        <x:f>IF(T182&gt;1,"Ganador",IF(T182&lt;0,"Perdedor","Empate"))</x:f>
        <x:v>Perdedor</x:v>
      </x:c>
    </x:row>
    <x:row r="183">
      <x:c r="A183" t="str">
        <x:v>CEG</x:v>
      </x:c>
      <x:c r="B183" t="n">
        <x:v>45443</x:v>
      </x:c>
      <x:c r="C183" t="n">
        <x:v>45446</x:v>
      </x:c>
      <x:c r="D183" t="n">
        <x:v>45474</x:v>
      </x:c>
      <x:c r="E183" t="n">
        <x:v>28</x:v>
      </x:c>
      <x:c r="F183" t="str">
        <x:v>enter_or_hold</x:v>
      </x:c>
      <x:c r="G183" t="str">
        <x:v>left_top_n</x:v>
      </x:c>
      <x:c r="H183" t="n">
        <x:v>6</x:v>
      </x:c>
      <x:c r="I183" t="n">
        <x:v>63.434245226619645</x:v>
      </x:c>
      <x:c r="J183" t="n">
        <x:v>32.56757175345834</x:v>
      </x:c>
      <x:c r="K183" t="n">
        <x:v>208.25999450683597</x:v>
      </x:c>
      <x:c r="L183" t="n">
        <x:v>205.0500030517578</x:v>
      </x:c>
      <x:c r="M183" t="n">
        <x:v>6782.522314476219</x:v>
      </x:c>
      <x:c r="N183" t="n">
        <x:v>6677.980687434974</x:v>
      </x:c>
      <x:c r="O183" t="n">
        <x:v>16.278053554742925</x:v>
      </x:c>
      <x:c r="P183" t="n">
        <x:v>16.027153649843935</x:v>
      </x:c>
      <x:c r="Q183" t="n">
        <x:v>208.25999450683597</x:v>
      </x:c>
      <x:c r="R183" t="n">
        <x:v>-1.541338490226829</x:v>
      </x:c>
      <x:c r="S183" t="n">
        <x:v>-1.541338490226829</x:v>
      </x:c>
      <x:c r="T183" t="n">
        <x:v>-2.021338490226829</x:v>
      </x:c>
      <x:c r="U183" t="n">
        <x:f>YEAR(C183)</x:f>
        <x:v>2024</x:v>
      </x:c>
      <x:c r="V183" t="n">
        <x:f>YEAR(D183)</x:f>
        <x:v>2024</x:v>
      </x:c>
      <x:c r="W183" t="n">
        <x:f>N183-M183-O183-P183</x:f>
        <x:v>-136.84683424583204</x:v>
      </x:c>
      <x:c r="X183" t="str">
        <x:f>IF(T183&gt;1,"Ganador",IF(T183&lt;0,"Perdedor","Empate"))</x:f>
        <x:v>Perdedor</x:v>
      </x:c>
    </x:row>
    <x:row r="184">
      <x:c r="A184" t="str">
        <x:v>CVNA</x:v>
      </x:c>
      <x:c r="B184" t="n">
        <x:v>45443</x:v>
      </x:c>
      <x:c r="C184" t="n">
        <x:v>45446</x:v>
      </x:c>
      <x:c r="D184" t="n">
        <x:v>45474</x:v>
      </x:c>
      <x:c r="E184" t="n">
        <x:v>28</x:v>
      </x:c>
      <x:c r="F184" t="str">
        <x:v>enter_or_hold</x:v>
      </x:c>
      <x:c r="G184" t="str">
        <x:v>rebalance_trim</x:v>
      </x:c>
      <x:c r="H184" t="n">
        <x:v>1</x:v>
      </x:c>
      <x:c r="I184" t="n">
        <x:v>83.30660186454718</x:v>
      </x:c>
      <x:c r="J184" t="n">
        <x:v>9.46726770301356</x:v>
      </x:c>
      <x:c r="K184" t="n">
        <x:v>98.95999908447266</x:v>
      </x:c>
      <x:c r="L184" t="n">
        <x:v>124.3499984741211</x:v>
      </x:c>
      <x:c r="M184" t="n">
        <x:v>936.8808032226796</x:v>
      </x:c>
      <x:c r="N184" t="n">
        <x:v>1177.2547244238322</x:v>
      </x:c>
      <x:c r="O184" t="n">
        <x:v>2.2485139277344306</x:v>
      </x:c>
      <x:c r="P184" t="n">
        <x:v>2.825411338617197</x:v>
      </x:c>
      <x:c r="Q184" t="n">
        <x:v>98.95999908447266</x:v>
      </x:c>
      <x:c r="R184" t="n">
        <x:v>25.656830663443554</x:v>
      </x:c>
      <x:c r="S184" t="n">
        <x:v>25.656830663443554</x:v>
      </x:c>
      <x:c r="T184" t="n">
        <x:v>25.176830663443553</x:v>
      </x:c>
      <x:c r="U184" t="n">
        <x:f>YEAR(C184)</x:f>
        <x:v>2024</x:v>
      </x:c>
      <x:c r="V184" t="n">
        <x:f>YEAR(D184)</x:f>
        <x:v>2024</x:v>
      </x:c>
      <x:c r="W184" t="n">
        <x:f>N184-M184-O184-P184</x:f>
        <x:v>235.299995934801</x:v>
      </x:c>
      <x:c r="X184" t="str">
        <x:f>IF(T184&gt;1,"Ganador",IF(T184&lt;0,"Perdedor","Empate"))</x:f>
        <x:v>Ganador</x:v>
      </x:c>
    </x:row>
    <x:row r="185">
      <x:c r="A185" t="str">
        <x:v>APP</x:v>
      </x:c>
      <x:c r="B185" t="n">
        <x:v>45443</x:v>
      </x:c>
      <x:c r="C185" t="n">
        <x:v>45446</x:v>
      </x:c>
      <x:c r="D185" t="n">
        <x:v>45502</x:v>
      </x:c>
      <x:c r="E185" t="n">
        <x:v>56</x:v>
      </x:c>
      <x:c r="F185" t="str">
        <x:v>enter_or_hold</x:v>
      </x:c>
      <x:c r="G185" t="str">
        <x:v>left_top_n</x:v>
      </x:c>
      <x:c r="H185" t="n">
        <x:v>4</x:v>
      </x:c>
      <x:c r="I185" t="n">
        <x:v>60.134105986220646</x:v>
      </x:c>
      <x:c r="J185" t="n">
        <x:v>86.58362784022265</x:v>
      </x:c>
      <x:c r="K185" t="n">
        <x:v>82.81189485624314</x:v>
      </x:c>
      <x:c r="L185" t="n">
        <x:v>76.8499984741211</x:v>
      </x:c>
      <x:c r="M185" t="n">
        <x:v>7170.154284976604</x:v>
      </x:c>
      <x:c r="N185" t="n">
        <x:v>6653.951667404979</x:v>
      </x:c>
      <x:c r="O185" t="n">
        <x:v>17.208370283943847</x:v>
      </x:c>
      <x:c r="P185" t="n">
        <x:v>15.96948400177195</x:v>
      </x:c>
      <x:c r="Q185" t="n">
        <x:v>82.69999694824219</x:v>
      </x:c>
      <x:c r="R185" t="n">
        <x:v>-7.073758996366486</x:v>
      </x:c>
      <x:c r="S185" t="n">
        <x:v>-7.199323711251349</x:v>
      </x:c>
      <x:c r="T185" t="n">
        <x:v>-7.6793237112513495</x:v>
      </x:c>
      <x:c r="U185" t="n">
        <x:f>YEAR(C185)</x:f>
        <x:v>2024</x:v>
      </x:c>
      <x:c r="V185" t="n">
        <x:f>YEAR(D185)</x:f>
        <x:v>2024</x:v>
      </x:c>
      <x:c r="W185" t="n">
        <x:f>N185-M185-O185-P185</x:f>
        <x:v>-549.3804718573405</x:v>
      </x:c>
      <x:c r="X185" t="str">
        <x:f>IF(T185&gt;1,"Ganador",IF(T185&lt;0,"Perdedor","Empate"))</x:f>
        <x:v>Perdedor</x:v>
      </x:c>
    </x:row>
    <x:row r="186">
      <x:c r="A186" t="str">
        <x:v>DELL</x:v>
      </x:c>
      <x:c r="B186" t="n">
        <x:v>45443</x:v>
      </x:c>
      <x:c r="C186" t="n">
        <x:v>45446</x:v>
      </x:c>
      <x:c r="D186" t="n">
        <x:v>45502</x:v>
      </x:c>
      <x:c r="E186" t="n">
        <x:v>56</x:v>
      </x:c>
      <x:c r="F186" t="str">
        <x:v>enter_or_hold</x:v>
      </x:c>
      <x:c r="G186" t="str">
        <x:v>left_top_n</x:v>
      </x:c>
      <x:c r="H186" t="n">
        <x:v>6</x:v>
      </x:c>
      <x:c r="I186" t="n">
        <x:v>52.76459802123781</x:v>
      </x:c>
      <x:c r="J186" t="n">
        <x:v>51.42806714257709</x:v>
      </x:c>
      <x:c r="K186" t="n">
        <x:v>132.04195721510914</x:v>
      </x:c>
      <x:c r="L186" t="n">
        <x:v>111.1999969482422</x:v>
      </x:c>
      <x:c r="M186" t="n">
        <x:v>6790.662641295924</x:v>
      </x:c>
      <x:c r="N186" t="n">
        <x:v>5718.8009093085675</x:v>
      </x:c>
      <x:c r="O186" t="n">
        <x:v>16.297590339110215</x:v>
      </x:c>
      <x:c r="P186" t="n">
        <x:v>13.725122182340561</x:v>
      </x:c>
      <x:c r="Q186" t="n">
        <x:v>132.02999877929688</x:v>
      </x:c>
      <x:c r="R186" t="n">
        <x:v>-15.776718945422685</x:v>
      </x:c>
      <x:c r="S186" t="n">
        <x:v>-15.784346662563753</x:v>
      </x:c>
      <x:c r="T186" t="n">
        <x:v>-16.264346662563753</x:v>
      </x:c>
      <x:c r="U186" t="n">
        <x:f>YEAR(C186)</x:f>
        <x:v>2024</x:v>
      </x:c>
      <x:c r="V186" t="n">
        <x:f>YEAR(D186)</x:f>
        <x:v>2024</x:v>
      </x:c>
      <x:c r="W186" t="n">
        <x:f>N186-M186-O186-P186</x:f>
        <x:v>-1101.8844445088073</x:v>
      </x:c>
      <x:c r="X186" t="str">
        <x:f>IF(T186&gt;1,"Ganador",IF(T186&lt;0,"Perdedor","Empate"))</x:f>
        <x:v>Perdedor</x:v>
      </x:c>
    </x:row>
    <x:row r="187">
      <x:c r="A187" t="str">
        <x:v>SMCI</x:v>
      </x:c>
      <x:c r="B187" t="n">
        <x:v>45471</x:v>
      </x:c>
      <x:c r="C187" t="n">
        <x:v>45474</x:v>
      </x:c>
      <x:c r="D187" t="n">
        <x:v>45502</x:v>
      </x:c>
      <x:c r="E187" t="n">
        <x:v>28</x:v>
      </x:c>
      <x:c r="F187" t="str">
        <x:v>enter_or_hold</x:v>
      </x:c>
      <x:c r="G187" t="str">
        <x:v>left_top_n</x:v>
      </x:c>
      <x:c r="H187" t="n">
        <x:v>5</x:v>
      </x:c>
      <x:c r="I187" t="n">
        <x:v>53.89905314031213</x:v>
      </x:c>
      <x:c r="J187" t="n">
        <x:v>90.19783732090302</x:v>
      </x:c>
      <x:c r="K187" t="n">
        <x:v>81.23200225830078</x:v>
      </x:c>
      <x:c r="L187" t="n">
        <x:v>69.77300262451172</x:v>
      </x:c>
      <x:c r="M187" t="n">
        <x:v>7326.95092494544</x:v>
      </x:c>
      <x:c r="N187" t="n">
        <x:v>6293.373940116648</x:v>
      </x:c>
      <x:c r="O187" t="n">
        <x:v>17.584682219869055</x:v>
      </x:c>
      <x:c r="P187" t="n">
        <x:v>15.104097456279954</x:v>
      </x:c>
      <x:c r="Q187" t="n">
        <x:v>81.23200225830078</x:v>
      </x:c>
      <x:c r="R187" t="n">
        <x:v>-14.106508906861414</x:v>
      </x:c>
      <x:c r="S187" t="n">
        <x:v>-14.106508906861414</x:v>
      </x:c>
      <x:c r="T187" t="n">
        <x:v>-14.586508906861415</x:v>
      </x:c>
      <x:c r="U187" t="n">
        <x:f>YEAR(C187)</x:f>
        <x:v>2024</x:v>
      </x:c>
      <x:c r="V187" t="n">
        <x:f>YEAR(D187)</x:f>
        <x:v>2024</x:v>
      </x:c>
      <x:c r="W187" t="n">
        <x:f>N187-M187-O187-P187</x:f>
        <x:v>-1066.265764504942</x:v>
      </x:c>
      <x:c r="X187" t="str">
        <x:f>IF(T187&gt;1,"Ganador",IF(T187&lt;0,"Perdedor","Empate"))</x:f>
        <x:v>Perdedor</x:v>
      </x:c>
    </x:row>
    <x:row r="188">
      <x:c r="A188" t="str">
        <x:v>CVNA</x:v>
      </x:c>
      <x:c r="B188" t="n">
        <x:v>45443</x:v>
      </x:c>
      <x:c r="C188" t="n">
        <x:v>45446</x:v>
      </x:c>
      <x:c r="D188" t="n">
        <x:v>45502</x:v>
      </x:c>
      <x:c r="E188" t="n">
        <x:v>56</x:v>
      </x:c>
      <x:c r="F188" t="str">
        <x:v>enter_or_hold</x:v>
      </x:c>
      <x:c r="G188" t="str">
        <x:v>rebalance_trim</x:v>
      </x:c>
      <x:c r="H188" t="n">
        <x:v>1</x:v>
      </x:c>
      <x:c r="I188" t="n">
        <x:v>83.30660186454718</x:v>
      </x:c>
      <x:c r="J188" t="n">
        <x:v>7.37789227104203</x:v>
      </x:c>
      <x:c r="K188" t="n">
        <x:v>98.95999908447266</x:v>
      </x:c>
      <x:c r="L188" t="n">
        <x:v>127.61000061035156</x:v>
      </x:c>
      <x:c r="M188" t="n">
        <x:v>730.1162123876572</x:v>
      </x:c>
      <x:c r="N188" t="n">
        <x:v>941.4928372107815</x:v>
      </x:c>
      <x:c r="O188" t="n">
        <x:v>1.7522789097303773</x:v>
      </x:c>
      <x:c r="P188" t="n">
        <x:v>2.2595828093058756</x:v>
      </x:c>
      <x:c r="Q188" t="n">
        <x:v>98.95999908447266</x:v>
      </x:c>
      <x:c r="R188" t="n">
        <x:v>28.95109315979596</x:v>
      </x:c>
      <x:c r="S188" t="n">
        <x:v>28.95109315979596</x:v>
      </x:c>
      <x:c r="T188" t="n">
        <x:v>28.47109315979596</x:v>
      </x:c>
      <x:c r="U188" t="n">
        <x:f>YEAR(C188)</x:f>
        <x:v>2024</x:v>
      </x:c>
      <x:c r="V188" t="n">
        <x:f>YEAR(D188)</x:f>
        <x:v>2024</x:v>
      </x:c>
      <x:c r="W188" t="n">
        <x:f>N188-M188-O188-P188</x:f>
        <x:v>207.36476310408807</x:v>
      </x:c>
      <x:c r="X188" t="str">
        <x:f>IF(T188&gt;1,"Ganador",IF(T188&lt;0,"Perdedor","Empate"))</x:f>
        <x:v>Ganador</x:v>
      </x:c>
    </x:row>
    <x:row r="189">
      <x:c r="A189" t="str">
        <x:v>HOOD</x:v>
      </x:c>
      <x:c r="B189" t="n">
        <x:v>45443</x:v>
      </x:c>
      <x:c r="C189" t="n">
        <x:v>45446</x:v>
      </x:c>
      <x:c r="D189" t="n">
        <x:v>45502</x:v>
      </x:c>
      <x:c r="E189" t="n">
        <x:v>56</x:v>
      </x:c>
      <x:c r="F189" t="str">
        <x:v>enter_or_hold</x:v>
      </x:c>
      <x:c r="G189" t="str">
        <x:v>rebalance_trim</x:v>
      </x:c>
      <x:c r="H189" t="n">
        <x:v>3</x:v>
      </x:c>
      <x:c r="I189" t="n">
        <x:v>65.16363102703733</x:v>
      </x:c>
      <x:c r="J189" t="n">
        <x:v>10.830018432912162</x:v>
      </x:c>
      <x:c r="K189" t="n">
        <x:v>21.296648558555553</x:v>
      </x:c>
      <x:c r="L189" t="n">
        <x:v>21.18000030517578</x:v>
      </x:c>
      <x:c r="M189" t="n">
        <x:v>230.64309644840887</x:v>
      </x:c>
      <x:c r="N189" t="n">
        <x:v>229.37979371413894</x:v>
      </x:c>
      <x:c r="O189" t="n">
        <x:v>0.5535434314761812</x:v>
      </x:c>
      <x:c r="P189" t="n">
        <x:v>0.5505115049139334</x:v>
      </x:c>
      <x:c r="Q189" t="n">
        <x:v>21.280000686645508</x:v>
      </x:c>
      <x:c r="R189" t="n">
        <x:v>-0.469926589487768</x:v>
      </x:c>
      <x:c r="S189" t="n">
        <x:v>-0.5477305645488983</x:v>
      </x:c>
      <x:c r="T189" t="n">
        <x:v>-1.0277305645488983</x:v>
      </x:c>
      <x:c r="U189" t="n">
        <x:f>YEAR(C189)</x:f>
        <x:v>2024</x:v>
      </x:c>
      <x:c r="V189" t="n">
        <x:f>YEAR(D189)</x:f>
        <x:v>2024</x:v>
      </x:c>
      <x:c r="W189" t="n">
        <x:f>N189-M189-O189-P189</x:f>
        <x:v>-2.3673576706600428</x:v>
      </x:c>
      <x:c r="X189" t="str">
        <x:f>IF(T189&gt;1,"Ganador",IF(T189&lt;0,"Perdedor","Empate"))</x:f>
        <x:v>Perdedor</x:v>
      </x:c>
    </x:row>
    <x:row r="190">
      <x:c r="A190" t="str">
        <x:v>HOOD</x:v>
      </x:c>
      <x:c r="B190" t="n">
        <x:v>45443</x:v>
      </x:c>
      <x:c r="C190" t="n">
        <x:v>45446</x:v>
      </x:c>
      <x:c r="D190" t="n">
        <x:v>45538</x:v>
      </x:c>
      <x:c r="E190" t="n">
        <x:v>92</x:v>
      </x:c>
      <x:c r="F190" t="str">
        <x:v>enter_or_hold</x:v>
      </x:c>
      <x:c r="G190" t="str">
        <x:v>left_top_n</x:v>
      </x:c>
      <x:c r="H190" t="n">
        <x:v>3</x:v>
      </x:c>
      <x:c r="I190" t="n">
        <x:v>65.16363102703733</x:v>
      </x:c>
      <x:c r="J190" t="n">
        <x:v>311.4506939899087</x:v>
      </x:c>
      <x:c r="K190" t="n">
        <x:v>21.296648558555553</x:v>
      </x:c>
      <x:c r="L190" t="n">
        <x:v>19.3700008392334</x:v>
      </x:c>
      <x:c r="M190" t="n">
        <x:v>6632.855973221315</x:v>
      </x:c>
      <x:c r="N190" t="n">
        <x:v>6032.800203964356</x:v>
      </x:c>
      <x:c r="O190" t="n">
        <x:v>15.918854335731156</x:v>
      </x:c>
      <x:c r="P190" t="n">
        <x:v>14.478720489514453</x:v>
      </x:c>
      <x:c r="Q190" t="n">
        <x:v>21.280000686645508</x:v>
      </x:c>
      <x:c r="R190" t="n">
        <x:v>-8.975562903110013</x:v>
      </x:c>
      <x:c r="S190" t="n">
        <x:v>-9.04671790974434</x:v>
      </x:c>
      <x:c r="T190" t="n">
        <x:v>-9.52671790974434</x:v>
      </x:c>
      <x:c r="U190" t="n">
        <x:f>YEAR(C190)</x:f>
        <x:v>2024</x:v>
      </x:c>
      <x:c r="V190" t="n">
        <x:f>YEAR(D190)</x:f>
        <x:v>2024</x:v>
      </x:c>
      <x:c r="W190" t="n">
        <x:f>N190-M190-O190-P190</x:f>
        <x:v>-630.4533440822047</x:v>
      </x:c>
      <x:c r="X190" t="str">
        <x:f>IF(T190&gt;1,"Ganador",IF(T190&lt;0,"Perdedor","Empate"))</x:f>
        <x:v>Perdedor</x:v>
      </x:c>
    </x:row>
    <x:row r="191">
      <x:c r="A191" t="str">
        <x:v>COIN</x:v>
      </x:c>
      <x:c r="B191" t="n">
        <x:v>45499</x:v>
      </x:c>
      <x:c r="C191" t="n">
        <x:v>45502</x:v>
      </x:c>
      <x:c r="D191" t="n">
        <x:v>45538</x:v>
      </x:c>
      <x:c r="E191" t="n">
        <x:v>36</x:v>
      </x:c>
      <x:c r="F191" t="str">
        <x:v>enter_or_hold</x:v>
      </x:c>
      <x:c r="G191" t="str">
        <x:v>left_top_n</x:v>
      </x:c>
      <x:c r="H191" t="n">
        <x:v>3</x:v>
      </x:c>
      <x:c r="I191" t="n">
        <x:v>49.34621140375468</x:v>
      </x:c>
      <x:c r="J191" t="n">
        <x:v>28.09544595933379</x:v>
      </x:c>
      <x:c r="K191" t="n">
        <x:v>234.1999969482422</x:v>
      </x:c>
      <x:c r="L191" t="n">
        <x:v>169.1300048828125</x:v>
      </x:c>
      <x:c r="M191" t="n">
        <x:v>6579.9533579354775</x:v>
      </x:c>
      <x:c r="N191" t="n">
        <x:v>4751.782912286919</x:v>
      </x:c>
      <x:c r="O191" t="n">
        <x:v>15.791888059045144</x:v>
      </x:c>
      <x:c r="P191" t="n">
        <x:v>11.404278989488605</x:v>
      </x:c>
      <x:c r="Q191" t="n">
        <x:v>234.1999969482422</x:v>
      </x:c>
      <x:c r="R191" t="n">
        <x:v>-27.783942319952317</x:v>
      </x:c>
      <x:c r="S191" t="n">
        <x:v>-27.783942319952317</x:v>
      </x:c>
      <x:c r="T191" t="n">
        <x:v>-28.263942319952317</x:v>
      </x:c>
      <x:c r="U191" t="n">
        <x:f>YEAR(C191)</x:f>
        <x:v>2024</x:v>
      </x:c>
      <x:c r="V191" t="n">
        <x:f>YEAR(D191)</x:f>
        <x:v>2024</x:v>
      </x:c>
      <x:c r="W191" t="n">
        <x:f>N191-M191-O191-P191</x:f>
        <x:v>-1855.3666126970923</x:v>
      </x:c>
      <x:c r="X191" t="str">
        <x:f>IF(T191&gt;1,"Ganador",IF(T191&lt;0,"Perdedor","Empate"))</x:f>
        <x:v>Perdedor</x:v>
      </x:c>
    </x:row>
    <x:row r="192">
      <x:c r="A192" t="str">
        <x:v>MMM</x:v>
      </x:c>
      <x:c r="B192" t="n">
        <x:v>45499</x:v>
      </x:c>
      <x:c r="C192" t="n">
        <x:v>45502</x:v>
      </x:c>
      <x:c r="D192" t="n">
        <x:v>45538</x:v>
      </x:c>
      <x:c r="E192" t="n">
        <x:v>36</x:v>
      </x:c>
      <x:c r="F192" t="str">
        <x:v>enter_or_hold</x:v>
      </x:c>
      <x:c r="G192" t="str">
        <x:v>left_top_n</x:v>
      </x:c>
      <x:c r="H192" t="n">
        <x:v>5</x:v>
      </x:c>
      <x:c r="I192" t="n">
        <x:v>43.5227168910079</x:v>
      </x:c>
      <x:c r="J192" t="n">
        <x:v>52.57233273737492</x:v>
      </x:c>
      <x:c r="K192" t="n">
        <x:v>125.16000366210938</x:v>
      </x:c>
      <x:c r="L192" t="n">
        <x:v>130.85000610351562</x:v>
      </x:c>
      <x:c r="M192" t="n">
        <x:v>6579.9533579354775</x:v>
      </x:c>
      <x:c r="N192" t="n">
        <x:v>6879.090059561563</x:v>
      </x:c>
      <x:c r="O192" t="n">
        <x:v>15.791888059045144</x:v>
      </x:c>
      <x:c r="P192" t="n">
        <x:v>16.50981614294775</x:v>
      </x:c>
      <x:c r="Q192" t="n">
        <x:v>125.16000366210938</x:v>
      </x:c>
      <x:c r="R192" t="n">
        <x:v>4.546182706072277</x:v>
      </x:c>
      <x:c r="S192" t="n">
        <x:v>4.546182706072277</x:v>
      </x:c>
      <x:c r="T192" t="n">
        <x:v>4.0661827060722775</x:v>
      </x:c>
      <x:c r="U192" t="n">
        <x:f>YEAR(C192)</x:f>
        <x:v>2024</x:v>
      </x:c>
      <x:c r="V192" t="n">
        <x:f>YEAR(D192)</x:f>
        <x:v>2024</x:v>
      </x:c>
      <x:c r="W192" t="n">
        <x:f>N192-M192-O192-P192</x:f>
        <x:v>266.8349974240927</x:v>
      </x:c>
      <x:c r="X192" t="str">
        <x:f>IF(T192&gt;1,"Ganador",IF(T192&lt;0,"Perdedor","Empate"))</x:f>
        <x:v>Ganador</x:v>
      </x:c>
    </x:row>
    <x:row r="193">
      <x:c r="A193" t="str">
        <x:v>COHR</x:v>
      </x:c>
      <x:c r="B193" t="n">
        <x:v>45499</x:v>
      </x:c>
      <x:c r="C193" t="n">
        <x:v>45502</x:v>
      </x:c>
      <x:c r="D193" t="n">
        <x:v>45538</x:v>
      </x:c>
      <x:c r="E193" t="n">
        <x:v>36</x:v>
      </x:c>
      <x:c r="F193" t="str">
        <x:v>enter_or_hold</x:v>
      </x:c>
      <x:c r="G193" t="str">
        <x:v>rebalance_trim</x:v>
      </x:c>
      <x:c r="H193" t="n">
        <x:v>6</x:v>
      </x:c>
      <x:c r="I193" t="n">
        <x:v>40.91707640683977</x:v>
      </x:c>
      <x:c r="J193" t="n">
        <x:v>6.244667047752934</x:v>
      </x:c>
      <x:c r="K193" t="n">
        <x:v>69.20999908447266</x:v>
      </x:c>
      <x:c r="L193" t="n">
        <x:v>71.87999725341797</x:v>
      </x:c>
      <x:c r="M193" t="n">
        <x:v>432.1934006578171</x:v>
      </x:c>
      <x:c r="N193" t="n">
        <x:v>448.86665024099057</x:v>
      </x:c>
      <x:c r="O193" t="n">
        <x:v>1.037264161578761</x:v>
      </x:c>
      <x:c r="P193" t="n">
        <x:v>1.0772799605783772</x:v>
      </x:c>
      <x:c r="Q193" t="n">
        <x:v>69.20999908447266</x:v>
      </x:c>
      <x:c r="R193" t="n">
        <x:v>3.857821419252594</x:v>
      </x:c>
      <x:c r="S193" t="n">
        <x:v>3.857821419252594</x:v>
      </x:c>
      <x:c r="T193" t="n">
        <x:v>3.377821419252594</x:v>
      </x:c>
      <x:c r="U193" t="n">
        <x:f>YEAR(C193)</x:f>
        <x:v>2024</x:v>
      </x:c>
      <x:c r="V193" t="n">
        <x:f>YEAR(D193)</x:f>
        <x:v>2024</x:v>
      </x:c>
      <x:c r="W193" t="n">
        <x:f>N193-M193-O193-P193</x:f>
        <x:v>14.55870546101632</x:v>
      </x:c>
      <x:c r="X193" t="str">
        <x:f>IF(T193&gt;1,"Ganador",IF(T193&lt;0,"Perdedor","Empate"))</x:f>
        <x:v>Ganador</x:v>
      </x:c>
    </x:row>
    <x:row r="194">
      <x:c r="A194" t="str">
        <x:v>CVNA</x:v>
      </x:c>
      <x:c r="B194" t="n">
        <x:v>45443</x:v>
      </x:c>
      <x:c r="C194" t="n">
        <x:v>45446</x:v>
      </x:c>
      <x:c r="D194" t="n">
        <x:v>45538</x:v>
      </x:c>
      <x:c r="E194" t="n">
        <x:v>92</x:v>
      </x:c>
      <x:c r="F194" t="str">
        <x:v>enter_or_hold</x:v>
      </x:c>
      <x:c r="G194" t="str">
        <x:v>rebalance_trim</x:v>
      </x:c>
      <x:c r="H194" t="n">
        <x:v>1</x:v>
      </x:c>
      <x:c r="I194" t="n">
        <x:v>83.30660186454718</x:v>
      </x:c>
      <x:c r="J194" t="n">
        <x:v>7.5126116958088405</x:v>
      </x:c>
      <x:c r="K194" t="n">
        <x:v>98.95999908447266</x:v>
      </x:c>
      <x:c r="L194" t="n">
        <x:v>144.52000427246094</x:v>
      </x:c>
      <x:c r="M194" t="n">
        <x:v>743.4480465392414</x:v>
      </x:c>
      <x:c r="N194" t="n">
        <x:v>1085.7226743756337</x:v>
      </x:c>
      <x:c r="O194" t="n">
        <x:v>1.7842753116941796</x:v>
      </x:c>
      <x:c r="P194" t="n">
        <x:v>2.6057344185015205</x:v>
      </x:c>
      <x:c r="Q194" t="n">
        <x:v>98.95999908447266</x:v>
      </x:c>
      <x:c r="R194" t="n">
        <x:v>46.03880922543064</x:v>
      </x:c>
      <x:c r="S194" t="n">
        <x:v>46.03880922543064</x:v>
      </x:c>
      <x:c r="T194" t="n">
        <x:v>45.55880922543064</x:v>
      </x:c>
      <x:c r="U194" t="n">
        <x:f>YEAR(C194)</x:f>
        <x:v>2024</x:v>
      </x:c>
      <x:c r="V194" t="n">
        <x:f>YEAR(D194)</x:f>
        <x:v>2024</x:v>
      </x:c>
      <x:c r="W194" t="n">
        <x:f>N194-M194-O194-P194</x:f>
        <x:v>337.88461810619657</x:v>
      </x:c>
      <x:c r="X194" t="str">
        <x:f>IF(T194&gt;1,"Ganador",IF(T194&lt;0,"Perdedor","Empate"))</x:f>
        <x:v>Ganador</x:v>
      </x:c>
    </x:row>
    <x:row r="195">
      <x:c r="A195" t="str">
        <x:v>NVDA</x:v>
      </x:c>
      <x:c r="B195" t="n">
        <x:v>45443</x:v>
      </x:c>
      <x:c r="C195" t="n">
        <x:v>45446</x:v>
      </x:c>
      <x:c r="D195" t="n">
        <x:v>45565</x:v>
      </x:c>
      <x:c r="E195" t="n">
        <x:v>119</x:v>
      </x:c>
      <x:c r="F195" t="str">
        <x:v>enter_or_hold</x:v>
      </x:c>
      <x:c r="G195" t="str">
        <x:v>left_top_n</x:v>
      </x:c>
      <x:c r="H195" t="n">
        <x:v>3</x:v>
      </x:c>
      <x:c r="I195" t="n">
        <x:v>50.01979683433362</x:v>
      </x:c>
      <x:c r="J195" t="n">
        <x:v>59.11402382938323</x:v>
      </x:c>
      <x:c r="K195" t="n">
        <x:v>115.01599679339066</x:v>
      </x:c>
      <x:c r="L195" t="n">
        <x:v>121.44000244140624</x:v>
      </x:c>
      <x:c r="M195" t="n">
        <x:v>6799.0583752047605</x:v>
      </x:c>
      <x:c r="N195" t="n">
        <x:v>7178.807198161646</x:v>
      </x:c>
      <x:c r="O195" t="n">
        <x:v>16.317740100491424</x:v>
      </x:c>
      <x:c r="P195" t="n">
        <x:v>17.22913727558795</x:v>
      </x:c>
      <x:c r="Q195" t="n">
        <x:v>115</x:v>
      </x:c>
      <x:c r="R195" t="n">
        <x:v>5.6000021229619446</x:v>
      </x:c>
      <x:c r="S195" t="n">
        <x:v>5.585314936282604</x:v>
      </x:c>
      <x:c r="T195" t="n">
        <x:v>5.105314936282603</x:v>
      </x:c>
      <x:c r="U195" t="n">
        <x:f>YEAR(C195)</x:f>
        <x:v>2024</x:v>
      </x:c>
      <x:c r="V195" t="n">
        <x:f>YEAR(D195)</x:f>
        <x:v>2024</x:v>
      </x:c>
      <x:c r="W195" t="n">
        <x:f>N195-M195-O195-P195</x:f>
        <x:v>346.2019455808059</x:v>
      </x:c>
      <x:c r="X195" t="str">
        <x:f>IF(T195&gt;1,"Ganador",IF(T195&lt;0,"Perdedor","Empate"))</x:f>
        <x:v>Ganador</x:v>
      </x:c>
    </x:row>
    <x:row r="196">
      <x:c r="A196" t="str">
        <x:v>IRM</x:v>
      </x:c>
      <x:c r="B196" t="n">
        <x:v>45534</x:v>
      </x:c>
      <x:c r="C196" t="n">
        <x:v>45538</x:v>
      </x:c>
      <x:c r="D196" t="n">
        <x:v>45565</x:v>
      </x:c>
      <x:c r="E196" t="n">
        <x:v>27</x:v>
      </x:c>
      <x:c r="F196" t="str">
        <x:v>enter_or_hold</x:v>
      </x:c>
      <x:c r="G196" t="str">
        <x:v>left_top_n</x:v>
      </x:c>
      <x:c r="H196" t="n">
        <x:v>5</x:v>
      </x:c>
      <x:c r="I196" t="n">
        <x:v>46.91698895447431</x:v>
      </x:c>
      <x:c r="J196" t="n">
        <x:v>56.44440053562723</x:v>
      </x:c>
      <x:c r="K196" t="n">
        <x:v>112.83000183105467</x:v>
      </x:c>
      <x:c r="L196" t="n">
        <x:v>118.83000183105467</x:v>
      </x:c>
      <x:c r="M196" t="n">
        <x:v>6368.621815787604</x:v>
      </x:c>
      <x:c r="N196" t="n">
        <x:v>6707.288219001367</x:v>
      </x:c>
      <x:c r="O196" t="n">
        <x:v>15.284692357890247</x:v>
      </x:c>
      <x:c r="P196" t="n">
        <x:v>16.09749172560328</x:v>
      </x:c>
      <x:c r="Q196" t="n">
        <x:v>112.83000183105467</x:v>
      </x:c>
      <x:c r="R196" t="n">
        <x:v>5.317734558742693</x:v>
      </x:c>
      <x:c r="S196" t="n">
        <x:v>5.317734558742693</x:v>
      </x:c>
      <x:c r="T196" t="n">
        <x:v>4.837734558742692</x:v>
      </x:c>
      <x:c r="U196" t="n">
        <x:f>YEAR(C196)</x:f>
        <x:v>2024</x:v>
      </x:c>
      <x:c r="V196" t="n">
        <x:f>YEAR(D196)</x:f>
        <x:v>2024</x:v>
      </x:c>
      <x:c r="W196" t="n">
        <x:f>N196-M196-O196-P196</x:f>
        <x:v>307.2842191302697</x:v>
      </x:c>
      <x:c r="X196" t="str">
        <x:f>IF(T196&gt;1,"Ganador",IF(T196&lt;0,"Perdedor","Empate"))</x:f>
        <x:v>Ganador</x:v>
      </x:c>
    </x:row>
    <x:row r="197">
      <x:c r="A197" t="str">
        <x:v>APP</x:v>
      </x:c>
      <x:c r="B197" t="n">
        <x:v>45534</x:v>
      </x:c>
      <x:c r="C197" t="n">
        <x:v>45538</x:v>
      </x:c>
      <x:c r="D197" t="n">
        <x:v>45565</x:v>
      </x:c>
      <x:c r="E197" t="n">
        <x:v>27</x:v>
      </x:c>
      <x:c r="F197" t="str">
        <x:v>enter_or_hold</x:v>
      </x:c>
      <x:c r="G197" t="str">
        <x:v>rebalance_trim</x:v>
      </x:c>
      <x:c r="H197" t="n">
        <x:v>2</x:v>
      </x:c>
      <x:c r="I197" t="n">
        <x:v>53.60349529555415</x:v>
      </x:c>
      <x:c r="J197" t="n">
        <x:v>12.718695197784585</x:v>
      </x:c>
      <x:c r="K197" t="n">
        <x:v>88.12999725341797</x:v>
      </x:c>
      <x:c r="L197" t="n">
        <x:v>130.5500030517578</x:v>
      </x:c>
      <x:c r="M197" t="n">
        <x:v>1120.8985728478158</x:v>
      </x:c>
      <x:c r="N197" t="n">
        <x:v>1660.425696885155</x:v>
      </x:c>
      <x:c r="O197" t="n">
        <x:v>2.690156574834757</x:v>
      </x:c>
      <x:c r="P197" t="n">
        <x:v>3.985021672524372</x:v>
      </x:c>
      <x:c r="Q197" t="n">
        <x:v>88.12999725341797</x:v>
      </x:c>
      <x:c r="R197" t="n">
        <x:v>48.133447316877856</x:v>
      </x:c>
      <x:c r="S197" t="n">
        <x:v>48.133447316877856</x:v>
      </x:c>
      <x:c r="T197" t="n">
        <x:v>47.65344731687786</x:v>
      </x:c>
      <x:c r="U197" t="n">
        <x:f>YEAR(C197)</x:f>
        <x:v>2024</x:v>
      </x:c>
      <x:c r="V197" t="n">
        <x:f>YEAR(D197)</x:f>
        <x:v>2024</x:v>
      </x:c>
      <x:c r="W197" t="n">
        <x:f>N197-M197-O197-P197</x:f>
        <x:v>532.8519457899802</x:v>
      </x:c>
      <x:c r="X197" t="str">
        <x:f>IF(T197&gt;1,"Ganador",IF(T197&lt;0,"Perdedor","Empate"))</x:f>
        <x:v>Ganador</x:v>
      </x:c>
    </x:row>
    <x:row r="198">
      <x:c r="A198" t="str">
        <x:v>COHR</x:v>
      </x:c>
      <x:c r="B198" t="n">
        <x:v>45499</x:v>
      </x:c>
      <x:c r="C198" t="n">
        <x:v>45502</x:v>
      </x:c>
      <x:c r="D198" t="n">
        <x:v>45565</x:v>
      </x:c>
      <x:c r="E198" t="n">
        <x:v>63</x:v>
      </x:c>
      <x:c r="F198" t="str">
        <x:v>enter_or_hold</x:v>
      </x:c>
      <x:c r="G198" t="str">
        <x:v>rebalance_trim</x:v>
      </x:c>
      <x:c r="H198" t="n">
        <x:v>6</x:v>
      </x:c>
      <x:c r="I198" t="n">
        <x:v>40.91707640683977</x:v>
      </x:c>
      <x:c r="J198" t="n">
        <x:v>1.395020333524941</x:v>
      </x:c>
      <x:c r="K198" t="n">
        <x:v>69.20999908447266</x:v>
      </x:c>
      <x:c r="L198" t="n">
        <x:v>88.91000366210938</x:v>
      </x:c>
      <x:c r="M198" t="n">
        <x:v>96.5493560060819</x:v>
      </x:c>
      <x:c r="N198" t="n">
        <x:v>124.03126296241953</x:v>
      </x:c>
      <x:c r="O198" t="n">
        <x:v>0.23171845441459651</x:v>
      </x:c>
      <x:c r="P198" t="n">
        <x:v>0.29767503110980686</x:v>
      </x:c>
      <x:c r="Q198" t="n">
        <x:v>69.20999908447266</x:v>
      </x:c>
      <x:c r="R198" t="n">
        <x:v>28.464101774647244</x:v>
      </x:c>
      <x:c r="S198" t="n">
        <x:v>28.464101774647244</x:v>
      </x:c>
      <x:c r="T198" t="n">
        <x:v>27.984101774647243</x:v>
      </x:c>
      <x:c r="U198" t="n">
        <x:f>YEAR(C198)</x:f>
        <x:v>2024</x:v>
      </x:c>
      <x:c r="V198" t="n">
        <x:f>YEAR(D198)</x:f>
        <x:v>2024</x:v>
      </x:c>
      <x:c r="W198" t="n">
        <x:f>N198-M198-O198-P198</x:f>
        <x:v>26.952513470813233</x:v>
      </x:c>
      <x:c r="X198" t="str">
        <x:f>IF(T198&gt;1,"Ganador",IF(T198&lt;0,"Perdedor","Empate"))</x:f>
        <x:v>Ganador</x:v>
      </x:c>
    </x:row>
    <x:row r="199">
      <x:c r="A199" t="str">
        <x:v>CEG</x:v>
      </x:c>
      <x:c r="B199" t="n">
        <x:v>45562</x:v>
      </x:c>
      <x:c r="C199" t="n">
        <x:v>45565</x:v>
      </x:c>
      <x:c r="D199" t="n">
        <x:v>45593</x:v>
      </x:c>
      <x:c r="E199" t="n">
        <x:v>28</x:v>
      </x:c>
      <x:c r="F199" t="str">
        <x:v>enter_or_hold</x:v>
      </x:c>
      <x:c r="G199" t="str">
        <x:v>left_top_n</x:v>
      </x:c>
      <x:c r="H199" t="n">
        <x:v>6</x:v>
      </x:c>
      <x:c r="I199" t="n">
        <x:v>54.625457899989584</x:v>
      </x:c>
      <x:c r="J199" t="n">
        <x:v>29.819250467282885</x:v>
      </x:c>
      <x:c r="K199" t="n">
        <x:v>260.0199890136719</x:v>
      </x:c>
      <x:c r="L199" t="n">
        <x:v>266.9800109863281</x:v>
      </x:c>
      <x:c r="M199" t="n">
        <x:v>7753.601178898825</x:v>
      </x:c>
      <x:c r="N199" t="n">
        <x:v>7961.143817359254</x:v>
      </x:c>
      <x:c r="O199" t="n">
        <x:v>18.60864282935718</x:v>
      </x:c>
      <x:c r="P199" t="n">
        <x:v>19.106745161662207</x:v>
      </x:c>
      <x:c r="Q199" t="n">
        <x:v>260.0199890136719</x:v>
      </x:c>
      <x:c r="R199" t="n">
        <x:v>2.6767257390701182</x:v>
      </x:c>
      <x:c r="S199" t="n">
        <x:v>2.6767257390701182</x:v>
      </x:c>
      <x:c r="T199" t="n">
        <x:v>2.1967257390701183</x:v>
      </x:c>
      <x:c r="U199" t="n">
        <x:f>YEAR(C199)</x:f>
        <x:v>2024</x:v>
      </x:c>
      <x:c r="V199" t="n">
        <x:f>YEAR(D199)</x:f>
        <x:v>2024</x:v>
      </x:c>
      <x:c r="W199" t="n">
        <x:f>N199-M199-O199-P199</x:f>
        <x:v>169.82725046940948</x:v>
      </x:c>
      <x:c r="X199" t="str">
        <x:f>IF(T199&gt;1,"Ganador",IF(T199&lt;0,"Perdedor","Empate"))</x:f>
        <x:v>Ganador</x:v>
      </x:c>
    </x:row>
    <x:row r="200">
      <x:c r="A200" t="str">
        <x:v>SATS</x:v>
      </x:c>
      <x:c r="B200" t="n">
        <x:v>45562</x:v>
      </x:c>
      <x:c r="C200" t="n">
        <x:v>45565</x:v>
      </x:c>
      <x:c r="D200" t="n">
        <x:v>45593</x:v>
      </x:c>
      <x:c r="E200" t="n">
        <x:v>28</x:v>
      </x:c>
      <x:c r="F200" t="str">
        <x:v>enter_or_hold</x:v>
      </x:c>
      <x:c r="G200" t="str">
        <x:v>left_top_n</x:v>
      </x:c>
      <x:c r="H200" t="n">
        <x:v>3</x:v>
      </x:c>
      <x:c r="I200" t="n">
        <x:v>73.74435889533027</x:v>
      </x:c>
      <x:c r="J200" t="n">
        <x:v>312.39328260409707</x:v>
      </x:c>
      <x:c r="K200" t="n">
        <x:v>24.81999969482422</x:v>
      </x:c>
      <x:c r="L200" t="n">
        <x:v>25.280000686645508</x:v>
      </x:c>
      <x:c r="M200" t="n">
        <x:v>7753.601178898825</x:v>
      </x:c>
      <x:c r="N200" t="n">
        <x:v>7897.302398735018</x:v>
      </x:c>
      <x:c r="O200" t="n">
        <x:v>18.60864282935718</x:v>
      </x:c>
      <x:c r="P200" t="n">
        <x:v>18.95352575696404</x:v>
      </x:c>
      <x:c r="Q200" t="n">
        <x:v>24.81999969482422</x:v>
      </x:c>
      <x:c r="R200" t="n">
        <x:v>1.853348096201679</x:v>
      </x:c>
      <x:c r="S200" t="n">
        <x:v>1.853348096201679</x:v>
      </x:c>
      <x:c r="T200" t="n">
        <x:v>1.373348096201679</x:v>
      </x:c>
      <x:c r="U200" t="n">
        <x:f>YEAR(C200)</x:f>
        <x:v>2024</x:v>
      </x:c>
      <x:c r="V200" t="n">
        <x:f>YEAR(D200)</x:f>
        <x:v>2024</x:v>
      </x:c>
      <x:c r="W200" t="n">
        <x:f>N200-M200-O200-P200</x:f>
        <x:v>106.13905124987143</x:v>
      </x:c>
      <x:c r="X200" t="str">
        <x:f>IF(T200&gt;1,"Ganador",IF(T200&lt;0,"Perdedor","Empate"))</x:f>
        <x:v>Ganador</x:v>
      </x:c>
    </x:row>
    <x:row r="201">
      <x:c r="A201" t="str">
        <x:v>APP</x:v>
      </x:c>
      <x:c r="B201" t="n">
        <x:v>45534</x:v>
      </x:c>
      <x:c r="C201" t="n">
        <x:v>45538</x:v>
      </x:c>
      <x:c r="D201" t="n">
        <x:v>45593</x:v>
      </x:c>
      <x:c r="E201" t="n">
        <x:v>55</x:v>
      </x:c>
      <x:c r="F201" t="str">
        <x:v>enter_or_hold</x:v>
      </x:c>
      <x:c r="G201" t="str">
        <x:v>rebalance_trim</x:v>
      </x:c>
      <x:c r="H201" t="n">
        <x:v>2</x:v>
      </x:c>
      <x:c r="I201" t="n">
        <x:v>53.60349529555415</x:v>
      </x:c>
      <x:c r="J201" t="n">
        <x:v>6.700811694146172</x:v>
      </x:c>
      <x:c r="K201" t="n">
        <x:v>88.12999725341797</x:v>
      </x:c>
      <x:c r="L201" t="n">
        <x:v>166.18499755859375</x:v>
      </x:c>
      <x:c r="M201" t="n">
        <x:v>590.5425162007732</x:v>
      </x:c>
      <x:c r="N201" t="n">
        <x:v>1113.574375032278</x:v>
      </x:c>
      <x:c r="O201" t="n">
        <x:v>1.4173020388818554</x:v>
      </x:c>
      <x:c r="P201" t="n">
        <x:v>2.672578500077467</x:v>
      </x:c>
      <x:c r="Q201" t="n">
        <x:v>88.12999725341797</x:v>
      </x:c>
      <x:c r="R201" t="n">
        <x:v>88.56802761576003</x:v>
      </x:c>
      <x:c r="S201" t="n">
        <x:v>88.56802761576003</x:v>
      </x:c>
      <x:c r="T201" t="n">
        <x:v>88.08802761576003</x:v>
      </x:c>
      <x:c r="U201" t="n">
        <x:f>YEAR(C201)</x:f>
        <x:v>2024</x:v>
      </x:c>
      <x:c r="V201" t="n">
        <x:f>YEAR(D201)</x:f>
        <x:v>2024</x:v>
      </x:c>
      <x:c r="W201" t="n">
        <x:f>N201-M201-O201-P201</x:f>
        <x:v>518.9419782925455</x:v>
      </x:c>
      <x:c r="X201" t="str">
        <x:f>IF(T201&gt;1,"Ganador",IF(T201&lt;0,"Perdedor","Empate"))</x:f>
        <x:v>Ganador</x:v>
      </x:c>
    </x:row>
    <x:row r="202">
      <x:c r="A202" t="str">
        <x:v>CVNA</x:v>
      </x:c>
      <x:c r="B202" t="n">
        <x:v>45443</x:v>
      </x:c>
      <x:c r="C202" t="n">
        <x:v>45446</x:v>
      </x:c>
      <x:c r="D202" t="n">
        <x:v>45593</x:v>
      </x:c>
      <x:c r="E202" t="n">
        <x:v>147</x:v>
      </x:c>
      <x:c r="F202" t="str">
        <x:v>enter_or_hold</x:v>
      </x:c>
      <x:c r="G202" t="str">
        <x:v>rebalance_trim</x:v>
      </x:c>
      <x:c r="H202" t="n">
        <x:v>1</x:v>
      </x:c>
      <x:c r="I202" t="n">
        <x:v>95.16279733245338</x:v>
      </x:c>
      <x:c r="J202" t="n">
        <x:v>1.8079570623994714</x:v>
      </x:c>
      <x:c r="K202" t="n">
        <x:v>99.73826996305476</x:v>
      </x:c>
      <x:c r="L202" t="n">
        <x:v>205.0200042724609</x:v>
      </x:c>
      <x:c r="M202" t="n">
        <x:v>180.32250957120993</x:v>
      </x:c>
      <x:c r="N202" t="n">
        <x:v>370.6673646575655</x:v>
      </x:c>
      <x:c r="O202" t="n">
        <x:v>0.43277402297090384</x:v>
      </x:c>
      <x:c r="P202" t="n">
        <x:v>0.8896016751781571</x:v>
      </x:c>
      <x:c r="Q202" t="n">
        <x:v>98.95999908447266</x:v>
      </x:c>
      <x:c r="R202" t="n">
        <x:v>107.17462224050247</x:v>
      </x:c>
      <x:c r="S202" t="n">
        <x:v>105.55801133146265</x:v>
      </x:c>
      <x:c r="T202" t="n">
        <x:v>105.07801133146265</x:v>
      </x:c>
      <x:c r="U202" t="n">
        <x:f>YEAR(C202)</x:f>
        <x:v>2024</x:v>
      </x:c>
      <x:c r="V202" t="n">
        <x:f>YEAR(D202)</x:f>
        <x:v>2024</x:v>
      </x:c>
      <x:c r="W202" t="n">
        <x:f>N202-M202-O202-P202</x:f>
        <x:v>189.02247938820648</x:v>
      </x:c>
      <x:c r="X202" t="str">
        <x:f>IF(T202&gt;1,"Ganador",IF(T202&lt;0,"Perdedor","Empate"))</x:f>
        <x:v>Ganador</x:v>
      </x:c>
    </x:row>
    <x:row r="203">
      <x:c r="A203" t="str">
        <x:v>PLTR</x:v>
      </x:c>
      <x:c r="B203" t="n">
        <x:v>45534</x:v>
      </x:c>
      <x:c r="C203" t="n">
        <x:v>45538</x:v>
      </x:c>
      <x:c r="D203" t="n">
        <x:v>45593</x:v>
      </x:c>
      <x:c r="E203" t="n">
        <x:v>55</x:v>
      </x:c>
      <x:c r="F203" t="str">
        <x:v>enter_or_hold</x:v>
      </x:c>
      <x:c r="G203" t="str">
        <x:v>rebalance_trim</x:v>
      </x:c>
      <x:c r="H203" t="n">
        <x:v>4</x:v>
      </x:c>
      <x:c r="I203" t="n">
        <x:v>59.01586251118165</x:v>
      </x:c>
      <x:c r="J203" t="n">
        <x:v>13.66420860844288</x:v>
      </x:c>
      <x:c r="K203" t="n">
        <x:v>30.516726787849052</x:v>
      </x:c>
      <x:c r="L203" t="n">
        <x:v>44.970001220703125</x:v>
      </x:c>
      <x:c r="M203" t="n">
        <x:v>416.98692087602643</x:v>
      </x:c>
      <x:c r="N203" t="n">
        <x:v>614.4794778016185</x:v>
      </x:c>
      <x:c r="O203" t="n">
        <x:v>1.0007686101024635</x:v>
      </x:c>
      <x:c r="P203" t="n">
        <x:v>1.4747507467238843</x:v>
      </x:c>
      <x:c r="Q203" t="n">
        <x:v>30.51000022888184</x:v>
      </x:c>
      <x:c r="R203" t="n">
        <x:v>47.39429984708077</x:v>
      </x:c>
      <x:c r="S203" t="n">
        <x:v>47.36181089581659</x:v>
      </x:c>
      <x:c r="T203" t="n">
        <x:v>46.88181089581659</x:v>
      </x:c>
      <x:c r="U203" t="n">
        <x:f>YEAR(C203)</x:f>
        <x:v>2024</x:v>
      </x:c>
      <x:c r="V203" t="n">
        <x:f>YEAR(D203)</x:f>
        <x:v>2024</x:v>
      </x:c>
      <x:c r="W203" t="n">
        <x:f>N203-M203-O203-P203</x:f>
        <x:v>195.01703756876572</x:v>
      </x:c>
      <x:c r="X203" t="str">
        <x:f>IF(T203&gt;1,"Ganador",IF(T203&lt;0,"Perdedor","Empate"))</x:f>
        <x:v>Ganador</x:v>
      </x:c>
    </x:row>
    <x:row r="204">
      <x:c r="A204" t="str">
        <x:v>COHR</x:v>
      </x:c>
      <x:c r="B204" t="n">
        <x:v>45499</x:v>
      </x:c>
      <x:c r="C204" t="n">
        <x:v>45502</x:v>
      </x:c>
      <x:c r="D204" t="n">
        <x:v>45628</x:v>
      </x:c>
      <x:c r="E204" t="n">
        <x:v>126</x:v>
      </x:c>
      <x:c r="F204" t="str">
        <x:v>enter_or_hold</x:v>
      </x:c>
      <x:c r="G204" t="str">
        <x:v>left_top_n</x:v>
      </x:c>
      <x:c r="H204" t="n">
        <x:v>6</x:v>
      </x:c>
      <x:c r="I204" t="n">
        <x:v>54.829404367684646</x:v>
      </x:c>
      <x:c r="J204" t="n">
        <x:v>91.09998424074935</x:v>
      </x:c>
      <x:c r="K204" t="n">
        <x:v>70.3037715262793</x:v>
      </x:c>
      <x:c r="L204" t="n">
        <x:v>103.62000274658205</x:v>
      </x:c>
      <x:c r="M204" t="n">
        <x:v>6404.672478109285</x:v>
      </x:c>
      <x:c r="N204" t="n">
        <x:v>9439.780617240029</x:v>
      </x:c>
      <x:c r="O204" t="n">
        <x:v>15.371213947462282</x:v>
      </x:c>
      <x:c r="P204" t="n">
        <x:v>22.655473481376067</x:v>
      </x:c>
      <x:c r="Q204" t="n">
        <x:v>69.20999908447266</x:v>
      </x:c>
      <x:c r="R204" t="n">
        <x:v>49.718254756962295</x:v>
      </x:c>
      <x:c r="S204" t="n">
        <x:v>47.38896718769809</x:v>
      </x:c>
      <x:c r="T204" t="n">
        <x:v>46.908967187698096</x:v>
      </x:c>
      <x:c r="U204" t="n">
        <x:f>YEAR(C204)</x:f>
        <x:v>2024</x:v>
      </x:c>
      <x:c r="V204" t="n">
        <x:f>YEAR(D204)</x:f>
        <x:v>2024</x:v>
      </x:c>
      <x:c r="W204" t="n">
        <x:f>N204-M204-O204-P204</x:f>
        <x:v>2997.081451701905</x:v>
      </x:c>
      <x:c r="X204" t="str">
        <x:f>IF(T204&gt;1,"Ganador",IF(T204&lt;0,"Perdedor","Empate"))</x:f>
        <x:v>Ganador</x:v>
      </x:c>
    </x:row>
    <x:row r="205">
      <x:c r="A205" t="str">
        <x:v>UAL</x:v>
      </x:c>
      <x:c r="B205" t="n">
        <x:v>45590</x:v>
      </x:c>
      <x:c r="C205" t="n">
        <x:v>45593</x:v>
      </x:c>
      <x:c r="D205" t="n">
        <x:v>45628</x:v>
      </x:c>
      <x:c r="E205" t="n">
        <x:v>35</x:v>
      </x:c>
      <x:c r="F205" t="str">
        <x:v>enter_or_hold</x:v>
      </x:c>
      <x:c r="G205" t="str">
        <x:v>left_top_n</x:v>
      </x:c>
      <x:c r="H205" t="n">
        <x:v>5</x:v>
      </x:c>
      <x:c r="I205" t="n">
        <x:v>58.36206313740251</x:v>
      </x:c>
      <x:c r="J205" t="n">
        <x:v>115.11183051287166</x:v>
      </x:c>
      <x:c r="K205" t="n">
        <x:v>76.08999633789062</x:v>
      </x:c>
      <x:c r="L205" t="n">
        <x:v>97.44000244140624</x:v>
      </x:c>
      <x:c r="M205" t="n">
        <x:v>8758.85876217229</x:v>
      </x:c>
      <x:c r="N205" t="n">
        <x:v>11216.497046208955</x:v>
      </x:c>
      <x:c r="O205" t="n">
        <x:v>21.021261029213495</x:v>
      </x:c>
      <x:c r="P205" t="n">
        <x:v>26.91959291090149</x:v>
      </x:c>
      <x:c r="Q205" t="n">
        <x:v>76.08999633789062</x:v>
      </x:c>
      <x:c r="R205" t="n">
        <x:v>28.058887016773216</x:v>
      </x:c>
      <x:c r="S205" t="n">
        <x:v>28.058887016773216</x:v>
      </x:c>
      <x:c r="T205" t="n">
        <x:v>27.578887016773216</x:v>
      </x:c>
      <x:c r="U205" t="n">
        <x:f>YEAR(C205)</x:f>
        <x:v>2024</x:v>
      </x:c>
      <x:c r="V205" t="n">
        <x:f>YEAR(D205)</x:f>
        <x:v>2024</x:v>
      </x:c>
      <x:c r="W205" t="n">
        <x:f>N205-M205-O205-P205</x:f>
        <x:v>2409.6974300965494</x:v>
      </x:c>
      <x:c r="X205" t="str">
        <x:f>IF(T205&gt;1,"Ganador",IF(T205&lt;0,"Perdedor","Empate"))</x:f>
        <x:v>Ganador</x:v>
      </x:c>
    </x:row>
    <x:row r="206">
      <x:c r="A206" t="str">
        <x:v>APP</x:v>
      </x:c>
      <x:c r="B206" t="n">
        <x:v>45534</x:v>
      </x:c>
      <x:c r="C206" t="n">
        <x:v>45538</x:v>
      </x:c>
      <x:c r="D206" t="n">
        <x:v>45628</x:v>
      </x:c>
      <x:c r="E206" t="n">
        <x:v>90</x:v>
      </x:c>
      <x:c r="F206" t="str">
        <x:v>enter_or_hold</x:v>
      </x:c>
      <x:c r="G206" t="str">
        <x:v>rebalance_trim</x:v>
      </x:c>
      <x:c r="H206" t="n">
        <x:v>2</x:v>
      </x:c>
      <x:c r="I206" t="n">
        <x:v>53.60349529555415</x:v>
      </x:c>
      <x:c r="J206" t="n">
        <x:v>16.367026539724648</x:v>
      </x:c>
      <x:c r="K206" t="n">
        <x:v>88.12999725341797</x:v>
      </x:c>
      <x:c r="L206" t="n">
        <x:v>340.5899963378906</x:v>
      </x:c>
      <x:c r="M206" t="n">
        <x:v>1442.4260039925523</x:v>
      </x:c>
      <x:c r="N206" t="n">
        <x:v>5574.445509226976</x:v>
      </x:c>
      <x:c r="O206" t="n">
        <x:v>3.461822409582125</x:v>
      </x:c>
      <x:c r="P206" t="n">
        <x:v>13.378669222144742</x:v>
      </x:c>
      <x:c r="Q206" t="n">
        <x:v>88.12999725341797</x:v>
      </x:c>
      <x:c r="R206" t="n">
        <x:v>286.46318728289924</x:v>
      </x:c>
      <x:c r="S206" t="n">
        <x:v>286.46318728289924</x:v>
      </x:c>
      <x:c r="T206" t="n">
        <x:v>285.9831872828992</x:v>
      </x:c>
      <x:c r="U206" t="n">
        <x:f>YEAR(C206)</x:f>
        <x:v>2024</x:v>
      </x:c>
      <x:c r="V206" t="n">
        <x:f>YEAR(D206)</x:f>
        <x:v>2024</x:v>
      </x:c>
      <x:c r="W206" t="n">
        <x:f>N206-M206-O206-P206</x:f>
        <x:v>4115.1790136026975</x:v>
      </x:c>
      <x:c r="X206" t="str">
        <x:f>IF(T206&gt;1,"Ganador",IF(T206&lt;0,"Perdedor","Empate"))</x:f>
        <x:v>Ganador</x:v>
      </x:c>
    </x:row>
    <x:row r="207">
      <x:c r="A207" t="str">
        <x:v>PLTR</x:v>
      </x:c>
      <x:c r="B207" t="n">
        <x:v>45534</x:v>
      </x:c>
      <x:c r="C207" t="n">
        <x:v>45538</x:v>
      </x:c>
      <x:c r="D207" t="n">
        <x:v>45628</x:v>
      </x:c>
      <x:c r="E207" t="n">
        <x:v>90</x:v>
      </x:c>
      <x:c r="F207" t="str">
        <x:v>enter_or_hold</x:v>
      </x:c>
      <x:c r="G207" t="str">
        <x:v>rebalance_trim</x:v>
      </x:c>
      <x:c r="H207" t="n">
        <x:v>4</x:v>
      </x:c>
      <x:c r="I207" t="n">
        <x:v>59.01586251118165</x:v>
      </x:c>
      <x:c r="J207" t="n">
        <x:v>8.150451890773587</x:v>
      </x:c>
      <x:c r="K207" t="n">
        <x:v>30.516726787849052</x:v>
      </x:c>
      <x:c r="L207" t="n">
        <x:v>66.38999938964844</x:v>
      </x:c>
      <x:c r="M207" t="n">
        <x:v>248.72511354824528</x:v>
      </x:c>
      <x:c r="N207" t="n">
        <x:v>541.1084960538174</x:v>
      </x:c>
      <x:c r="O207" t="n">
        <x:v>0.5969402725157886</x:v>
      </x:c>
      <x:c r="P207" t="n">
        <x:v>1.2986603905291616</x:v>
      </x:c>
      <x:c r="Q207" t="n">
        <x:v>30.51000022888184</x:v>
      </x:c>
      <x:c r="R207" t="n">
        <x:v>117.60078299442726</x:v>
      </x:c>
      <x:c r="S207" t="n">
        <x:v>117.55281898739929</x:v>
      </x:c>
      <x:c r="T207" t="n">
        <x:v>117.07281898739929</x:v>
      </x:c>
      <x:c r="U207" t="n">
        <x:f>YEAR(C207)</x:f>
        <x:v>2024</x:v>
      </x:c>
      <x:c r="V207" t="n">
        <x:f>YEAR(D207)</x:f>
        <x:v>2024</x:v>
      </x:c>
      <x:c r="W207" t="n">
        <x:f>N207-M207-O207-P207</x:f>
        <x:v>290.4877818425271</x:v>
      </x:c>
      <x:c r="X207" t="str">
        <x:f>IF(T207&gt;1,"Ganador",IF(T207&lt;0,"Perdedor","Empate"))</x:f>
        <x:v>Ganador</x:v>
      </x:c>
    </x:row>
    <x:row r="208">
      <x:c r="A208" t="str">
        <x:v>CVNA</x:v>
      </x:c>
      <x:c r="B208" t="n">
        <x:v>45443</x:v>
      </x:c>
      <x:c r="C208" t="n">
        <x:v>45446</x:v>
      </x:c>
      <x:c r="D208" t="n">
        <x:v>45656</x:v>
      </x:c>
      <x:c r="E208" t="n">
        <x:v>210</x:v>
      </x:c>
      <x:c r="F208" t="str">
        <x:v>enter_or_hold</x:v>
      </x:c>
      <x:c r="G208" t="str">
        <x:v>left_top_n</x:v>
      </x:c>
      <x:c r="H208" t="n">
        <x:v>3</x:v>
      </x:c>
      <x:c r="I208" t="n">
        <x:v>117.26458241149416</x:v>
      </x:c>
      <x:c r="J208" t="n">
        <x:v>48.707652142567824</x:v>
      </x:c>
      <x:c r="K208" t="n">
        <x:v>118.45206187583756</x:v>
      </x:c>
      <x:c r="L208" t="n">
        <x:v>210.5500030517578</x:v>
      </x:c>
      <x:c r="M208" t="n">
        <x:v>5769.521825418216</x:v>
      </x:c>
      <x:c r="N208" t="n">
        <x:v>10255.396307261613</x:v>
      </x:c>
      <x:c r="O208" t="n">
        <x:v>13.84685238100372</x:v>
      </x:c>
      <x:c r="P208" t="n">
        <x:v>24.61295113742787</x:v>
      </x:c>
      <x:c r="Q208" t="n">
        <x:v>98.95999908447266</x:v>
      </x:c>
      <x:c r="R208" t="n">
        <x:v>112.76273746933998</x:v>
      </x:c>
      <x:c r="S208" t="n">
        <x:v>77.7512351557528</x:v>
      </x:c>
      <x:c r="T208" t="n">
        <x:v>77.27123515575279</x:v>
      </x:c>
      <x:c r="U208" t="n">
        <x:f>YEAR(C208)</x:f>
        <x:v>2024</x:v>
      </x:c>
      <x:c r="V208" t="n">
        <x:f>YEAR(D208)</x:f>
        <x:v>2024</x:v>
      </x:c>
      <x:c r="W208" t="n">
        <x:f>N208-M208-O208-P208</x:f>
        <x:v>4447.414678324966</x:v>
      </x:c>
      <x:c r="X208" t="str">
        <x:f>IF(T208&gt;1,"Ganador",IF(T208&lt;0,"Perdedor","Empate"))</x:f>
        <x:v>Ganador</x:v>
      </x:c>
    </x:row>
    <x:row r="209">
      <x:c r="A209" t="str">
        <x:v>TPL</x:v>
      </x:c>
      <x:c r="B209" t="n">
        <x:v>45590</x:v>
      </x:c>
      <x:c r="C209" t="n">
        <x:v>45593</x:v>
      </x:c>
      <x:c r="D209" t="n">
        <x:v>45656</x:v>
      </x:c>
      <x:c r="E209" t="n">
        <x:v>63</x:v>
      </x:c>
      <x:c r="F209" t="str">
        <x:v>enter_or_hold</x:v>
      </x:c>
      <x:c r="G209" t="str">
        <x:v>left_top_n</x:v>
      </x:c>
      <x:c r="H209" t="n">
        <x:v>4</x:v>
      </x:c>
      <x:c r="I209" t="n">
        <x:v>111.85514432567456</x:v>
      </x:c>
      <x:c r="J209" t="n">
        <x:v>24.835100309795408</x:v>
      </x:c>
      <x:c r="K209" t="n">
        <x:v>367.48177308290343</x:v>
      </x:c>
      <x:c r="L209" t="n">
        <x:v>369.1433410644531</x:v>
      </x:c>
      <x:c r="M209" t="n">
        <x:v>9126.44669653538</x:v>
      </x:c>
      <x:c r="N209" t="n">
        <x:v>9167.711904028713</x:v>
      </x:c>
      <x:c r="O209" t="n">
        <x:v>21.90347207168491</x:v>
      </x:c>
      <x:c r="P209" t="n">
        <x:v>22.002508569668908</x:v>
      </x:c>
      <x:c r="Q209" t="n">
        <x:v>363.4366760253906</x:v>
      </x:c>
      <x:c r="R209" t="n">
        <x:v>1.5701951441642104</x:v>
      </x:c>
      <x:c r="S209" t="n">
        <x:v>0.4521497672143937</x:v>
      </x:c>
      <x:c r="T209" t="n">
        <x:v>-0.027850232785606277</x:v>
      </x:c>
      <x:c r="U209" t="n">
        <x:f>YEAR(C209)</x:f>
        <x:v>2024</x:v>
      </x:c>
      <x:c r="V209" t="n">
        <x:f>YEAR(D209)</x:f>
        <x:v>2024</x:v>
      </x:c>
      <x:c r="W209" t="n">
        <x:f>N209-M209-O209-P209</x:f>
        <x:v>-2.6407731480216903</x:v>
      </x:c>
      <x:c r="X209" t="str">
        <x:f>IF(T209&gt;1,"Ganador",IF(T209&lt;0,"Perdedor","Empate"))</x:f>
        <x:v>Perdedor</x:v>
      </x:c>
    </x:row>
    <x:row r="210">
      <x:c r="A210" t="str">
        <x:v>APP</x:v>
      </x:c>
      <x:c r="B210" t="n">
        <x:v>45534</x:v>
      </x:c>
      <x:c r="C210" t="n">
        <x:v>45538</x:v>
      </x:c>
      <x:c r="D210" t="n">
        <x:v>45656</x:v>
      </x:c>
      <x:c r="E210" t="n">
        <x:v>118</x:v>
      </x:c>
      <x:c r="F210" t="str">
        <x:v>enter_or_hold</x:v>
      </x:c>
      <x:c r="G210" t="str">
        <x:v>rebalance_trim</x:v>
      </x:c>
      <x:c r="H210" t="n">
        <x:v>2</x:v>
      </x:c>
      <x:c r="I210" t="n">
        <x:v>53.60349529555415</x:v>
      </x:c>
      <x:c r="J210" t="n">
        <x:v>1.4797545501233311</x:v>
      </x:c>
      <x:c r="K210" t="n">
        <x:v>88.12999725341797</x:v>
      </x:c>
      <x:c r="L210" t="n">
        <x:v>335.3800048828125</x:v>
      </x:c>
      <x:c r="M210" t="n">
        <x:v>130.41076443810192</x:v>
      </x:c>
      <x:c r="N210" t="n">
        <x:v>496.2800882457268</x:v>
      </x:c>
      <x:c r="O210" t="n">
        <x:v>0.3129858346514446</x:v>
      </x:c>
      <x:c r="P210" t="n">
        <x:v>1.1910722117897443</x:v>
      </x:c>
      <x:c r="Q210" t="n">
        <x:v>88.12999725341797</x:v>
      </x:c>
      <x:c r="R210" t="n">
        <x:v>280.55147547369904</x:v>
      </x:c>
      <x:c r="S210" t="n">
        <x:v>280.55147547369904</x:v>
      </x:c>
      <x:c r="T210" t="n">
        <x:v>280.071475473699</x:v>
      </x:c>
      <x:c r="U210" t="n">
        <x:f>YEAR(C210)</x:f>
        <x:v>2024</x:v>
      </x:c>
      <x:c r="V210" t="n">
        <x:f>YEAR(D210)</x:f>
        <x:v>2024</x:v>
      </x:c>
      <x:c r="W210" t="n">
        <x:f>N210-M210-O210-P210</x:f>
        <x:v>364.3652657611837</x:v>
      </x:c>
      <x:c r="X210" t="str">
        <x:f>IF(T210&gt;1,"Ganador",IF(T210&lt;0,"Perdedor","Empate"))</x:f>
        <x:v>Ganador</x:v>
      </x:c>
    </x:row>
    <x:row r="211">
      <x:c r="A211" t="str">
        <x:v>AXON</x:v>
      </x:c>
      <x:c r="B211" t="n">
        <x:v>45625</x:v>
      </x:c>
      <x:c r="C211" t="n">
        <x:v>45628</x:v>
      </x:c>
      <x:c r="D211" t="n">
        <x:v>45656</x:v>
      </x:c>
      <x:c r="E211" t="n">
        <x:v>28</x:v>
      </x:c>
      <x:c r="F211" t="str">
        <x:v>enter_or_hold</x:v>
      </x:c>
      <x:c r="G211" t="str">
        <x:v>rebalance_trim</x:v>
      </x:c>
      <x:c r="H211" t="n">
        <x:v>5</x:v>
      </x:c>
      <x:c r="I211" t="n">
        <x:v>90.54975463392232</x:v>
      </x:c>
      <x:c r="J211" t="n">
        <x:v>0.04554715298917703</x:v>
      </x:c>
      <x:c r="K211" t="n">
        <x:v>636.3900146484375</x:v>
      </x:c>
      <x:c r="L211" t="n">
        <x:v>604.3200073242188</x:v>
      </x:c>
      <x:c r="M211" t="n">
        <x:v>28.985753357976996</x:v>
      </x:c>
      <x:c r="N211" t="n">
        <x:v>27.525055828016775</x:v>
      </x:c>
      <x:c r="O211" t="n">
        <x:v>0.06956580805914479</x:v>
      </x:c>
      <x:c r="P211" t="n">
        <x:v>0.06606013398724025</x:v>
      </x:c>
      <x:c r="Q211" t="n">
        <x:v>636.3900146484375</x:v>
      </x:c>
      <x:c r="R211" t="n">
        <x:v>-5.039363689880528</x:v>
      </x:c>
      <x:c r="S211" t="n">
        <x:v>-5.039363689880528</x:v>
      </x:c>
      <x:c r="T211" t="n">
        <x:v>-5.519363689880528</x:v>
      </x:c>
      <x:c r="U211" t="n">
        <x:f>YEAR(C211)</x:f>
        <x:v>2024</x:v>
      </x:c>
      <x:c r="V211" t="n">
        <x:f>YEAR(D211)</x:f>
        <x:v>2024</x:v>
      </x:c>
      <x:c r="W211" t="n">
        <x:f>N211-M211-O211-P211</x:f>
        <x:v>-1.5963234720066062</x:v>
      </x:c>
      <x:c r="X211" t="str">
        <x:f>IF(T211&gt;1,"Ganador",IF(T211&lt;0,"Perdedor","Empate"))</x:f>
        <x:v>Perdedor</x:v>
      </x:c>
    </x:row>
    <x:row r="212">
      <x:c r="A212" t="str">
        <x:v>HOOD</x:v>
      </x:c>
      <x:c r="B212" t="n">
        <x:v>45625</x:v>
      </x:c>
      <x:c r="C212" t="n">
        <x:v>45628</x:v>
      </x:c>
      <x:c r="D212" t="n">
        <x:v>45656</x:v>
      </x:c>
      <x:c r="E212" t="n">
        <x:v>28</x:v>
      </x:c>
      <x:c r="F212" t="str">
        <x:v>enter_or_hold</x:v>
      </x:c>
      <x:c r="G212" t="str">
        <x:v>rebalance_trim</x:v>
      </x:c>
      <x:c r="H212" t="n">
        <x:v>6</x:v>
      </x:c>
      <x:c r="I212" t="n">
        <x:v>89.69176850878733</x:v>
      </x:c>
      <x:c r="J212" t="n">
        <x:v>22.70713246957396</x:v>
      </x:c>
      <x:c r="K212" t="n">
        <x:v>37.619998931884766</x:v>
      </x:c>
      <x:c r="L212" t="n">
        <x:v>38.27999877929688</x:v>
      </x:c>
      <x:c r="M212" t="n">
        <x:v>854.2422992515383</x:v>
      </x:c>
      <x:c r="N212" t="n">
        <x:v>869.2290032166238</x:v>
      </x:c>
      <x:c r="O212" t="n">
        <x:v>2.0501815182036918</x:v>
      </x:c>
      <x:c r="P212" t="n">
        <x:v>2.086149607719897</x:v>
      </x:c>
      <x:c r="Q212" t="n">
        <x:v>37.619998931884766</x:v>
      </x:c>
      <x:c r="R212" t="n">
        <x:v>1.7543856091200905</x:v>
      </x:c>
      <x:c r="S212" t="n">
        <x:v>1.7543856091200905</x:v>
      </x:c>
      <x:c r="T212" t="n">
        <x:v>1.2743856091200905</x:v>
      </x:c>
      <x:c r="U212" t="n">
        <x:f>YEAR(C212)</x:f>
        <x:v>2024</x:v>
      </x:c>
      <x:c r="V212" t="n">
        <x:f>YEAR(D212)</x:f>
        <x:v>2024</x:v>
      </x:c>
      <x:c r="W212" t="n">
        <x:f>N212-M212-O212-P212</x:f>
        <x:v>10.850372839161965</x:v>
      </x:c>
      <x:c r="X212" t="str">
        <x:f>IF(T212&gt;1,"Ganador",IF(T212&lt;0,"Perdedor","Empate"))</x:f>
        <x:v>Ganador</x:v>
      </x:c>
    </x:row>
    <x:row r="213">
      <x:c r="A213" t="str">
        <x:v>PLTR</x:v>
      </x:c>
      <x:c r="B213" t="n">
        <x:v>45534</x:v>
      </x:c>
      <x:c r="C213" t="n">
        <x:v>45538</x:v>
      </x:c>
      <x:c r="D213" t="n">
        <x:v>45656</x:v>
      </x:c>
      <x:c r="E213" t="n">
        <x:v>118</x:v>
      </x:c>
      <x:c r="F213" t="str">
        <x:v>enter_or_hold</x:v>
      </x:c>
      <x:c r="G213" t="str">
        <x:v>rebalance_trim</x:v>
      </x:c>
      <x:c r="H213" t="n">
        <x:v>4</x:v>
      </x:c>
      <x:c r="I213" t="n">
        <x:v>59.01586251118165</x:v>
      </x:c>
      <x:c r="J213" t="n">
        <x:v>35.05449565277705</x:v>
      </x:c>
      <x:c r="K213" t="n">
        <x:v>30.516726787849052</x:v>
      </x:c>
      <x:c r="L213" t="n">
        <x:v>77.18000030517578</x:v>
      </x:c>
      <x:c r="M213" t="n">
        <x:v>1069.7484665216393</x:v>
      </x:c>
      <x:c r="N213" t="n">
        <x:v>2705.5059851791157</x:v>
      </x:c>
      <x:c r="O213" t="n">
        <x:v>2.5673963196519347</x:v>
      </x:c>
      <x:c r="P213" t="n">
        <x:v>6.493214364429877</x:v>
      </x:c>
      <x:c r="Q213" t="n">
        <x:v>30.51000022888184</x:v>
      </x:c>
      <x:c r="R213" t="n">
        <x:v>152.96623967939036</x:v>
      </x:c>
      <x:c r="S213" t="n">
        <x:v>152.91048034649245</x:v>
      </x:c>
      <x:c r="T213" t="n">
        <x:v>152.43048034649246</x:v>
      </x:c>
      <x:c r="U213" t="n">
        <x:f>YEAR(C213)</x:f>
        <x:v>2024</x:v>
      </x:c>
      <x:c r="V213" t="n">
        <x:f>YEAR(D213)</x:f>
        <x:v>2024</x:v>
      </x:c>
      <x:c r="W213" t="n">
        <x:f>N213-M213-O213-P213</x:f>
        <x:v>1626.6969079733947</x:v>
      </x:c>
      <x:c r="X213" t="str">
        <x:f>IF(T213&gt;1,"Ganador",IF(T213&lt;0,"Perdedor","Empate"))</x:f>
        <x:v>Ganador</x:v>
      </x:c>
    </x:row>
    <x:row r="214">
      <x:c r="A214" t="str">
        <x:v>AXON</x:v>
      </x:c>
      <x:c r="B214" t="n">
        <x:v>45625</x:v>
      </x:c>
      <x:c r="C214" t="n">
        <x:v>45628</x:v>
      </x:c>
      <x:c r="D214" t="n">
        <x:v>45691</x:v>
      </x:c>
      <x:c r="E214" t="n">
        <x:v>63</x:v>
      </x:c>
      <x:c r="F214" t="str">
        <x:v>enter_or_hold</x:v>
      </x:c>
      <x:c r="G214" t="str">
        <x:v>left_top_n</x:v>
      </x:c>
      <x:c r="H214" t="n">
        <x:v>5</x:v>
      </x:c>
      <x:c r="I214" t="n">
        <x:v>90.54975463392232</x:v>
      </x:c>
      <x:c r="J214" t="n">
        <x:v>19.422683842617115</x:v>
      </x:c>
      <x:c r="K214" t="n">
        <x:v>636.3900146484375</x:v>
      </x:c>
      <x:c r="L214" t="n">
        <x:v>658.1099853515625</x:v>
      </x:c>
      <x:c r="M214" t="n">
        <x:v>12360.402055115077</x:v>
      </x:c>
      <x:c r="N214" t="n">
        <x:v>12782.26217915278</x:v>
      </x:c>
      <x:c r="O214" t="n">
        <x:v>29.66496493227618</x:v>
      </x:c>
      <x:c r="P214" t="n">
        <x:v>30.67742922996667</x:v>
      </x:c>
      <x:c r="Q214" t="n">
        <x:v>636.3900146484375</x:v>
      </x:c>
      <x:c r="R214" t="n">
        <x:v>3.412996779203681</x:v>
      </x:c>
      <x:c r="S214" t="n">
        <x:v>3.412996779203681</x:v>
      </x:c>
      <x:c r="T214" t="n">
        <x:v>2.932996779203681</x:v>
      </x:c>
      <x:c r="U214" t="n">
        <x:f>YEAR(C214)</x:f>
        <x:v>2024</x:v>
      </x:c>
      <x:c r="V214" t="n">
        <x:f>YEAR(D214)</x:f>
        <x:v>2025</x:v>
      </x:c>
      <x:c r="W214" t="n">
        <x:f>N214-M214-O214-P214</x:f>
        <x:v>361.5177298754601</x:v>
      </x:c>
      <x:c r="X214" t="str">
        <x:f>IF(T214&gt;1,"Ganador",IF(T214&lt;0,"Perdedor","Empate"))</x:f>
        <x:v>Ganador</x:v>
      </x:c>
    </x:row>
    <x:row r="215">
      <x:c r="A215" t="str">
        <x:v>HOOD</x:v>
      </x:c>
      <x:c r="B215" t="n">
        <x:v>45625</x:v>
      </x:c>
      <x:c r="C215" t="n">
        <x:v>45628</x:v>
      </x:c>
      <x:c r="D215" t="n">
        <x:v>45691</x:v>
      </x:c>
      <x:c r="E215" t="n">
        <x:v>63</x:v>
      </x:c>
      <x:c r="F215" t="str">
        <x:v>enter_or_hold</x:v>
      </x:c>
      <x:c r="G215" t="str">
        <x:v>rebalance_trim</x:v>
      </x:c>
      <x:c r="H215" t="n">
        <x:v>6</x:v>
      </x:c>
      <x:c r="I215" t="n">
        <x:v>89.69176850878733</x:v>
      </x:c>
      <x:c r="J215" t="n">
        <x:v>57.93237534470587</x:v>
      </x:c>
      <x:c r="K215" t="n">
        <x:v>37.619998931884766</x:v>
      </x:c>
      <x:c r="L215" t="n">
        <x:v>51.900001525878906</x:v>
      </x:c>
      <x:c r="M215" t="n">
        <x:v>2179.415898589382</x:v>
      </x:c>
      <x:c r="N215" t="n">
        <x:v>3006.690368788024</x:v>
      </x:c>
      <x:c r="O215" t="n">
        <x:v>5.2305981566145165</x:v>
      </x:c>
      <x:c r="P215" t="n">
        <x:v>7.216056885091257</x:v>
      </x:c>
      <x:c r="Q215" t="n">
        <x:v>37.619998931884766</x:v>
      </x:c>
      <x:c r="R215" t="n">
        <x:v>37.95854066835484</x:v>
      </x:c>
      <x:c r="S215" t="n">
        <x:v>37.95854066835484</x:v>
      </x:c>
      <x:c r="T215" t="n">
        <x:v>37.478540668354846</x:v>
      </x:c>
      <x:c r="U215" t="n">
        <x:f>YEAR(C215)</x:f>
        <x:v>2024</x:v>
      </x:c>
      <x:c r="V215" t="n">
        <x:f>YEAR(D215)</x:f>
        <x:v>2025</x:v>
      </x:c>
      <x:c r="W215" t="n">
        <x:f>N215-M215-O215-P215</x:f>
        <x:v>814.8278151569364</x:v>
      </x:c>
      <x:c r="X215" t="str">
        <x:f>IF(T215&gt;1,"Ganador",IF(T215&lt;0,"Perdedor","Empate"))</x:f>
        <x:v>Ganador</x:v>
      </x:c>
    </x:row>
    <x:row r="216">
      <x:c r="A216" t="str">
        <x:v>APP</x:v>
      </x:c>
      <x:c r="B216" t="n">
        <x:v>45534</x:v>
      </x:c>
      <x:c r="C216" t="n">
        <x:v>45538</x:v>
      </x:c>
      <x:c r="D216" t="n">
        <x:v>45719</x:v>
      </x:c>
      <x:c r="E216" t="n">
        <x:v>181</x:v>
      </x:c>
      <x:c r="F216" t="str">
        <x:v>enter_or_hold</x:v>
      </x:c>
      <x:c r="G216" t="str">
        <x:v>market_filter_failed</x:v>
      </x:c>
      <x:c r="H216" t="n">
        <x:v>1</x:v>
      </x:c>
      <x:c r="I216" t="n">
        <x:v>144.36649793873974</x:v>
      </x:c>
      <x:c r="J216" t="n">
        <x:v>35.315066819998414</x:v>
      </x:c>
      <x:c r="K216" t="n">
        <x:v>90.62239548684607</x:v>
      </x:c>
      <x:c r="L216" t="n">
        <x:v>337.3399963378906</x:v>
      </x:c>
      <x:c r="M216" t="n">
        <x:v>3200.335952006292</x:v>
      </x:c>
      <x:c r="N216" t="n">
        <x:v>11913.184511730627</x:v>
      </x:c>
      <x:c r="O216" t="n">
        <x:v>7.680806284815099</x:v>
      </x:c>
      <x:c r="P216" t="n">
        <x:v>28.591642828153503</x:v>
      </x:c>
      <x:c r="Q216" t="n">
        <x:v>88.12999725341797</x:v>
      </x:c>
      <x:c r="R216" t="n">
        <x:v>282.77545313869564</x:v>
      </x:c>
      <x:c r="S216" t="n">
        <x:v>272.2479355413374</x:v>
      </x:c>
      <x:c r="T216" t="n">
        <x:v>271.7679355413374</x:v>
      </x:c>
      <x:c r="U216" t="n">
        <x:f>YEAR(C216)</x:f>
        <x:v>2024</x:v>
      </x:c>
      <x:c r="V216" t="n">
        <x:f>YEAR(D216)</x:f>
        <x:v>2025</x:v>
      </x:c>
      <x:c r="W216" t="n">
        <x:f>N216-M216-O216-P216</x:f>
        <x:v>8676.576110611366</x:v>
      </x:c>
      <x:c r="X216" t="str">
        <x:f>IF(T216&gt;1,"Ganador",IF(T216&lt;0,"Perdedor","Empate"))</x:f>
        <x:v>Ganador</x:v>
      </x:c>
    </x:row>
    <x:row r="217">
      <x:c r="A217" t="str">
        <x:v>PLTR</x:v>
      </x:c>
      <x:c r="B217" t="n">
        <x:v>45534</x:v>
      </x:c>
      <x:c r="C217" t="n">
        <x:v>45538</x:v>
      </x:c>
      <x:c r="D217" t="n">
        <x:v>45719</x:v>
      </x:c>
      <x:c r="E217" t="n">
        <x:v>181</x:v>
      </x:c>
      <x:c r="F217" t="str">
        <x:v>enter_or_hold</x:v>
      </x:c>
      <x:c r="G217" t="str">
        <x:v>market_filter_failed</x:v>
      </x:c>
      <x:c r="H217" t="n">
        <x:v>2</x:v>
      </x:c>
      <x:c r="I217" t="n">
        <x:v>109.35628062903002</x:v>
      </x:c>
      <x:c r="J217" t="n">
        <x:v>154.11277855206683</x:v>
      </x:c>
      <x:c r="K217" t="n">
        <x:v>31.2188330034464</x:v>
      </x:c>
      <x:c r="L217" t="n">
        <x:v>83.41999816894531</x:v>
      </x:c>
      <x:c r="M217" t="n">
        <x:v>4811.22109731409</x:v>
      </x:c>
      <x:c r="N217" t="n">
        <x:v>12856.08770462449</x:v>
      </x:c>
      <x:c r="O217" t="n">
        <x:v>11.546930633553817</x:v>
      </x:c>
      <x:c r="P217" t="n">
        <x:v>30.85461049109877</x:v>
      </x:c>
      <x:c r="Q217" t="n">
        <x:v>30.51000022888184</x:v>
      </x:c>
      <x:c r="R217" t="n">
        <x:v>173.41854324201873</x:v>
      </x:c>
      <x:c r="S217" t="n">
        <x:v>167.21049489497628</x:v>
      </x:c>
      <x:c r="T217" t="n">
        <x:v>166.7304948949763</x:v>
      </x:c>
      <x:c r="U217" t="n">
        <x:f>YEAR(C217)</x:f>
        <x:v>2024</x:v>
      </x:c>
      <x:c r="V217" t="n">
        <x:f>YEAR(D217)</x:f>
        <x:v>2025</x:v>
      </x:c>
      <x:c r="W217" t="n">
        <x:f>N217-M217-O217-P217</x:f>
        <x:v>8002.465066185748</x:v>
      </x:c>
      <x:c r="X217" t="str">
        <x:f>IF(T217&gt;1,"Ganador",IF(T217&lt;0,"Perdedor","Empate"))</x:f>
        <x:v>Ganador</x:v>
      </x:c>
    </x:row>
    <x:row r="218">
      <x:c r="A218" t="str">
        <x:v>HOOD</x:v>
      </x:c>
      <x:c r="B218" t="n">
        <x:v>45625</x:v>
      </x:c>
      <x:c r="C218" t="n">
        <x:v>45628</x:v>
      </x:c>
      <x:c r="D218" t="n">
        <x:v>45719</x:v>
      </x:c>
      <x:c r="E218" t="n">
        <x:v>91</x:v>
      </x:c>
      <x:c r="F218" t="str">
        <x:v>enter_or_hold</x:v>
      </x:c>
      <x:c r="G218" t="str">
        <x:v>market_filter_failed</x:v>
      </x:c>
      <x:c r="H218" t="n">
        <x:v>6</x:v>
      </x:c>
      <x:c r="I218" t="n">
        <x:v>89.69176850878733</x:v>
      </x:c>
      <x:c r="J218" t="n">
        <x:v>248.6903210064342</x:v>
      </x:c>
      <x:c r="K218" t="n">
        <x:v>37.619998931884766</x:v>
      </x:c>
      <x:c r="L218" t="n">
        <x:v>46.88999938964844</x:v>
      </x:c>
      <x:c r="M218" t="n">
        <x:v>9355.729610632134</x:v>
      </x:c>
      <x:c r="N218" t="n">
        <x:v>11661.089000203174</x:v>
      </x:c>
      <x:c r="O218" t="n">
        <x:v>22.45375106551712</x:v>
      </x:c>
      <x:c r="P218" t="n">
        <x:v>27.986613600487615</x:v>
      </x:c>
      <x:c r="Q218" t="n">
        <x:v>37.619998931884766</x:v>
      </x:c>
      <x:c r="R218" t="n">
        <x:v>24.64115024178508</x:v>
      </x:c>
      <x:c r="S218" t="n">
        <x:v>24.64115024178508</x:v>
      </x:c>
      <x:c r="T218" t="n">
        <x:v>24.16115024178508</x:v>
      </x:c>
      <x:c r="U218" t="n">
        <x:f>YEAR(C218)</x:f>
        <x:v>2024</x:v>
      </x:c>
      <x:c r="V218" t="n">
        <x:f>YEAR(D218)</x:f>
        <x:v>2025</x:v>
      </x:c>
      <x:c r="W218" t="n">
        <x:f>N218-M218-O218-P218</x:f>
        <x:v>2254.9190249050353</x:v>
      </x:c>
      <x:c r="X218" t="str">
        <x:f>IF(T218&gt;1,"Ganador",IF(T218&lt;0,"Perdedor","Empate"))</x:f>
        <x:v>Ganador</x:v>
      </x:c>
    </x:row>
    <x:row r="219">
      <x:c r="A219" t="str">
        <x:v>TSLA</x:v>
      </x:c>
      <x:c r="B219" t="n">
        <x:v>45653</x:v>
      </x:c>
      <x:c r="C219" t="n">
        <x:v>45656</x:v>
      </x:c>
      <x:c r="D219" t="n">
        <x:v>45719</x:v>
      </x:c>
      <x:c r="E219" t="n">
        <x:v>63</x:v>
      </x:c>
      <x:c r="F219" t="str">
        <x:v>enter_or_hold</x:v>
      </x:c>
      <x:c r="G219" t="str">
        <x:v>market_filter_failed</x:v>
      </x:c>
      <x:c r="H219" t="n">
        <x:v>6</x:v>
      </x:c>
      <x:c r="I219" t="n">
        <x:v>62.21546900629551</x:v>
      </x:c>
      <x:c r="J219" t="n">
        <x:v>33.62312678683742</x:v>
      </x:c>
      <x:c r="K219" t="n">
        <x:v>411.8099239350638</x:v>
      </x:c>
      <x:c r="L219" t="n">
        <x:v>284.6499938964844</x:v>
      </x:c>
      <x:c r="M219" t="n">
        <x:v>13846.337284546524</x:v>
      </x:c>
      <x:c r="N219" t="n">
        <x:v>9570.82283465399</x:v>
      </x:c>
      <x:c r="O219" t="n">
        <x:v>33.23120948291165</x:v>
      </x:c>
      <x:c r="P219" t="n">
        <x:v>22.969974803169578</x:v>
      </x:c>
      <x:c r="Q219" t="n">
        <x:v>417.4100036621094</x:v>
      </x:c>
      <x:c r="R219" t="n">
        <x:v>-31.80566076540258</x:v>
      </x:c>
      <x:c r="S219" t="n">
        <x:v>-30.878306385503873</x:v>
      </x:c>
      <x:c r="T219" t="n">
        <x:v>-31.358306385503873</x:v>
      </x:c>
      <x:c r="U219" t="n">
        <x:f>YEAR(C219)</x:f>
        <x:v>2024</x:v>
      </x:c>
      <x:c r="V219" t="n">
        <x:f>YEAR(D219)</x:f>
        <x:v>2025</x:v>
      </x:c>
      <x:c r="W219" t="n">
        <x:f>N219-M219-O219-P219</x:f>
        <x:v>-4331.715634178614</x:v>
      </x:c>
      <x:c r="X219" t="str">
        <x:f>IF(T219&gt;1,"Ganador",IF(T219&lt;0,"Perdedor","Empate"))</x:f>
        <x:v>Perdedor</x:v>
      </x:c>
    </x:row>
    <x:row r="220">
      <x:c r="A220" t="str">
        <x:v>UAL</x:v>
      </x:c>
      <x:c r="B220" t="n">
        <x:v>45653</x:v>
      </x:c>
      <x:c r="C220" t="n">
        <x:v>45656</x:v>
      </x:c>
      <x:c r="D220" t="n">
        <x:v>45719</x:v>
      </x:c>
      <x:c r="E220" t="n">
        <x:v>63</x:v>
      </x:c>
      <x:c r="F220" t="str">
        <x:v>enter_or_hold</x:v>
      </x:c>
      <x:c r="G220" t="str">
        <x:v>market_filter_failed</x:v>
      </x:c>
      <x:c r="H220" t="n">
        <x:v>4</x:v>
      </x:c>
      <x:c r="I220" t="n">
        <x:v>69.46444432496797</x:v>
      </x:c>
      <x:c r="J220" t="n">
        <x:v>123.10222687521718</x:v>
      </x:c>
      <x:c r="K220" t="n">
        <x:v>98.42101036848784</x:v>
      </x:c>
      <x:c r="L220" t="n">
        <x:v>91.66999816894533</x:v>
      </x:c>
      <x:c r="M220" t="n">
        <x:v>12115.845547669693</x:v>
      </x:c>
      <x:c r="N220" t="n">
        <x:v>11284.780912244252</x:v>
      </x:c>
      <x:c r="O220" t="n">
        <x:v>29.07802931440726</x:v>
      </x:c>
      <x:c r="P220" t="n">
        <x:v>27.0834741893862</x:v>
      </x:c>
      <x:c r="Q220" t="n">
        <x:v>98.20999908447266</x:v>
      </x:c>
      <x:c r="R220" t="n">
        <x:v>-6.6592006684595635</x:v>
      </x:c>
      <x:c r="S220" t="n">
        <x:v>-6.859320153559445</x:v>
      </x:c>
      <x:c r="T220" t="n">
        <x:v>-7.339320153559445</x:v>
      </x:c>
      <x:c r="U220" t="n">
        <x:f>YEAR(C220)</x:f>
        <x:v>2024</x:v>
      </x:c>
      <x:c r="V220" t="n">
        <x:f>YEAR(D220)</x:f>
        <x:v>2025</x:v>
      </x:c>
      <x:c r="W220" t="n">
        <x:f>N220-M220-O220-P220</x:f>
        <x:v>-887.2261389292338</x:v>
      </x:c>
      <x:c r="X220" t="str">
        <x:f>IF(T220&gt;1,"Ganador",IF(T220&lt;0,"Perdedor","Empate"))</x:f>
        <x:v>Perdedor</x:v>
      </x:c>
    </x:row>
    <x:row r="221">
      <x:c r="A221" t="str">
        <x:v>CVNA</x:v>
      </x:c>
      <x:c r="B221" t="n">
        <x:v>45688</x:v>
      </x:c>
      <x:c r="C221" t="n">
        <x:v>45691</x:v>
      </x:c>
      <x:c r="D221" t="n">
        <x:v>45719</x:v>
      </x:c>
      <x:c r="E221" t="n">
        <x:v>28</x:v>
      </x:c>
      <x:c r="F221" t="str">
        <x:v>enter_or_hold</x:v>
      </x:c>
      <x:c r="G221" t="str">
        <x:v>market_filter_failed</x:v>
      </x:c>
      <x:c r="H221" t="n">
        <x:v>5</x:v>
      </x:c>
      <x:c r="I221" t="n">
        <x:v>64.11579775768877</x:v>
      </x:c>
      <x:c r="J221" t="n">
        <x:v>51.16219170711518</x:v>
      </x:c>
      <x:c r="K221" t="n">
        <x:v>251.6300048828125</x:v>
      </x:c>
      <x:c r="L221" t="n">
        <x:v>219.4499969482422</x:v>
      </x:c>
      <x:c r="M221" t="n">
        <x:v>12873.94254907678</x:v>
      </x:c>
      <x:c r="N221" t="n">
        <x:v>11227.542813991808</x:v>
      </x:c>
      <x:c r="O221" t="n">
        <x:v>30.897462117784272</x:v>
      </x:c>
      <x:c r="P221" t="n">
        <x:v>26.946102753580337</x:v>
      </x:c>
      <x:c r="Q221" t="n">
        <x:v>251.6300048828125</x:v>
      </x:c>
      <x:c r="R221" t="n">
        <x:v>-12.78862111438458</x:v>
      </x:c>
      <x:c r="S221" t="n">
        <x:v>-12.78862111438458</x:v>
      </x:c>
      <x:c r="T221" t="n">
        <x:v>-13.26862111438458</x:v>
      </x:c>
      <x:c r="U221" t="n">
        <x:f>YEAR(C221)</x:f>
        <x:v>2025</x:v>
      </x:c>
      <x:c r="V221" t="n">
        <x:f>YEAR(D221)</x:f>
        <x:v>2025</x:v>
      </x:c>
      <x:c r="W221" t="n">
        <x:f>N221-M221-O221-P221</x:f>
        <x:v>-1704.2432999563378</x:v>
      </x:c>
      <x:c r="X221" t="str">
        <x:f>IF(T221&gt;1,"Ganador",IF(T221&lt;0,"Perdedor","Empate"))</x:f>
        <x:v>Perdedor</x:v>
      </x:c>
    </x:row>
    <x:row r="222">
      <x:c r="A222" t="str">
        <x:v>APP</x:v>
      </x:c>
      <x:c r="B222" t="n">
        <x:v>45807</x:v>
      </x:c>
      <x:c r="C222" t="n">
        <x:v>45810</x:v>
      </x:c>
      <x:c r="D222" t="n">
        <x:v>45838</x:v>
      </x:c>
      <x:c r="E222" t="n">
        <x:v>28</x:v>
      </x:c>
      <x:c r="F222" t="str">
        <x:v>enter_or_hold</x:v>
      </x:c>
      <x:c r="G222" t="str">
        <x:v>left_top_n</x:v>
      </x:c>
      <x:c r="H222" t="n">
        <x:v>3</x:v>
      </x:c>
      <x:c r="I222" t="n">
        <x:v>67.7829753516748</x:v>
      </x:c>
      <x:c r="J222" t="n">
        <x:v>28.275579816671417</x:v>
      </x:c>
      <x:c r="K222" t="n">
        <x:v>401.9100036621094</x:v>
      </x:c>
      <x:c r="L222" t="n">
        <x:v>350.0799865722656</x:v>
      </x:c>
      <x:c r="M222" t="n">
        <x:v>11364.238387666675</x:v>
      </x:c>
      <x:c r="N222" t="n">
        <x:v>9898.714602543354</x:v>
      </x:c>
      <x:c r="O222" t="n">
        <x:v>27.274172130400018</x:v>
      </x:c>
      <x:c r="P222" t="n">
        <x:v>23.756915046104048</x:v>
      </x:c>
      <x:c r="Q222" t="n">
        <x:v>401.9100036621094</x:v>
      </x:c>
      <x:c r="R222" t="n">
        <x:v>-12.89592610723317</x:v>
      </x:c>
      <x:c r="S222" t="n">
        <x:v>-12.89592610723317</x:v>
      </x:c>
      <x:c r="T222" t="n">
        <x:v>-13.37592610723317</x:v>
      </x:c>
      <x:c r="U222" t="n">
        <x:f>YEAR(C222)</x:f>
        <x:v>2025</x:v>
      </x:c>
      <x:c r="V222" t="n">
        <x:f>YEAR(D222)</x:f>
        <x:v>2025</x:v>
      </x:c>
      <x:c r="W222" t="n">
        <x:f>N222-M222-O222-P222</x:f>
        <x:v>-1516.5548722998255</x:v>
      </x:c>
      <x:c r="X222" t="str">
        <x:f>IF(T222&gt;1,"Ganador",IF(T222&lt;0,"Perdedor","Empate"))</x:f>
        <x:v>Perdedor</x:v>
      </x:c>
    </x:row>
    <x:row r="223">
      <x:c r="A223" t="str">
        <x:v>CVNA</x:v>
      </x:c>
      <x:c r="B223" t="n">
        <x:v>45807</x:v>
      </x:c>
      <x:c r="C223" t="n">
        <x:v>45810</x:v>
      </x:c>
      <x:c r="D223" t="n">
        <x:v>45838</x:v>
      </x:c>
      <x:c r="E223" t="n">
        <x:v>28</x:v>
      </x:c>
      <x:c r="F223" t="str">
        <x:v>enter_or_hold</x:v>
      </x:c>
      <x:c r="G223" t="str">
        <x:v>left_top_n</x:v>
      </x:c>
      <x:c r="H223" t="n">
        <x:v>4</x:v>
      </x:c>
      <x:c r="I223" t="n">
        <x:v>63.42945800857025</x:v>
      </x:c>
      <x:c r="J223" t="n">
        <x:v>34.28746772856939</x:v>
      </x:c>
      <x:c r="K223" t="n">
        <x:v>331.44000244140625</x:v>
      </x:c>
      <x:c r="L223" t="n">
        <x:v>336.9599914550781</x:v>
      </x:c>
      <x:c r="M223" t="n">
        <x:v>11364.238387666675</x:v>
      </x:c>
      <x:c r="N223" t="n">
        <x:v>11553.504832835008</x:v>
      </x:c>
      <x:c r="O223" t="n">
        <x:v>27.274172130400018</x:v>
      </x:c>
      <x:c r="P223" t="n">
        <x:v>27.728411598804016</x:v>
      </x:c>
      <x:c r="Q223" t="n">
        <x:v>331.44000244140625</x:v>
      </x:c>
      <x:c r="R223" t="n">
        <x:v>1.6654564847367048</x:v>
      </x:c>
      <x:c r="S223" t="n">
        <x:v>1.6654564847367048</x:v>
      </x:c>
      <x:c r="T223" t="n">
        <x:v>1.1854564847367048</x:v>
      </x:c>
      <x:c r="U223" t="n">
        <x:f>YEAR(C223)</x:f>
        <x:v>2025</x:v>
      </x:c>
      <x:c r="V223" t="n">
        <x:f>YEAR(D223)</x:f>
        <x:v>2025</x:v>
      </x:c>
      <x:c r="W223" t="n">
        <x:f>N223-M223-O223-P223</x:f>
        <x:v>134.26386143912816</x:v>
      </x:c>
      <x:c r="X223" t="str">
        <x:f>IF(T223&gt;1,"Ganador",IF(T223&lt;0,"Perdedor","Empate"))</x:f>
        <x:v>Ganador</x:v>
      </x:c>
    </x:row>
    <x:row r="224">
      <x:c r="A224" t="str">
        <x:v>AXON</x:v>
      </x:c>
      <x:c r="B224" t="n">
        <x:v>45807</x:v>
      </x:c>
      <x:c r="C224" t="n">
        <x:v>45810</x:v>
      </x:c>
      <x:c r="D224" t="n">
        <x:v>45838</x:v>
      </x:c>
      <x:c r="E224" t="n">
        <x:v>28</x:v>
      </x:c>
      <x:c r="F224" t="str">
        <x:v>enter_or_hold</x:v>
      </x:c>
      <x:c r="G224" t="str">
        <x:v>rebalance_trim</x:v>
      </x:c>
      <x:c r="H224" t="n">
        <x:v>6</x:v>
      </x:c>
      <x:c r="I224" t="n">
        <x:v>48.64138134935341</x:v>
      </x:c>
      <x:c r="J224" t="n">
        <x:v>0.34579902518522804</x:v>
      </x:c>
      <x:c r="K224" t="n">
        <x:v>758.5700073242188</x:v>
      </x:c>
      <x:c r="L224" t="n">
        <x:v>827.9400024414062</x:v>
      </x:c>
      <x:c r="M224" t="n">
        <x:v>262.3127690674661</x:v>
      </x:c>
      <x:c r="N224" t="n">
        <x:v>286.3008457560936</x:v>
      </x:c>
      <x:c r="O224" t="n">
        <x:v>0.6295506457619185</x:v>
      </x:c>
      <x:c r="P224" t="n">
        <x:v>0.6871220298146247</x:v>
      </x:c>
      <x:c r="Q224" t="n">
        <x:v>758.5700073242188</x:v>
      </x:c>
      <x:c r="R224" t="n">
        <x:v>9.14483758221385</x:v>
      </x:c>
      <x:c r="S224" t="n">
        <x:v>9.14483758221385</x:v>
      </x:c>
      <x:c r="T224" t="n">
        <x:v>8.664837582213849</x:v>
      </x:c>
      <x:c r="U224" t="n">
        <x:f>YEAR(C224)</x:f>
        <x:v>2025</x:v>
      </x:c>
      <x:c r="V224" t="n">
        <x:f>YEAR(D224)</x:f>
        <x:v>2025</x:v>
      </x:c>
      <x:c r="W224" t="n">
        <x:f>N224-M224-O224-P224</x:f>
        <x:v>22.67140401305099</x:v>
      </x:c>
      <x:c r="X224" t="str">
        <x:f>IF(T224&gt;1,"Ganador",IF(T224&lt;0,"Perdedor","Empate"))</x:f>
        <x:v>Ganador</x:v>
      </x:c>
    </x:row>
    <x:row r="225">
      <x:c r="A225" t="str">
        <x:v>HOOD</x:v>
      </x:c>
      <x:c r="B225" t="n">
        <x:v>45807</x:v>
      </x:c>
      <x:c r="C225" t="n">
        <x:v>45810</x:v>
      </x:c>
      <x:c r="D225" t="n">
        <x:v>45838</x:v>
      </x:c>
      <x:c r="E225" t="n">
        <x:v>28</x:v>
      </x:c>
      <x:c r="F225" t="str">
        <x:v>enter_or_hold</x:v>
      </x:c>
      <x:c r="G225" t="str">
        <x:v>rebalance_trim</x:v>
      </x:c>
      <x:c r="H225" t="n">
        <x:v>2</x:v>
      </x:c>
      <x:c r="I225" t="n">
        <x:v>83.38949494508887</x:v>
      </x:c>
      <x:c r="J225" t="n">
        <x:v>37.754750563170724</x:v>
      </x:c>
      <x:c r="K225" t="n">
        <x:v>67.9800033569336</x:v>
      </x:c>
      <x:c r="L225" t="n">
        <x:v>93.62999725341795</x:v>
      </x:c>
      <x:c r="M225" t="n">
        <x:v>2566.5680700245366</x:v>
      </x:c>
      <x:c r="N225" t="n">
        <x:v>3534.977191533155</x:v>
      </x:c>
      <x:c r="O225" t="n">
        <x:v>6.159763368058887</x:v>
      </x:c>
      <x:c r="P225" t="n">
        <x:v>8.48394525967957</x:v>
      </x:c>
      <x:c r="Q225" t="n">
        <x:v>67.9800033569336</x:v>
      </x:c>
      <x:c r="R225" t="n">
        <x:v>37.73167494830405</x:v>
      </x:c>
      <x:c r="S225" t="n">
        <x:v>37.73167494830405</x:v>
      </x:c>
      <x:c r="T225" t="n">
        <x:v>37.25167494830405</x:v>
      </x:c>
      <x:c r="U225" t="n">
        <x:f>YEAR(C225)</x:f>
        <x:v>2025</x:v>
      </x:c>
      <x:c r="V225" t="n">
        <x:f>YEAR(D225)</x:f>
        <x:v>2025</x:v>
      </x:c>
      <x:c r="W225" t="n">
        <x:f>N225-M225-O225-P225</x:f>
        <x:v>953.7654128808798</x:v>
      </x:c>
      <x:c r="X225" t="str">
        <x:f>IF(T225&gt;1,"Ganador",IF(T225&lt;0,"Perdedor","Empate"))</x:f>
        <x:v>Ganador</x:v>
      </x:c>
    </x:row>
    <x:row r="226">
      <x:c r="A226" t="str">
        <x:v>AXON</x:v>
      </x:c>
      <x:c r="B226" t="n">
        <x:v>45807</x:v>
      </x:c>
      <x:c r="C226" t="n">
        <x:v>45810</x:v>
      </x:c>
      <x:c r="D226" t="n">
        <x:v>45866</x:v>
      </x:c>
      <x:c r="E226" t="n">
        <x:v>56</x:v>
      </x:c>
      <x:c r="F226" t="str">
        <x:v>enter_or_hold</x:v>
      </x:c>
      <x:c r="G226" t="str">
        <x:v>left_top_n</x:v>
      </x:c>
      <x:c r="H226" t="n">
        <x:v>6</x:v>
      </x:c>
      <x:c r="I226" t="n">
        <x:v>48.64138134935341</x:v>
      </x:c>
      <x:c r="J226" t="n">
        <x:v>14.635334262371067</x:v>
      </x:c>
      <x:c r="K226" t="n">
        <x:v>758.5700073242188</x:v>
      </x:c>
      <x:c r="L226" t="n">
        <x:v>736.2899780273438</x:v>
      </x:c>
      <x:c r="M226" t="n">
        <x:v>11101.925618599209</x:v>
      </x:c>
      <x:c r="N226" t="n">
        <x:v>10775.849942464025</x:v>
      </x:c>
      <x:c r="O226" t="n">
        <x:v>26.6446214846381</x:v>
      </x:c>
      <x:c r="P226" t="n">
        <x:v>25.862039861913658</x:v>
      </x:c>
      <x:c r="Q226" t="n">
        <x:v>758.5700073242188</x:v>
      </x:c>
      <x:c r="R226" t="n">
        <x:v>-2.937109176708108</x:v>
      </x:c>
      <x:c r="S226" t="n">
        <x:v>-2.937109176708108</x:v>
      </x:c>
      <x:c r="T226" t="n">
        <x:v>-3.417109176708108</x:v>
      </x:c>
      <x:c r="U226" t="n">
        <x:f>YEAR(C226)</x:f>
        <x:v>2025</x:v>
      </x:c>
      <x:c r="V226" t="n">
        <x:f>YEAR(D226)</x:f>
        <x:v>2025</x:v>
      </x:c>
      <x:c r="W226" t="n">
        <x:f>N226-M226-O226-P226</x:f>
        <x:v>-378.5823374817358</x:v>
      </x:c>
      <x:c r="X226" t="str">
        <x:f>IF(T226&gt;1,"Ganador",IF(T226&lt;0,"Perdedor","Empate"))</x:f>
        <x:v>Perdedor</x:v>
      </x:c>
    </x:row>
    <x:row r="227">
      <x:c r="A227" t="str">
        <x:v>NRG</x:v>
      </x:c>
      <x:c r="B227" t="n">
        <x:v>45807</x:v>
      </x:c>
      <x:c r="C227" t="n">
        <x:v>45810</x:v>
      </x:c>
      <x:c r="D227" t="n">
        <x:v>45866</x:v>
      </x:c>
      <x:c r="E227" t="n">
        <x:v>56</x:v>
      </x:c>
      <x:c r="F227" t="str">
        <x:v>enter_or_hold</x:v>
      </x:c>
      <x:c r="G227" t="str">
        <x:v>left_top_n</x:v>
      </x:c>
      <x:c r="H227" t="n">
        <x:v>3</x:v>
      </x:c>
      <x:c r="I227" t="n">
        <x:v>60.04010794254056</x:v>
      </x:c>
      <x:c r="J227" t="n">
        <x:v>75.4398867388806</x:v>
      </x:c>
      <x:c r="K227" t="n">
        <x:v>158.59352752386778</x:v>
      </x:c>
      <x:c r="L227" t="n">
        <x:v>158.5399932861328</x:v>
      </x:c>
      <x:c r="M227" t="n">
        <x:v>11964.277753920129</x:v>
      </x:c>
      <x:c r="N227" t="n">
        <x:v>11960.23913708875</x:v>
      </x:c>
      <x:c r="O227" t="n">
        <x:v>28.714266609408305</x:v>
      </x:c>
      <x:c r="P227" t="n">
        <x:v>28.704573929012998</x:v>
      </x:c>
      <x:c r="Q227" t="n">
        <x:v>158.49000549316406</x:v>
      </x:c>
      <x:c r="R227" t="n">
        <x:v>0.031540028541998666</x:v>
      </x:c>
      <x:c r="S227" t="n">
        <x:v>-0.03375562582584868</x:v>
      </x:c>
      <x:c r="T227" t="n">
        <x:v>-0.5137556258258487</x:v>
      </x:c>
      <x:c r="U227" t="n">
        <x:f>YEAR(C227)</x:f>
        <x:v>2025</x:v>
      </x:c>
      <x:c r="V227" t="n">
        <x:f>YEAR(D227)</x:f>
        <x:v>2025</x:v>
      </x:c>
      <x:c r="W227" t="n">
        <x:f>N227-M227-O227-P227</x:f>
        <x:v>-61.45745736979933</x:v>
      </x:c>
      <x:c r="X227" t="str">
        <x:f>IF(T227&gt;1,"Ganador",IF(T227&lt;0,"Perdedor","Empate"))</x:f>
        <x:v>Perdedor</x:v>
      </x:c>
    </x:row>
    <x:row r="228">
      <x:c r="A228" t="str">
        <x:v>COIN</x:v>
      </x:c>
      <x:c r="B228" t="n">
        <x:v>45835</x:v>
      </x:c>
      <x:c r="C228" t="n">
        <x:v>45838</x:v>
      </x:c>
      <x:c r="D228" t="n">
        <x:v>45866</x:v>
      </x:c>
      <x:c r="E228" t="n">
        <x:v>28</x:v>
      </x:c>
      <x:c r="F228" t="str">
        <x:v>enter_or_hold</x:v>
      </x:c>
      <x:c r="G228" t="str">
        <x:v>rebalance_trim</x:v>
      </x:c>
      <x:c r="H228" t="n">
        <x:v>5</x:v>
      </x:c>
      <x:c r="I228" t="n">
        <x:v>50.86723312779831</x:v>
      </x:c>
      <x:c r="J228" t="n">
        <x:v>1.0715216780972125</x:v>
      </x:c>
      <x:c r="K228" t="n">
        <x:v>350.489990234375</x:v>
      </x:c>
      <x:c r="L228" t="n">
        <x:v>379.489990234375</x:v>
      </x:c>
      <x:c r="M228" t="n">
        <x:v>375.55762249221317</x:v>
      </x:c>
      <x:c r="N228" t="n">
        <x:v>406.6317511570323</x:v>
      </x:c>
      <x:c r="O228" t="n">
        <x:v>0.9013382939813115</x:v>
      </x:c>
      <x:c r="P228" t="n">
        <x:v>0.9759162027768774</x:v>
      </x:c>
      <x:c r="Q228" t="n">
        <x:v>350.489990234375</x:v>
      </x:c>
      <x:c r="R228" t="n">
        <x:v>8.274130733550344</x:v>
      </x:c>
      <x:c r="S228" t="n">
        <x:v>8.274130733550344</x:v>
      </x:c>
      <x:c r="T228" t="n">
        <x:v>7.794130733550343</x:v>
      </x:c>
      <x:c r="U228" t="n">
        <x:f>YEAR(C228)</x:f>
        <x:v>2025</x:v>
      </x:c>
      <x:c r="V228" t="n">
        <x:f>YEAR(D228)</x:f>
        <x:v>2025</x:v>
      </x:c>
      <x:c r="W228" t="n">
        <x:f>N228-M228-O228-P228</x:f>
        <x:v>29.196874168060926</x:v>
      </x:c>
      <x:c r="X228" t="str">
        <x:f>IF(T228&gt;1,"Ganador",IF(T228&lt;0,"Perdedor","Empate"))</x:f>
        <x:v>Ganador</x:v>
      </x:c>
    </x:row>
    <x:row r="229">
      <x:c r="A229" t="str">
        <x:v>HOOD</x:v>
      </x:c>
      <x:c r="B229" t="n">
        <x:v>45807</x:v>
      </x:c>
      <x:c r="C229" t="n">
        <x:v>45810</x:v>
      </x:c>
      <x:c r="D229" t="n">
        <x:v>45866</x:v>
      </x:c>
      <x:c r="E229" t="n">
        <x:v>56</x:v>
      </x:c>
      <x:c r="F229" t="str">
        <x:v>enter_or_hold</x:v>
      </x:c>
      <x:c r="G229" t="str">
        <x:v>rebalance_trim</x:v>
      </x:c>
      <x:c r="H229" t="n">
        <x:v>2</x:v>
      </x:c>
      <x:c r="I229" t="n">
        <x:v>83.38949494508887</x:v>
      </x:c>
      <x:c r="J229" t="n">
        <x:v>10.669763176646583</x:v>
      </x:c>
      <x:c r="K229" t="n">
        <x:v>67.9800033569336</x:v>
      </x:c>
      <x:c r="L229" t="n">
        <x:v>106.7699966430664</x:v>
      </x:c>
      <x:c r="M229" t="n">
        <x:v>725.3305365661213</x:v>
      </x:c>
      <x:c r="N229" t="n">
        <x:v>1139.2105785528693</x:v>
      </x:c>
      <x:c r="O229" t="n">
        <x:v>1.7407932877586907</x:v>
      </x:c>
      <x:c r="P229" t="n">
        <x:v>2.734105388526886</x:v>
      </x:c>
      <x:c r="Q229" t="n">
        <x:v>67.9800033569336</x:v>
      </x:c>
      <x:c r="R229" t="n">
        <x:v>57.06088757081012</x:v>
      </x:c>
      <x:c r="S229" t="n">
        <x:v>57.06088757081012</x:v>
      </x:c>
      <x:c r="T229" t="n">
        <x:v>56.58088757081012</x:v>
      </x:c>
      <x:c r="U229" t="n">
        <x:f>YEAR(C229)</x:f>
        <x:v>2025</x:v>
      </x:c>
      <x:c r="V229" t="n">
        <x:f>YEAR(D229)</x:f>
        <x:v>2025</x:v>
      </x:c>
      <x:c r="W229" t="n">
        <x:f>N229-M229-O229-P229</x:f>
        <x:v>409.40514331046245</x:v>
      </x:c>
      <x:c r="X229" t="str">
        <x:f>IF(T229&gt;1,"Ganador",IF(T229&lt;0,"Perdedor","Empate"))</x:f>
        <x:v>Ganador</x:v>
      </x:c>
    </x:row>
    <x:row r="230">
      <x:c r="A230" t="str">
        <x:v>PLTR</x:v>
      </x:c>
      <x:c r="B230" t="n">
        <x:v>45807</x:v>
      </x:c>
      <x:c r="C230" t="n">
        <x:v>45810</x:v>
      </x:c>
      <x:c r="D230" t="n">
        <x:v>45866</x:v>
      </x:c>
      <x:c r="E230" t="n">
        <x:v>56</x:v>
      </x:c>
      <x:c r="F230" t="str">
        <x:v>enter_or_hold</x:v>
      </x:c>
      <x:c r="G230" t="str">
        <x:v>rebalance_trim</x:v>
      </x:c>
      <x:c r="H230" t="n">
        <x:v>2</x:v>
      </x:c>
      <x:c r="I230" t="n">
        <x:v>76.34983907604635</x:v>
      </x:c>
      <x:c r="J230" t="n">
        <x:v>8.56488304816011</x:v>
      </x:c>
      <x:c r="K230" t="n">
        <x:v>132.1749795270657</x:v>
      </x:c>
      <x:c r="L230" t="n">
        <x:v>157.8800048828125</x:v>
      </x:c>
      <x:c r="M230" t="n">
        <x:v>1132.0632415422747</x:v>
      </x:c>
      <x:c r="N230" t="n">
        <x:v>1352.2237774642363</x:v>
      </x:c>
      <x:c r="O230" t="n">
        <x:v>2.716951779701459</x:v>
      </x:c>
      <x:c r="P230" t="n">
        <x:v>3.2453370659141667</x:v>
      </x:c>
      <x:c r="Q230" t="n">
        <x:v>132.0399932861328</x:v>
      </x:c>
      <x:c r="R230" t="n">
        <x:v>19.56983710282685</x:v>
      </x:c>
      <x:c r="S230" t="n">
        <x:v>19.44772410612188</x:v>
      </x:c>
      <x:c r="T230" t="n">
        <x:v>18.967724106121878</x:v>
      </x:c>
      <x:c r="U230" t="n">
        <x:f>YEAR(C230)</x:f>
        <x:v>2025</x:v>
      </x:c>
      <x:c r="V230" t="n">
        <x:f>YEAR(D230)</x:f>
        <x:v>2025</x:v>
      </x:c>
      <x:c r="W230" t="n">
        <x:f>N230-M230-O230-P230</x:f>
        <x:v>214.19824707634598</x:v>
      </x:c>
      <x:c r="X230" t="str">
        <x:f>IF(T230&gt;1,"Ganador",IF(T230&lt;0,"Perdedor","Empate"))</x:f>
        <x:v>Ganador</x:v>
      </x:c>
    </x:row>
    <x:row r="231">
      <x:c r="A231" t="str">
        <x:v>COIN</x:v>
      </x:c>
      <x:c r="B231" t="n">
        <x:v>45835</x:v>
      </x:c>
      <x:c r="C231" t="n">
        <x:v>45838</x:v>
      </x:c>
      <x:c r="D231" t="n">
        <x:v>45902</x:v>
      </x:c>
      <x:c r="E231" t="n">
        <x:v>64</x:v>
      </x:c>
      <x:c r="F231" t="str">
        <x:v>enter_or_hold</x:v>
      </x:c>
      <x:c r="G231" t="str">
        <x:v>left_top_n</x:v>
      </x:c>
      <x:c r="H231" t="n">
        <x:v>5</x:v>
      </x:c>
      <x:c r="I231" t="n">
        <x:v>50.86723312779831</x:v>
      </x:c>
      <x:c r="J231" t="n">
        <x:v>33.40928307505366</x:v>
      </x:c>
      <x:c r="K231" t="n">
        <x:v>350.489990234375</x:v>
      </x:c>
      <x:c r="L231" t="n">
        <x:v>303.5599975585937</x:v>
      </x:c>
      <x:c r="M231" t="n">
        <x:v>11709.619298713027</x:v>
      </x:c>
      <x:c r="N231" t="n">
        <x:v>10141.721888697653</x:v>
      </x:c>
      <x:c r="O231" t="n">
        <x:v>28.103086316911263</x:v>
      </x:c>
      <x:c r="P231" t="n">
        <x:v>24.340132532874367</x:v>
      </x:c>
      <x:c r="Q231" t="n">
        <x:v>350.489990234375</x:v>
      </x:c>
      <x:c r="R231" t="n">
        <x:v>-13.389823955999114</x:v>
      </x:c>
      <x:c r="S231" t="n">
        <x:v>-13.389823955999114</x:v>
      </x:c>
      <x:c r="T231" t="n">
        <x:v>-13.869823955999115</x:v>
      </x:c>
      <x:c r="U231" t="n">
        <x:f>YEAR(C231)</x:f>
        <x:v>2025</x:v>
      </x:c>
      <x:c r="V231" t="n">
        <x:f>YEAR(D231)</x:f>
        <x:v>2025</x:v>
      </x:c>
      <x:c r="W231" t="n">
        <x:f>N231-M231-O231-P231</x:f>
        <x:v>-1620.3406288651593</x:v>
      </x:c>
      <x:c r="X231" t="str">
        <x:f>IF(T231&gt;1,"Ganador",IF(T231&lt;0,"Perdedor","Empate"))</x:f>
        <x:v>Perdedor</x:v>
      </x:c>
    </x:row>
    <x:row r="232">
      <x:c r="A232" t="str">
        <x:v>JBL</x:v>
      </x:c>
      <x:c r="B232" t="n">
        <x:v>45835</x:v>
      </x:c>
      <x:c r="C232" t="n">
        <x:v>45838</x:v>
      </x:c>
      <x:c r="D232" t="n">
        <x:v>45902</x:v>
      </x:c>
      <x:c r="E232" t="n">
        <x:v>64</x:v>
      </x:c>
      <x:c r="F232" t="str">
        <x:v>enter_or_hold</x:v>
      </x:c>
      <x:c r="G232" t="str">
        <x:v>left_top_n</x:v>
      </x:c>
      <x:c r="H232" t="n">
        <x:v>6</x:v>
      </x:c>
      <x:c r="I232" t="n">
        <x:v>50.19383519598159</x:v>
      </x:c>
      <x:c r="J232" t="n">
        <x:v>56.393831608966515</x:v>
      </x:c>
      <x:c r="K232" t="n">
        <x:v>218.21657880176258</x:v>
      </x:c>
      <x:c r="L232" t="n">
        <x:v>202.0800018310547</x:v>
      </x:c>
      <x:c r="M232" t="n">
        <x:v>12306.068999231371</x:v>
      </x:c>
      <x:c r="N232" t="n">
        <x:v>11396.065594800142</x:v>
      </x:c>
      <x:c r="O232" t="n">
        <x:v>29.53456559815529</x:v>
      </x:c>
      <x:c r="P232" t="n">
        <x:v>27.35055742752034</x:v>
      </x:c>
      <x:c r="Q232" t="n">
        <x:v>218.1000061035156</x:v>
      </x:c>
      <x:c r="R232" t="n">
        <x:v>-7.345256223815699</x:v>
      </x:c>
      <x:c r="S232" t="n">
        <x:v>-7.394752983166808</x:v>
      </x:c>
      <x:c r="T232" t="n">
        <x:v>-7.8747529831668075</x:v>
      </x:c>
      <x:c r="U232" t="n">
        <x:f>YEAR(C232)</x:f>
        <x:v>2025</x:v>
      </x:c>
      <x:c r="V232" t="n">
        <x:f>YEAR(D232)</x:f>
        <x:v>2025</x:v>
      </x:c>
      <x:c r="W232" t="n">
        <x:f>N232-M232-O232-P232</x:f>
        <x:v>-966.8885274569044</x:v>
      </x:c>
      <x:c r="X232" t="str">
        <x:f>IF(T232&gt;1,"Ganador",IF(T232&lt;0,"Perdedor","Empate"))</x:f>
        <x:v>Perdedor</x:v>
      </x:c>
    </x:row>
    <x:row r="233">
      <x:c r="A233" t="str">
        <x:v>FIX</x:v>
      </x:c>
      <x:c r="B233" t="n">
        <x:v>45863</x:v>
      </x:c>
      <x:c r="C233" t="n">
        <x:v>45866</x:v>
      </x:c>
      <x:c r="D233" t="n">
        <x:v>45902</x:v>
      </x:c>
      <x:c r="E233" t="n">
        <x:v>36</x:v>
      </x:c>
      <x:c r="F233" t="str">
        <x:v>enter_or_hold</x:v>
      </x:c>
      <x:c r="G233" t="str">
        <x:v>left_top_n</x:v>
      </x:c>
      <x:c r="H233" t="n">
        <x:v>3</x:v>
      </x:c>
      <x:c r="I233" t="n">
        <x:v>61.89333082456388</x:v>
      </x:c>
      <x:c r="J233" t="n">
        <x:v>18.247914651030893</x:v>
      </x:c>
      <x:c r="K233" t="n">
        <x:v>692.969970703125</x:v>
      </x:c>
      <x:c r="L233" t="n">
        <x:v>698.6099853515625</x:v>
      </x:c>
      <x:c r="M233" t="n">
        <x:v>12645.256881118003</x:v>
      </x:c>
      <x:c r="N233" t="n">
        <x:v>12748.175387053256</x:v>
      </x:c>
      <x:c r="O233" t="n">
        <x:v>30.348616514683204</x:v>
      </x:c>
      <x:c r="P233" t="n">
        <x:v>30.59562092892781</x:v>
      </x:c>
      <x:c r="Q233" t="n">
        <x:v>692.969970703125</x:v>
      </x:c>
      <x:c r="R233" t="n">
        <x:v>0.813890195373812</x:v>
      </x:c>
      <x:c r="S233" t="n">
        <x:v>0.813890195373812</x:v>
      </x:c>
      <x:c r="T233" t="n">
        <x:v>0.33389019537381204</x:v>
      </x:c>
      <x:c r="U233" t="n">
        <x:f>YEAR(C233)</x:f>
        <x:v>2025</x:v>
      </x:c>
      <x:c r="V233" t="n">
        <x:f>YEAR(D233)</x:f>
        <x:v>2025</x:v>
      </x:c>
      <x:c r="W233" t="n">
        <x:f>N233-M233-O233-P233</x:f>
        <x:v>41.974268491642036</x:v>
      </x:c>
      <x:c r="X233" t="str">
        <x:f>IF(T233&gt;1,"Ganador",IF(T233&lt;0,"Perdedor","Empate"))</x:f>
        <x:v>Empate</x:v>
      </x:c>
    </x:row>
    <x:row r="234">
      <x:c r="A234" t="str">
        <x:v>RCL</x:v>
      </x:c>
      <x:c r="B234" t="n">
        <x:v>45863</x:v>
      </x:c>
      <x:c r="C234" t="n">
        <x:v>45866</x:v>
      </x:c>
      <x:c r="D234" t="n">
        <x:v>45902</x:v>
      </x:c>
      <x:c r="E234" t="n">
        <x:v>36</x:v>
      </x:c>
      <x:c r="F234" t="str">
        <x:v>enter_or_hold</x:v>
      </x:c>
      <x:c r="G234" t="str">
        <x:v>left_top_n</x:v>
      </x:c>
      <x:c r="H234" t="n">
        <x:v>5</x:v>
      </x:c>
      <x:c r="I234" t="n">
        <x:v>54.33524700585202</x:v>
      </x:c>
      <x:c r="J234" t="n">
        <x:v>35.92402523044887</x:v>
      </x:c>
      <x:c r="K234" t="n">
        <x:v>352</x:v>
      </x:c>
      <x:c r="L234" t="n">
        <x:v>354.0799865722656</x:v>
      </x:c>
      <x:c r="M234" t="n">
        <x:v>12645.256881118003</x:v>
      </x:c>
      <x:c r="N234" t="n">
        <x:v>12719.978371219067</x:v>
      </x:c>
      <x:c r="O234" t="n">
        <x:v>30.348616514683204</x:v>
      </x:c>
      <x:c r="P234" t="n">
        <x:v>30.527948090925758</x:v>
      </x:c>
      <x:c r="Q234" t="n">
        <x:v>352</x:v>
      </x:c>
      <x:c r="R234" t="n">
        <x:v>0.5909052762118172</x:v>
      </x:c>
      <x:c r="S234" t="n">
        <x:v>0.5909052762118172</x:v>
      </x:c>
      <x:c r="T234" t="n">
        <x:v>0.11090527621181723</x:v>
      </x:c>
      <x:c r="U234" t="n">
        <x:f>YEAR(C234)</x:f>
        <x:v>2025</x:v>
      </x:c>
      <x:c r="V234" t="n">
        <x:f>YEAR(D234)</x:f>
        <x:v>2025</x:v>
      </x:c>
      <x:c r="W234" t="n">
        <x:f>N234-M234-O234-P234</x:f>
        <x:v>13.844925495455815</x:v>
      </x:c>
      <x:c r="X234" t="str">
        <x:f>IF(T234&gt;1,"Ganador",IF(T234&lt;0,"Perdedor","Empate"))</x:f>
        <x:v>Empate</x:v>
      </x:c>
    </x:row>
    <x:row r="235">
      <x:c r="A235" t="str">
        <x:v>HOOD</x:v>
      </x:c>
      <x:c r="B235" t="n">
        <x:v>45807</x:v>
      </x:c>
      <x:c r="C235" t="n">
        <x:v>45810</x:v>
      </x:c>
      <x:c r="D235" t="n">
        <x:v>45902</x:v>
      </x:c>
      <x:c r="E235" t="n">
        <x:v>92</x:v>
      </x:c>
      <x:c r="F235" t="str">
        <x:v>enter_or_hold</x:v>
      </x:c>
      <x:c r="G235" t="str">
        <x:v>rebalance_trim</x:v>
      </x:c>
      <x:c r="H235" t="n">
        <x:v>2</x:v>
      </x:c>
      <x:c r="I235" t="n">
        <x:v>83.38949494508887</x:v>
      </x:c>
      <x:c r="J235" t="n">
        <x:v>0.6007127869118809</x:v>
      </x:c>
      <x:c r="K235" t="n">
        <x:v>67.9800033569336</x:v>
      </x:c>
      <x:c r="L235" t="n">
        <x:v>100.83999633789062</x:v>
      </x:c>
      <x:c r="M235" t="n">
        <x:v>40.836457270822606</x:v>
      </x:c>
      <x:c r="N235" t="n">
        <x:v>60.57587523231814</x:v>
      </x:c>
      <x:c r="O235" t="n">
        <x:v>0.09800749744997424</x:v>
      </x:c>
      <x:c r="P235" t="n">
        <x:v>0.1453821005575635</x:v>
      </x:c>
      <x:c r="Q235" t="n">
        <x:v>67.9800033569336</x:v>
      </x:c>
      <x:c r="R235" t="n">
        <x:v>48.33773368386498</x:v>
      </x:c>
      <x:c r="S235" t="n">
        <x:v>48.33773368386498</x:v>
      </x:c>
      <x:c r="T235" t="n">
        <x:v>47.857733683864986</x:v>
      </x:c>
      <x:c r="U235" t="n">
        <x:f>YEAR(C235)</x:f>
        <x:v>2025</x:v>
      </x:c>
      <x:c r="V235" t="n">
        <x:f>YEAR(D235)</x:f>
        <x:v>2025</x:v>
      </x:c>
      <x:c r="W235" t="n">
        <x:f>N235-M235-O235-P235</x:f>
        <x:v>19.496028363487998</x:v>
      </x:c>
      <x:c r="X235" t="str">
        <x:f>IF(T235&gt;1,"Ganador",IF(T235&lt;0,"Perdedor","Empate"))</x:f>
        <x:v>Ganador</x:v>
      </x:c>
    </x:row>
    <x:row r="236">
      <x:c r="A236" t="str">
        <x:v>PLTR</x:v>
      </x:c>
      <x:c r="B236" t="n">
        <x:v>45807</x:v>
      </x:c>
      <x:c r="C236" t="n">
        <x:v>45810</x:v>
      </x:c>
      <x:c r="D236" t="n">
        <x:v>45902</x:v>
      </x:c>
      <x:c r="E236" t="n">
        <x:v>92</x:v>
      </x:c>
      <x:c r="F236" t="str">
        <x:v>enter_or_hold</x:v>
      </x:c>
      <x:c r="G236" t="str">
        <x:v>rebalance_trim</x:v>
      </x:c>
      <x:c r="H236" t="n">
        <x:v>2</x:v>
      </x:c>
      <x:c r="I236" t="n">
        <x:v>76.34983907604635</x:v>
      </x:c>
      <x:c r="J236" t="n">
        <x:v>4.4643020143499115</x:v>
      </x:c>
      <x:c r="K236" t="n">
        <x:v>132.1749795270657</x:v>
      </x:c>
      <x:c r="L236" t="n">
        <x:v>157.08999633789062</x:v>
      </x:c>
      <x:c r="M236" t="n">
        <x:v>590.0690273493376</x:v>
      </x:c>
      <x:c r="N236" t="n">
        <x:v>701.2971870854653</x:v>
      </x:c>
      <x:c r="O236" t="n">
        <x:v>1.41616566563841</x:v>
      </x:c>
      <x:c r="P236" t="n">
        <x:v>1.6831132490051166</x:v>
      </x:c>
      <x:c r="Q236" t="n">
        <x:v>132.0399932861328</x:v>
      </x:c>
      <x:c r="R236" t="n">
        <x:v>18.971527056559335</x:v>
      </x:c>
      <x:c r="S236" t="n">
        <x:v>18.8500250955008</x:v>
      </x:c>
      <x:c r="T236" t="n">
        <x:v>18.3700250955008</x:v>
      </x:c>
      <x:c r="U236" t="n">
        <x:f>YEAR(C236)</x:f>
        <x:v>2025</x:v>
      </x:c>
      <x:c r="V236" t="n">
        <x:f>YEAR(D236)</x:f>
        <x:v>2025</x:v>
      </x:c>
      <x:c r="W236" t="n">
        <x:f>N236-M236-O236-P236</x:f>
        <x:v>108.1288808214842</x:v>
      </x:c>
      <x:c r="X236" t="str">
        <x:f>IF(T236&gt;1,"Ganador",IF(T236&lt;0,"Perdedor","Empate"))</x:f>
        <x:v>Ganador</x:v>
      </x:c>
    </x:row>
    <x:row r="237">
      <x:c r="A237" t="str">
        <x:v>PLTR</x:v>
      </x:c>
      <x:c r="B237" t="n">
        <x:v>45807</x:v>
      </x:c>
      <x:c r="C237" t="n">
        <x:v>45810</x:v>
      </x:c>
      <x:c r="D237" t="n">
        <x:v>45929</x:v>
      </x:c>
      <x:c r="E237" t="n">
        <x:v>119</x:v>
      </x:c>
      <x:c r="F237" t="str">
        <x:v>enter_or_hold</x:v>
      </x:c>
      <x:c r="G237" t="str">
        <x:v>left_top_n</x:v>
      </x:c>
      <x:c r="H237" t="n">
        <x:v>2</x:v>
      </x:c>
      <x:c r="I237" t="n">
        <x:v>76.34983907604635</x:v>
      </x:c>
      <x:c r="J237" t="n">
        <x:v>75.84028448031276</x:v>
      </x:c>
      <x:c r="K237" t="n">
        <x:v>132.1749795270657</x:v>
      </x:c>
      <x:c r="L237" t="n">
        <x:v>178.86000061035156</x:v>
      </x:c>
      <x:c r="M237" t="n">
        <x:v>10024.188048512176</x:v>
      </x:c>
      <x:c r="N237" t="n">
        <x:v>13564.793328437976</x:v>
      </x:c>
      <x:c r="O237" t="n">
        <x:v>24.05805131642922</x:v>
      </x:c>
      <x:c r="P237" t="n">
        <x:v>32.55550398825114</x:v>
      </x:c>
      <x:c r="Q237" t="n">
        <x:v>132.0399932861328</x:v>
      </x:c>
      <x:c r="R237" t="n">
        <x:v>35.45895918273718</x:v>
      </x:c>
      <x:c r="S237" t="n">
        <x:v>35.32061911439608</x:v>
      </x:c>
      <x:c r="T237" t="n">
        <x:v>34.840619114396084</x:v>
      </x:c>
      <x:c r="U237" t="n">
        <x:f>YEAR(C237)</x:f>
        <x:v>2025</x:v>
      </x:c>
      <x:c r="V237" t="n">
        <x:f>YEAR(D237)</x:f>
        <x:v>2025</x:v>
      </x:c>
      <x:c r="W237" t="n">
        <x:f>N237-M237-O237-P237</x:f>
        <x:v>3483.9917246211194</x:v>
      </x:c>
      <x:c r="X237" t="str">
        <x:f>IF(T237&gt;1,"Ganador",IF(T237&lt;0,"Perdedor","Empate"))</x:f>
        <x:v>Ganador</x:v>
      </x:c>
    </x:row>
    <x:row r="238">
      <x:c r="A238" t="str">
        <x:v>APP</x:v>
      </x:c>
      <x:c r="B238" t="n">
        <x:v>45898</x:v>
      </x:c>
      <x:c r="C238" t="n">
        <x:v>45902</x:v>
      </x:c>
      <x:c r="D238" t="n">
        <x:v>45929</x:v>
      </x:c>
      <x:c r="E238" t="n">
        <x:v>27</x:v>
      </x:c>
      <x:c r="F238" t="str">
        <x:v>enter_or_hold</x:v>
      </x:c>
      <x:c r="G238" t="str">
        <x:v>rebalance_trim</x:v>
      </x:c>
      <x:c r="H238" t="n">
        <x:v>5</x:v>
      </x:c>
      <x:c r="I238" t="n">
        <x:v>54.07247449606185</x:v>
      </x:c>
      <x:c r="J238" t="n">
        <x:v>3.3275062192756097</x:v>
      </x:c>
      <x:c r="K238" t="n">
        <x:v>481.7300109863281</x:v>
      </x:c>
      <x:c r="L238" t="n">
        <x:v>712.3599853515625</x:v>
      </x:c>
      <x:c r="M238" t="n">
        <x:v>1602.9596075687148</x:v>
      </x:c>
      <x:c r="N238" t="n">
        <x:v>2370.3822816204065</x:v>
      </x:c>
      <x:c r="O238" t="n">
        <x:v>3.847103058164915</x:v>
      </x:c>
      <x:c r="P238" t="n">
        <x:v>5.688917475888975</x:v>
      </x:c>
      <x:c r="Q238" t="n">
        <x:v>481.7300109863281</x:v>
      </x:c>
      <x:c r="R238" t="n">
        <x:v>47.8753594556059</x:v>
      </x:c>
      <x:c r="S238" t="n">
        <x:v>47.8753594556059</x:v>
      </x:c>
      <x:c r="T238" t="n">
        <x:v>47.395359455605906</x:v>
      </x:c>
      <x:c r="U238" t="n">
        <x:f>YEAR(C238)</x:f>
        <x:v>2025</x:v>
      </x:c>
      <x:c r="V238" t="n">
        <x:f>YEAR(D238)</x:f>
        <x:v>2025</x:v>
      </x:c>
      <x:c r="W238" t="n">
        <x:f>N238-M238-O238-P238</x:f>
        <x:v>757.8866535176379</x:v>
      </x:c>
      <x:c r="X238" t="str">
        <x:f>IF(T238&gt;1,"Ganador",IF(T238&lt;0,"Perdedor","Empate"))</x:f>
        <x:v>Ganador</x:v>
      </x:c>
    </x:row>
    <x:row r="239">
      <x:c r="A239" t="str">
        <x:v>HOOD</x:v>
      </x:c>
      <x:c r="B239" t="n">
        <x:v>45807</x:v>
      </x:c>
      <x:c r="C239" t="n">
        <x:v>45810</x:v>
      </x:c>
      <x:c r="D239" t="n">
        <x:v>45929</x:v>
      </x:c>
      <x:c r="E239" t="n">
        <x:v>119</x:v>
      </x:c>
      <x:c r="F239" t="str">
        <x:v>enter_or_hold</x:v>
      </x:c>
      <x:c r="G239" t="str">
        <x:v>rebalance_trim</x:v>
      </x:c>
      <x:c r="H239" t="n">
        <x:v>2</x:v>
      </x:c>
      <x:c r="I239" t="n">
        <x:v>83.38949494508887</x:v>
      </x:c>
      <x:c r="J239" t="n">
        <x:v>6.9377779834136595</x:v>
      </x:c>
      <x:c r="K239" t="n">
        <x:v>67.9800033569336</x:v>
      </x:c>
      <x:c r="L239" t="n">
        <x:v>136.72000122070312</x:v>
      </x:c>
      <x:c r="M239" t="n">
        <x:v>471.6301706021206</x:v>
      </x:c>
      <x:c r="N239" t="n">
        <x:v>948.5330143612828</x:v>
      </x:c>
      <x:c r="O239" t="n">
        <x:v>1.1319124094450892</x:v>
      </x:c>
      <x:c r="P239" t="n">
        <x:v>2.2764792344670783</x:v>
      </x:c>
      <x:c r="Q239" t="n">
        <x:v>67.9800033569336</x:v>
      </x:c>
      <x:c r="R239" t="n">
        <x:v>101.11796773949177</x:v>
      </x:c>
      <x:c r="S239" t="n">
        <x:v>101.11796773949177</x:v>
      </x:c>
      <x:c r="T239" t="n">
        <x:v>100.63796773949177</x:v>
      </x:c>
      <x:c r="U239" t="n">
        <x:f>YEAR(C239)</x:f>
        <x:v>2025</x:v>
      </x:c>
      <x:c r="V239" t="n">
        <x:f>YEAR(D239)</x:f>
        <x:v>2025</x:v>
      </x:c>
      <x:c r="W239" t="n">
        <x:f>N239-M239-O239-P239</x:f>
        <x:v>473.49445211525</x:v>
      </x:c>
      <x:c r="X239" t="str">
        <x:f>IF(T239&gt;1,"Ganador",IF(T239&lt;0,"Perdedor","Empate"))</x:f>
        <x:v>Ganador</x:v>
      </x:c>
    </x:row>
    <x:row r="240">
      <x:c r="A240" t="str">
        <x:v>STX</x:v>
      </x:c>
      <x:c r="B240" t="n">
        <x:v>45898</x:v>
      </x:c>
      <x:c r="C240" t="n">
        <x:v>45902</x:v>
      </x:c>
      <x:c r="D240" t="n">
        <x:v>45929</x:v>
      </x:c>
      <x:c r="E240" t="n">
        <x:v>27</x:v>
      </x:c>
      <x:c r="F240" t="str">
        <x:v>enter_or_hold</x:v>
      </x:c>
      <x:c r="G240" t="str">
        <x:v>rebalance_trim</x:v>
      </x:c>
      <x:c r="H240" t="n">
        <x:v>6</x:v>
      </x:c>
      <x:c r="I240" t="n">
        <x:v>53.30209706596412</x:v>
      </x:c>
      <x:c r="J240" t="n">
        <x:v>3.3517952945565055</x:v>
      </x:c>
      <x:c r="K240" t="n">
        <x:v>170.5</x:v>
      </x:c>
      <x:c r="L240" t="n">
        <x:v>229.13999938964844</x:v>
      </x:c>
      <x:c r="M240" t="n">
        <x:v>571.4810977218842</x:v>
      </x:c>
      <x:c r="N240" t="n">
        <x:v>768.0303717489041</x:v>
      </x:c>
      <x:c r="O240" t="n">
        <x:v>1.371554634532522</x:v>
      </x:c>
      <x:c r="P240" t="n">
        <x:v>1.8432728921973698</x:v>
      </x:c>
      <x:c r="Q240" t="n">
        <x:v>170.5</x:v>
      </x:c>
      <x:c r="R240" t="n">
        <x:v>34.39296151885538</x:v>
      </x:c>
      <x:c r="S240" t="n">
        <x:v>34.39296151885538</x:v>
      </x:c>
      <x:c r="T240" t="n">
        <x:v>33.91296151885538</x:v>
      </x:c>
      <x:c r="U240" t="n">
        <x:f>YEAR(C240)</x:f>
        <x:v>2025</x:v>
      </x:c>
      <x:c r="V240" t="n">
        <x:f>YEAR(D240)</x:f>
        <x:v>2025</x:v>
      </x:c>
      <x:c r="W240" t="n">
        <x:f>N240-M240-O240-P240</x:f>
        <x:v>193.33444650029003</x:v>
      </x:c>
      <x:c r="X240" t="str">
        <x:f>IF(T240&gt;1,"Ganador",IF(T240&lt;0,"Perdedor","Empate"))</x:f>
        <x:v>Ganador</x:v>
      </x:c>
    </x:row>
    <x:row r="241">
      <x:c r="A241" t="str">
        <x:v>APP</x:v>
      </x:c>
      <x:c r="B241" t="n">
        <x:v>45898</x:v>
      </x:c>
      <x:c r="C241" t="n">
        <x:v>45902</x:v>
      </x:c>
      <x:c r="D241" t="n">
        <x:v>45964</x:v>
      </x:c>
      <x:c r="E241" t="n">
        <x:v>62</x:v>
      </x:c>
      <x:c r="F241" t="str">
        <x:v>enter_or_hold</x:v>
      </x:c>
      <x:c r="G241" t="str">
        <x:v>left_top_n</x:v>
      </x:c>
      <x:c r="H241" t="n">
        <x:v>5</x:v>
      </x:c>
      <x:c r="I241" t="n">
        <x:v>54.07247449606185</x:v>
      </x:c>
      <x:c r="J241" t="n">
        <x:v>21.343511092782506</x:v>
      </x:c>
      <x:c r="K241" t="n">
        <x:v>481.7300109863281</x:v>
      </x:c>
      <x:c r="L241" t="n">
        <x:v>632.1400146484375</x:v>
      </x:c>
      <x:c r="M241" t="n">
        <x:v>10281.809833212932</x:v>
      </x:c>
      <x:c r="N241" t="n">
        <x:v>13492.087414840622</x:v>
      </x:c>
      <x:c r="O241" t="n">
        <x:v>24.676343599711036</x:v>
      </x:c>
      <x:c r="P241" t="n">
        <x:v>32.38100979561749</x:v>
      </x:c>
      <x:c r="Q241" t="n">
        <x:v>481.7300109863281</x:v>
      </x:c>
      <x:c r="R241" t="n">
        <x:v>31.222884236369097</x:v>
      </x:c>
      <x:c r="S241" t="n">
        <x:v>31.222884236369097</x:v>
      </x:c>
      <x:c r="T241" t="n">
        <x:v>30.742884236369097</x:v>
      </x:c>
      <x:c r="U241" t="n">
        <x:f>YEAR(C241)</x:f>
        <x:v>2025</x:v>
      </x:c>
      <x:c r="V241" t="n">
        <x:f>YEAR(D241)</x:f>
        <x:v>2025</x:v>
      </x:c>
      <x:c r="W241" t="n">
        <x:f>N241-M241-O241-P241</x:f>
        <x:v>3153.2202282323615</x:v>
      </x:c>
      <x:c r="X241" t="str">
        <x:f>IF(T241&gt;1,"Ganador",IF(T241&lt;0,"Perdedor","Empate"))</x:f>
        <x:v>Ganador</x:v>
      </x:c>
    </x:row>
    <x:row r="242">
      <x:c r="A242" t="str">
        <x:v>WBD</x:v>
      </x:c>
      <x:c r="B242" t="n">
        <x:v>45926</x:v>
      </x:c>
      <x:c r="C242" t="n">
        <x:v>45929</x:v>
      </x:c>
      <x:c r="D242" t="n">
        <x:v>45964</x:v>
      </x:c>
      <x:c r="E242" t="n">
        <x:v>35</x:v>
      </x:c>
      <x:c r="F242" t="str">
        <x:v>enter_or_hold</x:v>
      </x:c>
      <x:c r="G242" t="str">
        <x:v>left_top_n</x:v>
      </x:c>
      <x:c r="H242" t="n">
        <x:v>6</x:v>
      </x:c>
      <x:c r="I242" t="n">
        <x:v>82.45450292452566</x:v>
      </x:c>
      <x:c r="J242" t="n">
        <x:v>803.9239821860809</x:v>
      </x:c>
      <x:c r="K242" t="n">
        <x:v>18.86000061035156</x:v>
      </x:c>
      <x:c r="L242" t="n">
        <x:v>22.290000915527344</x:v>
      </x:c>
      <x:c r="M242" t="n">
        <x:v>15162.006794705741</x:v>
      </x:c>
      <x:c r="N242" t="n">
        <x:v>17919.46629894213</x:v>
      </x:c>
      <x:c r="O242" t="n">
        <x:v>36.38881630729377</x:v>
      </x:c>
      <x:c r="P242" t="n">
        <x:v>43.00671911746111</x:v>
      </x:c>
      <x:c r="Q242" t="n">
        <x:v>18.86000061035156</x:v>
      </x:c>
      <x:c r="R242" t="n">
        <x:v>18.186639417674154</x:v>
      </x:c>
      <x:c r="S242" t="n">
        <x:v>18.186639417674154</x:v>
      </x:c>
      <x:c r="T242" t="n">
        <x:v>17.706639417674154</x:v>
      </x:c>
      <x:c r="U242" t="n">
        <x:f>YEAR(C242)</x:f>
        <x:v>2025</x:v>
      </x:c>
      <x:c r="V242" t="n">
        <x:f>YEAR(D242)</x:f>
        <x:v>2025</x:v>
      </x:c>
      <x:c r="W242" t="n">
        <x:f>N242-M242-O242-P242</x:f>
        <x:v>2678.063968811634</x:v>
      </x:c>
      <x:c r="X242" t="str">
        <x:f>IF(T242&gt;1,"Ganador",IF(T242&lt;0,"Perdedor","Empate"))</x:f>
        <x:v>Ganador</x:v>
      </x:c>
    </x:row>
    <x:row r="243">
      <x:c r="A243" t="str">
        <x:v>LITE</x:v>
      </x:c>
      <x:c r="B243" t="n">
        <x:v>45898</x:v>
      </x:c>
      <x:c r="C243" t="n">
        <x:v>45902</x:v>
      </x:c>
      <x:c r="D243" t="n">
        <x:v>45964</x:v>
      </x:c>
      <x:c r="E243" t="n">
        <x:v>62</x:v>
      </x:c>
      <x:c r="F243" t="str">
        <x:v>enter_or_hold</x:v>
      </x:c>
      <x:c r="G243" t="str">
        <x:v>rebalance_trim</x:v>
      </x:c>
      <x:c r="H243" t="n">
        <x:v>5</x:v>
      </x:c>
      <x:c r="I243" t="n">
        <x:v>82.47645407188307</x:v>
      </x:c>
      <x:c r="J243" t="n">
        <x:v>10.385519626503093</x:v>
      </x:c>
      <x:c r="K243" t="n">
        <x:v>133.7878558479855</x:v>
      </x:c>
      <x:c r="L243" t="n">
        <x:v>199.5800018310547</x:v>
      </x:c>
      <x:c r="M243" t="n">
        <x:v>1389.45640269702</x:v>
      </x:c>
      <x:c r="N243" t="n">
        <x:v>2072.742026073942</x:v>
      </x:c>
      <x:c r="O243" t="n">
        <x:v>3.334695366472847</x:v>
      </x:c>
      <x:c r="P243" t="n">
        <x:v>4.97458086257746</x:v>
      </x:c>
      <x:c r="Q243" t="n">
        <x:v>132.55499267578125</x:v>
      </x:c>
      <x:c r="R243" t="n">
        <x:v>50.5639265653397</x:v>
      </x:c>
      <x:c r="S243" t="n">
        <x:v>49.17647088822812</x:v>
      </x:c>
      <x:c r="T243" t="n">
        <x:v>48.69647088822812</x:v>
      </x:c>
      <x:c r="U243" t="n">
        <x:f>YEAR(C243)</x:f>
        <x:v>2025</x:v>
      </x:c>
      <x:c r="V243" t="n">
        <x:f>YEAR(D243)</x:f>
        <x:v>2025</x:v>
      </x:c>
      <x:c r="W243" t="n">
        <x:f>N243-M243-O243-P243</x:f>
        <x:v>674.9763471478716</x:v>
      </x:c>
      <x:c r="X243" t="str">
        <x:f>IF(T243&gt;1,"Ganador",IF(T243&lt;0,"Perdedor","Empate"))</x:f>
        <x:v>Ganador</x:v>
      </x:c>
    </x:row>
    <x:row r="244">
      <x:c r="A244" t="str">
        <x:v>STX</x:v>
      </x:c>
      <x:c r="B244" t="n">
        <x:v>45898</x:v>
      </x:c>
      <x:c r="C244" t="n">
        <x:v>45902</x:v>
      </x:c>
      <x:c r="D244" t="n">
        <x:v>45964</x:v>
      </x:c>
      <x:c r="E244" t="n">
        <x:v>62</x:v>
      </x:c>
      <x:c r="F244" t="str">
        <x:v>enter_or_hold</x:v>
      </x:c>
      <x:c r="G244" t="str">
        <x:v>rebalance_trim</x:v>
      </x:c>
      <x:c r="H244" t="n">
        <x:v>6</x:v>
      </x:c>
      <x:c r="I244" t="n">
        <x:v>53.30209706596412</x:v>
      </x:c>
      <x:c r="J244" t="n">
        <x:v>3.888326750581757</x:v>
      </x:c>
      <x:c r="K244" t="n">
        <x:v>170.5</x:v>
      </x:c>
      <x:c r="L244" t="n">
        <x:v>265.54998779296875</x:v>
      </x:c>
      <x:c r="M244" t="n">
        <x:v>662.9597109741896</x:v>
      </x:c>
      <x:c r="N244" t="n">
        <x:v>1032.5451211520594</x:v>
      </x:c>
      <x:c r="O244" t="n">
        <x:v>1.591103306338055</x:v>
      </x:c>
      <x:c r="P244" t="n">
        <x:v>2.4781082907649425</x:v>
      </x:c>
      <x:c r="Q244" t="n">
        <x:v>170.5</x:v>
      </x:c>
      <x:c r="R244" t="n">
        <x:v>55.747793426961145</x:v>
      </x:c>
      <x:c r="S244" t="n">
        <x:v>55.747793426961145</x:v>
      </x:c>
      <x:c r="T244" t="n">
        <x:v>55.26779342696115</x:v>
      </x:c>
      <x:c r="U244" t="n">
        <x:f>YEAR(C244)</x:f>
        <x:v>2025</x:v>
      </x:c>
      <x:c r="V244" t="n">
        <x:f>YEAR(D244)</x:f>
        <x:v>2025</x:v>
      </x:c>
      <x:c r="W244" t="n">
        <x:f>N244-M244-O244-P244</x:f>
        <x:v>365.5161985807668</x:v>
      </x:c>
      <x:c r="X244" t="str">
        <x:f>IF(T244&gt;1,"Ganador",IF(T244&lt;0,"Perdedor","Empate"))</x:f>
        <x:v>Ganador</x:v>
      </x:c>
    </x:row>
    <x:row r="245">
      <x:c r="A245" t="str">
        <x:v>HOOD</x:v>
      </x:c>
      <x:c r="B245" t="n">
        <x:v>45807</x:v>
      </x:c>
      <x:c r="C245" t="n">
        <x:v>45810</x:v>
      </x:c>
      <x:c r="D245" t="n">
        <x:v>45992</x:v>
      </x:c>
      <x:c r="E245" t="n">
        <x:v>182</x:v>
      </x:c>
      <x:c r="F245" t="str">
        <x:v>enter_or_hold</x:v>
      </x:c>
      <x:c r="G245" t="str">
        <x:v>left_top_n</x:v>
      </x:c>
      <x:c r="H245" t="n">
        <x:v>4</x:v>
      </x:c>
      <x:c r="I245" t="n">
        <x:v>100.32019416720873</x:v>
      </x:c>
      <x:c r="J245" t="n">
        <x:v>112.76748837157713</x:v>
      </x:c>
      <x:c r="K245" t="n">
        <x:v>69.07438160089654</x:v>
      </x:c>
      <x:c r="L245" t="n">
        <x:v>123.23999786376952</x:v>
      </x:c>
      <x:c r="M245" t="n">
        <x:v>7789.344523952983</x:v>
      </x:c>
      <x:c r="N245" t="n">
        <x:v>13897.46502601582</x:v>
      </x:c>
      <x:c r="O245" t="n">
        <x:v>18.694426857487155</x:v>
      </x:c>
      <x:c r="P245" t="n">
        <x:v>33.35391606243797</x:v>
      </x:c>
      <x:c r="Q245" t="n">
        <x:v>67.9800033569336</x:v>
      </x:c>
      <x:c r="R245" t="n">
        <x:v>81.28860220363568</x:v>
      </x:c>
      <x:c r="S245" t="n">
        <x:v>78.41636075127734</x:v>
      </x:c>
      <x:c r="T245" t="n">
        <x:v>77.93636075127733</x:v>
      </x:c>
      <x:c r="U245" t="n">
        <x:f>YEAR(C245)</x:f>
        <x:v>2025</x:v>
      </x:c>
      <x:c r="V245" t="n">
        <x:f>YEAR(D245)</x:f>
        <x:v>2025</x:v>
      </x:c>
      <x:c r="W245" t="n">
        <x:f>N245-M245-O245-P245</x:f>
        <x:v>6056.072159142912</x:v>
      </x:c>
      <x:c r="X245" t="str">
        <x:f>IF(T245&gt;1,"Ganador",IF(T245&lt;0,"Perdedor","Empate"))</x:f>
        <x:v>Ganador</x:v>
      </x:c>
    </x:row>
    <x:row r="246">
      <x:c r="A246" t="str">
        <x:v>LITE</x:v>
      </x:c>
      <x:c r="B246" t="n">
        <x:v>45898</x:v>
      </x:c>
      <x:c r="C246" t="n">
        <x:v>45902</x:v>
      </x:c>
      <x:c r="D246" t="n">
        <x:v>45992</x:v>
      </x:c>
      <x:c r="E246" t="n">
        <x:v>90</x:v>
      </x:c>
      <x:c r="F246" t="str">
        <x:v>enter_or_hold</x:v>
      </x:c>
      <x:c r="G246" t="str">
        <x:v>rebalance_trim</x:v>
      </x:c>
      <x:c r="H246" t="n">
        <x:v>5</x:v>
      </x:c>
      <x:c r="I246" t="n">
        <x:v>82.47645407188307</x:v>
      </x:c>
      <x:c r="J246" t="n">
        <x:v>26.648045350652744</x:v>
      </x:c>
      <x:c r="K246" t="n">
        <x:v>133.7878558479855</x:v>
      </x:c>
      <x:c r="L246" t="n">
        <x:v>317.92999267578125</x:v>
      </x:c>
      <x:c r="M246" t="n">
        <x:v>3565.184850003709</x:v>
      </x:c>
      <x:c r="N246" t="n">
        <x:v>8472.212863156914</x:v>
      </x:c>
      <x:c r="O246" t="n">
        <x:v>8.5564436400089</x:v>
      </x:c>
      <x:c r="P246" t="n">
        <x:v>20.333310871576593</x:v>
      </x:c>
      <x:c r="Q246" t="n">
        <x:v>132.55499267578125</x:v>
      </x:c>
      <x:c r="R246" t="n">
        <x:v>139.84761815302738</x:v>
      </x:c>
      <x:c r="S246" t="n">
        <x:v>137.63740786534808</x:v>
      </x:c>
      <x:c r="T246" t="n">
        <x:v>137.1574078653481</x:v>
      </x:c>
      <x:c r="U246" t="n">
        <x:f>YEAR(C246)</x:f>
        <x:v>2025</x:v>
      </x:c>
      <x:c r="V246" t="n">
        <x:f>YEAR(D246)</x:f>
        <x:v>2025</x:v>
      </x:c>
      <x:c r="W246" t="n">
        <x:f>N246-M246-O246-P246</x:f>
        <x:v>4878.138258641619</x:v>
      </x:c>
      <x:c r="X246" t="str">
        <x:f>IF(T246&gt;1,"Ganador",IF(T246&lt;0,"Perdedor","Empate"))</x:f>
        <x:v>Ganador</x:v>
      </x:c>
    </x:row>
    <x:row r="247">
      <x:c r="A247" t="str">
        <x:v>STX</x:v>
      </x:c>
      <x:c r="B247" t="n">
        <x:v>45898</x:v>
      </x:c>
      <x:c r="C247" t="n">
        <x:v>45902</x:v>
      </x:c>
      <x:c r="D247" t="n">
        <x:v>46020</x:v>
      </x:c>
      <x:c r="E247" t="n">
        <x:v>118</x:v>
      </x:c>
      <x:c r="F247" t="str">
        <x:v>enter_or_hold</x:v>
      </x:c>
      <x:c r="G247" t="str">
        <x:v>left_top_n</x:v>
      </x:c>
      <x:c r="H247" t="n">
        <x:v>3</x:v>
      </x:c>
      <x:c r="I247" t="n">
        <x:v>94.74661785264112</x:v>
      </x:c>
      <x:c r="J247" t="n">
        <x:v>66.4409758274764</x:v>
      </x:c>
      <x:c r="K247" t="n">
        <x:v>176.45988037557925</x:v>
      </x:c>
      <x:c r="L247" t="n">
        <x:v>281.29998779296875</x:v>
      </x:c>
      <x:c r="M247" t="n">
        <x:v>11724.166646553238</x:v>
      </x:c>
      <x:c r="N247" t="n">
        <x:v>18689.845689222042</x:v>
      </x:c>
      <x:c r="O247" t="n">
        <x:v>28.137999951727767</x:v>
      </x:c>
      <x:c r="P247" t="n">
        <x:v>44.8556296541329</x:v>
      </x:c>
      <x:c r="Q247" t="n">
        <x:v>170.5</x:v>
      </x:c>
      <x:c r="R247" t="n">
        <x:v>64.98533008385263</x:v>
      </x:c>
      <x:c r="S247" t="n">
        <x:v>59.41299925753469</x:v>
      </x:c>
      <x:c r="T247" t="n">
        <x:v>58.932999257534696</x:v>
      </x:c>
      <x:c r="U247" t="n">
        <x:f>YEAR(C247)</x:f>
        <x:v>2025</x:v>
      </x:c>
      <x:c r="V247" t="n">
        <x:f>YEAR(D247)</x:f>
        <x:v>2025</x:v>
      </x:c>
      <x:c r="W247" t="n">
        <x:f>N247-M247-O247-P247</x:f>
        <x:v>6892.685413062944</x:v>
      </x:c>
      <x:c r="X247" t="str">
        <x:f>IF(T247&gt;1,"Ganador",IF(T247&lt;0,"Perdedor","Empate"))</x:f>
        <x:v>Ganador</x:v>
      </x:c>
    </x:row>
    <x:row r="248">
      <x:c r="A248" t="str">
        <x:v>MU</x:v>
      </x:c>
      <x:c r="B248" t="n">
        <x:v>45961</x:v>
      </x:c>
      <x:c r="C248" t="n">
        <x:v>45964</x:v>
      </x:c>
      <x:c r="D248" t="n">
        <x:v>46020</x:v>
      </x:c>
      <x:c r="E248" t="n">
        <x:v>56</x:v>
      </x:c>
      <x:c r="F248" t="str">
        <x:v>enter_or_hold</x:v>
      </x:c>
      <x:c r="G248" t="str">
        <x:v>rebalance_trim</x:v>
      </x:c>
      <x:c r="H248" t="n">
        <x:v>5</x:v>
      </x:c>
      <x:c r="I248" t="n">
        <x:v>90.75730392425363</x:v>
      </x:c>
      <x:c r="J248" t="n">
        <x:v>0.3048689291919242</x:v>
      </x:c>
      <x:c r="K248" t="n">
        <x:v>235.0191475430624</x:v>
      </x:c>
      <x:c r="L248" t="n">
        <x:v>294.3699951171875</x:v>
      </x:c>
      <x:c r="M248" t="n">
        <x:v>71.65003585105228</x:v>
      </x:c>
      <x:c r="N248" t="n">
        <x:v>89.74426519760891</x:v>
      </x:c>
      <x:c r="O248" t="n">
        <x:v>0.1719600860425254</x:v>
      </x:c>
      <x:c r="P248" t="n">
        <x:v>0.21538623647426136</x:v>
      </x:c>
      <x:c r="Q248" t="n">
        <x:v>234.6999969482422</x:v>
      </x:c>
      <x:c r="R248" t="n">
        <x:v>25.42394501270666</x:v>
      </x:c>
      <x:c r="S248" t="n">
        <x:v>25.2536221812524</x:v>
      </x:c>
      <x:c r="T248" t="n">
        <x:v>24.7736221812524</x:v>
      </x:c>
      <x:c r="U248" t="n">
        <x:f>YEAR(C248)</x:f>
        <x:v>2025</x:v>
      </x:c>
      <x:c r="V248" t="n">
        <x:f>YEAR(D248)</x:f>
        <x:v>2025</x:v>
      </x:c>
      <x:c r="W248" t="n">
        <x:f>N248-M248-O248-P248</x:f>
        <x:v>17.706883024039843</x:v>
      </x:c>
      <x:c r="X248" t="str">
        <x:f>IF(T248&gt;1,"Ganador",IF(T248&lt;0,"Perdedor","Empate"))</x:f>
        <x:v>Ganador</x:v>
      </x:c>
    </x:row>
    <x:row r="249">
      <x:c r="A249" t="str">
        <x:v>SATS</x:v>
      </x:c>
      <x:c r="B249" t="n">
        <x:v>45898</x:v>
      </x:c>
      <x:c r="C249" t="n">
        <x:v>45902</x:v>
      </x:c>
      <x:c r="D249" t="n">
        <x:v>46020</x:v>
      </x:c>
      <x:c r="E249" t="n">
        <x:v>118</x:v>
      </x:c>
      <x:c r="F249" t="str">
        <x:v>enter_or_hold</x:v>
      </x:c>
      <x:c r="G249" t="str">
        <x:v>rebalance_trim</x:v>
      </x:c>
      <x:c r="H249" t="n">
        <x:v>4</x:v>
      </x:c>
      <x:c r="I249" t="n">
        <x:v>93.55900531019827</x:v>
      </x:c>
      <x:c r="J249" t="n">
        <x:v>44.241399532345085</x:v>
      </x:c>
      <x:c r="K249" t="n">
        <x:v>67.44475223643518</x:v>
      </x:c>
      <x:c r="L249" t="n">
        <x:v>108.5500030517578</x:v>
      </x:c>
      <x:c r="M249" t="n">
        <x:v>2983.8502300521536</x:v>
      </x:c>
      <x:c r="N249" t="n">
        <x:v>4802.404054250095</x:v>
      </x:c>
      <x:c r="O249" t="n">
        <x:v>7.161240552125168</x:v>
      </x:c>
      <x:c r="P249" t="n">
        <x:v>11.525769730200228</x:v>
      </x:c>
      <x:c r="Q249" t="n">
        <x:v>65.23999786376953</x:v>
      </x:c>
      <x:c r="R249" t="n">
        <x:v>66.38566309953866</x:v>
      </x:c>
      <x:c r="S249" t="n">
        <x:v>60.94655173648431</x:v>
      </x:c>
      <x:c r="T249" t="n">
        <x:v>60.46655173648431</x:v>
      </x:c>
      <x:c r="U249" t="n">
        <x:f>YEAR(C249)</x:f>
        <x:v>2025</x:v>
      </x:c>
      <x:c r="V249" t="n">
        <x:f>YEAR(D249)</x:f>
        <x:v>2025</x:v>
      </x:c>
      <x:c r="W249" t="n">
        <x:f>N249-M249-O249-P249</x:f>
        <x:v>1799.8668139156161</x:v>
      </x:c>
      <x:c r="X249" t="str">
        <x:f>IF(T249&gt;1,"Ganador",IF(T249&lt;0,"Perdedor","Empate"))</x:f>
        <x:v>Ganador</x:v>
      </x:c>
    </x:row>
    <x:row r="250">
      <x:c r="A250" t="str">
        <x:v>WBD</x:v>
      </x:c>
      <x:c r="B250" t="n">
        <x:v>45989</x:v>
      </x:c>
      <x:c r="C250" t="n">
        <x:v>45992</x:v>
      </x:c>
      <x:c r="D250" t="n">
        <x:v>46055</x:v>
      </x:c>
      <x:c r="E250" t="n">
        <x:v>63</x:v>
      </x:c>
      <x:c r="F250" t="str">
        <x:v>enter_or_hold</x:v>
      </x:c>
      <x:c r="G250" t="str">
        <x:v>left_top_n</x:v>
      </x:c>
      <x:c r="H250" t="n">
        <x:v>5</x:v>
      </x:c>
      <x:c r="I250" t="n">
        <x:v>103.07816959561214</x:v>
      </x:c>
      <x:c r="J250" t="n">
        <x:v>759.8773073155749</x:v>
      </x:c>
      <x:c r="K250" t="n">
        <x:v>23.933884242991457</x:v>
      </x:c>
      <x:c r="L250" t="n">
        <x:v>27.520000457763672</x:v>
      </x:c>
      <x:c r="M250" t="n">
        <x:v>18186.815512167013</x:v>
      </x:c>
      <x:c r="N250" t="n">
        <x:v>20911.823845168845</x:v>
      </x:c>
      <x:c r="O250" t="n">
        <x:v>43.648357229200826</x:v>
      </x:c>
      <x:c r="P250" t="n">
        <x:v>50.18837722840522</x:v>
      </x:c>
      <x:c r="Q250" t="n">
        <x:v>23.8700008392334</x:v>
      </x:c>
      <x:c r="R250" t="n">
        <x:v>15.291158316722942</x:v>
      </x:c>
      <x:c r="S250" t="n">
        <x:v>14.983427588951992</x:v>
      </x:c>
      <x:c r="T250" t="n">
        <x:v>14.503427588951991</x:v>
      </x:c>
      <x:c r="U250" t="n">
        <x:f>YEAR(C250)</x:f>
        <x:v>2025</x:v>
      </x:c>
      <x:c r="V250" t="n">
        <x:f>YEAR(D250)</x:f>
        <x:v>2026</x:v>
      </x:c>
      <x:c r="W250" t="n">
        <x:f>N250-M250-O250-P250</x:f>
        <x:v>2631.171598544225</x:v>
      </x:c>
      <x:c r="X250" t="str">
        <x:f>IF(T250&gt;1,"Ganador",IF(T250&lt;0,"Perdedor","Empate"))</x:f>
        <x:v>Ganador</x:v>
      </x:c>
    </x:row>
    <x:row r="251">
      <x:c r="A251" t="str">
        <x:v>COHR</x:v>
      </x:c>
      <x:c r="B251" t="n">
        <x:v>46017</x:v>
      </x:c>
      <x:c r="C251" t="n">
        <x:v>46020</x:v>
      </x:c>
      <x:c r="D251" t="n">
        <x:v>46055</x:v>
      </x:c>
      <x:c r="E251" t="n">
        <x:v>35</x:v>
      </x:c>
      <x:c r="F251" t="str">
        <x:v>enter_or_hold</x:v>
      </x:c>
      <x:c r="G251" t="str">
        <x:v>rebalance_trim</x:v>
      </x:c>
      <x:c r="H251" t="n">
        <x:v>6</x:v>
      </x:c>
      <x:c r="I251" t="n">
        <x:v>90.00122132632806</x:v>
      </x:c>
      <x:c r="J251" t="n">
        <x:v>1.5517652429090318</x:v>
      </x:c>
      <x:c r="K251" t="n">
        <x:v>189.0200042724609</x:v>
      </x:c>
      <x:c r="L251" t="n">
        <x:v>222.44000244140625</x:v>
      </x:c>
      <x:c r="M251" t="n">
        <x:v>293.31467284452157</x:v>
      </x:c>
      <x:c r="N251" t="n">
        <x:v>345.1746644211744</x:v>
      </x:c>
      <x:c r="O251" t="n">
        <x:v>0.7039552148268516</x:v>
      </x:c>
      <x:c r="P251" t="n">
        <x:v>0.8284191946108185</x:v>
      </x:c>
      <x:c r="Q251" t="n">
        <x:v>189.0200042724609</x:v>
      </x:c>
      <x:c r="R251" t="n">
        <x:v>17.68066734395606</x:v>
      </x:c>
      <x:c r="S251" t="n">
        <x:v>17.68066734395606</x:v>
      </x:c>
      <x:c r="T251" t="n">
        <x:v>17.20066734395606</x:v>
      </x:c>
      <x:c r="U251" t="n">
        <x:f>YEAR(C251)</x:f>
        <x:v>2025</x:v>
      </x:c>
      <x:c r="V251" t="n">
        <x:f>YEAR(D251)</x:f>
        <x:v>2026</x:v>
      </x:c>
      <x:c r="W251" t="n">
        <x:f>N251-M251-O251-P251</x:f>
        <x:v>50.32761716721515</x:v>
      </x:c>
      <x:c r="X251" t="str">
        <x:f>IF(T251&gt;1,"Ganador",IF(T251&lt;0,"Perdedor","Empate"))</x:f>
        <x:v>Ganador</x:v>
      </x:c>
    </x:row>
    <x:row r="252">
      <x:c r="A252" t="str">
        <x:v>MU</x:v>
      </x:c>
      <x:c r="B252" t="n">
        <x:v>45961</x:v>
      </x:c>
      <x:c r="C252" t="n">
        <x:v>45964</x:v>
      </x:c>
      <x:c r="D252" t="n">
        <x:v>46055</x:v>
      </x:c>
      <x:c r="E252" t="n">
        <x:v>91</x:v>
      </x:c>
      <x:c r="F252" t="str">
        <x:v>enter_or_hold</x:v>
      </x:c>
      <x:c r="G252" t="str">
        <x:v>rebalance_trim</x:v>
      </x:c>
      <x:c r="H252" t="n">
        <x:v>5</x:v>
      </x:c>
      <x:c r="I252" t="n">
        <x:v>90.75730392425363</x:v>
      </x:c>
      <x:c r="J252" t="n">
        <x:v>16.4587034312188</x:v>
      </x:c>
      <x:c r="K252" t="n">
        <x:v>235.0191475430624</x:v>
      </x:c>
      <x:c r="L252" t="n">
        <x:v>437.7999877929688</x:v>
      </x:c>
      <x:c r="M252" t="n">
        <x:v>3868.110450069118</x:v>
      </x:c>
      <x:c r="N252" t="n">
        <x:v>7205.620161275685</x:v>
      </x:c>
      <x:c r="O252" t="n">
        <x:v>9.283465080165882</x:v>
      </x:c>
      <x:c r="P252" t="n">
        <x:v>17.293488387061643</x:v>
      </x:c>
      <x:c r="Q252" t="n">
        <x:v>234.6999969482422</x:v>
      </x:c>
      <x:c r="R252" t="n">
        <x:v>86.53600063297647</x:v>
      </x:c>
      <x:c r="S252" t="n">
        <x:v>86.28268903611398</x:v>
      </x:c>
      <x:c r="T252" t="n">
        <x:v>85.80268903611397</x:v>
      </x:c>
      <x:c r="U252" t="n">
        <x:f>YEAR(C252)</x:f>
        <x:v>2025</x:v>
      </x:c>
      <x:c r="V252" t="n">
        <x:f>YEAR(D252)</x:f>
        <x:v>2026</x:v>
      </x:c>
      <x:c r="W252" t="n">
        <x:f>N252-M252-O252-P252</x:f>
        <x:v>3310.932757739339</x:v>
      </x:c>
      <x:c r="X252" t="str">
        <x:f>IF(T252&gt;1,"Ganador",IF(T252&lt;0,"Perdedor","Empate"))</x:f>
        <x:v>Ganador</x:v>
      </x:c>
    </x:row>
    <x:row r="253">
      <x:c r="A253" t="str">
        <x:v>LITE</x:v>
      </x:c>
      <x:c r="B253" t="n">
        <x:v>45898</x:v>
      </x:c>
      <x:c r="C253" t="n">
        <x:v>45902</x:v>
      </x:c>
      <x:c r="D253" t="n">
        <x:v>46083</x:v>
      </x:c>
      <x:c r="E253" t="n">
        <x:v>181</x:v>
      </x:c>
      <x:c r="F253" t="str">
        <x:v>enter_or_hold</x:v>
      </x:c>
      <x:c r="G253" t="str">
        <x:v>market_filter_failed</x:v>
      </x:c>
      <x:c r="H253" t="n">
        <x:v>2</x:v>
      </x:c>
      <x:c r="I253" t="n">
        <x:v>147.71974563715017</x:v>
      </x:c>
      <x:c r="J253" t="n">
        <x:v>59.82324835619259</x:v>
      </x:c>
      <x:c r="K253" t="n">
        <x:v>148.1420328691844</x:v>
      </x:c>
      <x:c r="L253" t="n">
        <x:v>783.25</x:v>
      </x:c>
      <x:c r="M253" t="n">
        <x:v>8862.337624324464</x:v>
      </x:c>
      <x:c r="N253" t="n">
        <x:v>46856.55927498785</x:v>
      </x:c>
      <x:c r="O253" t="n">
        <x:v>21.26961029837871</x:v>
      </x:c>
      <x:c r="P253" t="n">
        <x:v>112.45574225997083</x:v>
      </x:c>
      <x:c r="Q253" t="n">
        <x:v>132.55499267578125</x:v>
      </x:c>
      <x:c r="R253" t="n">
        <x:v>490.88683435392426</x:v>
      </x:c>
      <x:c r="S253" t="n">
        <x:v>428.71557439180174</x:v>
      </x:c>
      <x:c r="T253" t="n">
        <x:v>428.2355743918017</x:v>
      </x:c>
      <x:c r="U253" t="n">
        <x:f>YEAR(C253)</x:f>
        <x:v>2025</x:v>
      </x:c>
      <x:c r="V253" t="n">
        <x:f>YEAR(D253)</x:f>
        <x:v>2026</x:v>
      </x:c>
      <x:c r="W253" t="n">
        <x:f>N253-M253-O253-P253</x:f>
        <x:v>37860.49629810504</x:v>
      </x:c>
      <x:c r="X253" t="str">
        <x:f>IF(T253&gt;1,"Ganador",IF(T253&lt;0,"Perdedor","Empate"))</x:f>
        <x:v>Ganador</x:v>
      </x:c>
    </x:row>
    <x:row r="254">
      <x:c r="A254" t="str">
        <x:v>SATS</x:v>
      </x:c>
      <x:c r="B254" t="n">
        <x:v>45898</x:v>
      </x:c>
      <x:c r="C254" t="n">
        <x:v>45902</x:v>
      </x:c>
      <x:c r="D254" t="n">
        <x:v>46083</x:v>
      </x:c>
      <x:c r="E254" t="n">
        <x:v>181</x:v>
      </x:c>
      <x:c r="F254" t="str">
        <x:v>enter_or_hold</x:v>
      </x:c>
      <x:c r="G254" t="str">
        <x:v>market_filter_failed</x:v>
      </x:c>
      <x:c r="H254" t="n">
        <x:v>4</x:v>
      </x:c>
      <x:c r="I254" t="n">
        <x:v>114.7274454068412</x:v>
      </x:c>
      <x:c r="J254" t="n">
        <x:v>217.30414876939417</x:v>
      </x:c>
      <x:c r="K254" t="n">
        <x:v>71.0020832337121</x:v>
      </x:c>
      <x:c r="L254" t="n">
        <x:v>118.68000030517578</x:v>
      </x:c>
      <x:c r="M254" t="n">
        <x:v>15429.04725795548</x:v>
      </x:c>
      <x:c r="N254" t="n">
        <x:v>25789.656442267664</x:v>
      </x:c>
      <x:c r="O254" t="n">
        <x:v>37.02971341909315</x:v>
      </x:c>
      <x:c r="P254" t="n">
        <x:v>61.895175461442385</x:v>
      </x:c>
      <x:c r="Q254" t="n">
        <x:v>65.23999786376953</x:v>
      </x:c>
      <x:c r="R254" t="n">
        <x:v>81.91294327292383</x:v>
      </x:c>
      <x:c r="S254" t="n">
        <x:v>67.15002560491916</x:v>
      </x:c>
      <x:c r="T254" t="n">
        <x:v>66.67002560491916</x:v>
      </x:c>
      <x:c r="U254" t="n">
        <x:f>YEAR(C254)</x:f>
        <x:v>2025</x:v>
      </x:c>
      <x:c r="V254" t="n">
        <x:f>YEAR(D254)</x:f>
        <x:v>2026</x:v>
      </x:c>
      <x:c r="W254" t="n">
        <x:f>N254-M254-O254-P254</x:f>
        <x:v>10261.684295431647</x:v>
      </x:c>
      <x:c r="X254" t="str">
        <x:f>IF(T254&gt;1,"Ganador",IF(T254&lt;0,"Perdedor","Empate"))</x:f>
        <x:v>Ganador</x:v>
      </x:c>
    </x:row>
    <x:row r="255">
      <x:c r="A255" t="str">
        <x:v>CIEN</x:v>
      </x:c>
      <x:c r="B255" t="n">
        <x:v>45961</x:v>
      </x:c>
      <x:c r="C255" t="n">
        <x:v>45964</x:v>
      </x:c>
      <x:c r="D255" t="n">
        <x:v>46083</x:v>
      </x:c>
      <x:c r="E255" t="n">
        <x:v>119</x:v>
      </x:c>
      <x:c r="F255" t="str">
        <x:v>enter_or_hold</x:v>
      </x:c>
      <x:c r="G255" t="str">
        <x:v>market_filter_failed</x:v>
      </x:c>
      <x:c r="H255" t="n">
        <x:v>5</x:v>
      </x:c>
      <x:c r="I255" t="n">
        <x:v>99.444957734184</x:v>
      </x:c>
      <x:c r="J255" t="n">
        <x:v>94.34103377571367</x:v>
      </x:c>
      <x:c r="K255" t="n">
        <x:v>193.3119798869547</x:v>
      </x:c>
      <x:c r="L255" t="n">
        <x:v>353.7300109863281</x:v>
      </x:c>
      <x:c r="M255" t="n">
        <x:v>18237.252023765275</x:v>
      </x:c>
      <x:c r="N255" t="n">
        <x:v>33371.25491394475</x:v>
      </x:c>
      <x:c r="O255" t="n">
        <x:v>43.769404857036655</x:v>
      </x:c>
      <x:c r="P255" t="n">
        <x:v>80.0910117934674</x:v>
      </x:c>
      <x:c r="Q255" t="n">
        <x:v>189.55999755859372</x:v>
      </x:c>
      <x:c r="R255" t="n">
        <x:v>86.6058322125631</x:v>
      </x:c>
      <x:c r="S255" t="n">
        <x:v>82.98400916134784</x:v>
      </x:c>
      <x:c r="T255" t="n">
        <x:v>82.50400916134784</x:v>
      </x:c>
      <x:c r="U255" t="n">
        <x:f>YEAR(C255)</x:f>
        <x:v>2025</x:v>
      </x:c>
      <x:c r="V255" t="n">
        <x:f>YEAR(D255)</x:f>
        <x:v>2026</x:v>
      </x:c>
      <x:c r="W255" t="n">
        <x:f>N255-M255-O255-P255</x:f>
        <x:v>15010.142473528971</x:v>
      </x:c>
      <x:c r="X255" t="str">
        <x:f>IF(T255&gt;1,"Ganador",IF(T255&lt;0,"Perdedor","Empate"))</x:f>
        <x:v>Ganador</x:v>
      </x:c>
    </x:row>
    <x:row r="256">
      <x:c r="A256" t="str">
        <x:v>MU</x:v>
      </x:c>
      <x:c r="B256" t="n">
        <x:v>45961</x:v>
      </x:c>
      <x:c r="C256" t="n">
        <x:v>45964</x:v>
      </x:c>
      <x:c r="D256" t="n">
        <x:v>46083</x:v>
      </x:c>
      <x:c r="E256" t="n">
        <x:v>119</x:v>
      </x:c>
      <x:c r="F256" t="str">
        <x:v>enter_or_hold</x:v>
      </x:c>
      <x:c r="G256" t="str">
        <x:v>market_filter_failed</x:v>
      </x:c>
      <x:c r="H256" t="n">
        <x:v>5</x:v>
      </x:c>
      <x:c r="I256" t="n">
        <x:v>90.75730392425363</x:v>
      </x:c>
      <x:c r="J256" t="n">
        <x:v>57.86801024971238</x:v>
      </x:c>
      <x:c r="K256" t="n">
        <x:v>235.0191475430624</x:v>
      </x:c>
      <x:c r="L256" t="n">
        <x:v>412.6700134277344</x:v>
      </x:c>
      <x:c r="M256" t="n">
        <x:v>13600.0904389006</x:v>
      </x:c>
      <x:c r="N256" t="n">
        <x:v>23880.392566785078</x:v>
      </x:c>
      <x:c r="O256" t="n">
        <x:v>32.64021705336143</x:v>
      </x:c>
      <x:c r="P256" t="n">
        <x:v>57.31294216028418</x:v>
      </x:c>
      <x:c r="Q256" t="n">
        <x:v>234.6999969482422</x:v>
      </x:c>
      <x:c r="R256" t="n">
        <x:v>75.82872551921656</x:v>
      </x:c>
      <x:c r="S256" t="n">
        <x:v>75.5899541555954</x:v>
      </x:c>
      <x:c r="T256" t="n">
        <x:v>75.10995415559539</x:v>
      </x:c>
      <x:c r="U256" t="n">
        <x:f>YEAR(C256)</x:f>
        <x:v>2025</x:v>
      </x:c>
      <x:c r="V256" t="n">
        <x:f>YEAR(D256)</x:f>
        <x:v>2026</x:v>
      </x:c>
      <x:c r="W256" t="n">
        <x:f>N256-M256-O256-P256</x:f>
        <x:v>10190.348968670833</x:v>
      </x:c>
      <x:c r="X256" t="str">
        <x:f>IF(T256&gt;1,"Ganador",IF(T256&lt;0,"Perdedor","Empate"))</x:f>
        <x:v>Ganador</x:v>
      </x:c>
    </x:row>
    <x:row r="257">
      <x:c r="A257" t="str">
        <x:v>COHR</x:v>
      </x:c>
      <x:c r="B257" t="n">
        <x:v>46017</x:v>
      </x:c>
      <x:c r="C257" t="n">
        <x:v>46020</x:v>
      </x:c>
      <x:c r="D257" t="n">
        <x:v>46083</x:v>
      </x:c>
      <x:c r="E257" t="n">
        <x:v>63</x:v>
      </x:c>
      <x:c r="F257" t="str">
        <x:v>enter_or_hold</x:v>
      </x:c>
      <x:c r="G257" t="str">
        <x:v>market_filter_failed</x:v>
      </x:c>
      <x:c r="H257" t="n">
        <x:v>6</x:v>
      </x:c>
      <x:c r="I257" t="n">
        <x:v>90.00122132632806</x:v>
      </x:c>
      <x:c r="J257" t="n">
        <x:v>113.89414629952165</x:v>
      </x:c>
      <x:c r="K257" t="n">
        <x:v>189.0200042724609</x:v>
      </x:c>
      <x:c r="L257" t="n">
        <x:v>298.9100036621094</x:v>
      </x:c>
      <x:c r="M257" t="n">
        <x:v>21528.27202014387</x:v>
      </x:c>
      <x:c r="N257" t="n">
        <x:v>34044.099687482834</x:v>
      </x:c>
      <x:c r="O257" t="n">
        <x:v>51.66785284834529</x:v>
      </x:c>
      <x:c r="P257" t="n">
        <x:v>81.7058392499588</x:v>
      </x:c>
      <x:c r="Q257" t="n">
        <x:v>189.0200042724609</x:v>
      </x:c>
      <x:c r="R257" t="n">
        <x:v>58.13670347359039</x:v>
      </x:c>
      <x:c r="S257" t="n">
        <x:v>58.13670347359039</x:v>
      </x:c>
      <x:c r="T257" t="n">
        <x:v>57.65670347359039</x:v>
      </x:c>
      <x:c r="U257" t="n">
        <x:f>YEAR(C257)</x:f>
        <x:v>2025</x:v>
      </x:c>
      <x:c r="V257" t="n">
        <x:f>YEAR(D257)</x:f>
        <x:v>2026</x:v>
      </x:c>
      <x:c r="W257" t="n">
        <x:f>N257-M257-O257-P257</x:f>
        <x:v>12382.45397524066</x:v>
      </x:c>
      <x:c r="X257" t="str">
        <x:f>IF(T257&gt;1,"Ganador",IF(T257&lt;0,"Perdedor","Empate"))</x:f>
        <x:v>Ganador</x:v>
      </x:c>
    </x:row>
    <x:row r="258">
      <x:c r="A258" t="str">
        <x:v>STX</x:v>
      </x:c>
      <x:c r="B258" t="n">
        <x:v>46052</x:v>
      </x:c>
      <x:c r="C258" t="n">
        <x:v>46055</x:v>
      </x:c>
      <x:c r="D258" t="n">
        <x:v>46083</x:v>
      </x:c>
      <x:c r="E258" t="n">
        <x:v>28</x:v>
      </x:c>
      <x:c r="F258" t="str">
        <x:v>enter_or_hold</x:v>
      </x:c>
      <x:c r="G258" t="str">
        <x:v>market_filter_failed</x:v>
      </x:c>
      <x:c r="H258" t="n">
        <x:v>3</x:v>
      </x:c>
      <x:c r="I258" t="n">
        <x:v>126.50944859046858</x:v>
      </x:c>
      <x:c r="J258" t="n">
        <x:v>58.35677990905959</x:v>
      </x:c>
      <x:c r="K258" t="n">
        <x:v>432.9500122070313</x:v>
      </x:c>
      <x:c r="L258" t="n">
        <x:v>379.5199890136719</x:v>
      </x:c>
      <x:c r="M258" t="n">
        <x:v>25265.56857399039</x:v>
      </x:c>
      <x:c r="N258" t="n">
        <x:v>22147.56446995956</x:v>
      </x:c>
      <x:c r="O258" t="n">
        <x:v>60.63736457757693</x:v>
      </x:c>
      <x:c r="P258" t="n">
        <x:v>53.15415472790294</x:v>
      </x:c>
      <x:c r="Q258" t="n">
        <x:v>432.9500122070313</x:v>
      </x:c>
      <x:c r="R258" t="n">
        <x:v>-12.340921974107689</x:v>
      </x:c>
      <x:c r="S258" t="n">
        <x:v>-12.340921974107689</x:v>
      </x:c>
      <x:c r="T258" t="n">
        <x:v>-12.820921974107689</x:v>
      </x:c>
      <x:c r="U258" t="n">
        <x:f>YEAR(C258)</x:f>
        <x:v>2026</x:v>
      </x:c>
      <x:c r="V258" t="n">
        <x:f>YEAR(D258)</x:f>
        <x:v>2026</x:v>
      </x:c>
      <x:c r="W258" t="n">
        <x:f>N258-M258-O258-P258</x:f>
        <x:v>-3231.795623336308</x:v>
      </x:c>
      <x:c r="X258" t="str">
        <x:f>IF(T258&gt;1,"Ganador",IF(T258&lt;0,"Perdedor","Empate"))</x:f>
        <x:v>Perdedor</x:v>
      </x:c>
    </x:row>
  </x:sheetData>
  <x:pageMargins left="0.7" right="0.7" top="0.75" bottom="0.75" header="0.3" footer="0.3"/>
  <x:tableParts count="1">
    <x:tablePart xmlns:r="http://schemas.openxmlformats.org/officeDocument/2006/relationships" r:id="Rd0b844474749475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.460000038146973" hidden="0" customWidth="1"/>
    <x:col min="6" max="6" width="22" hidden="0" customWidth="1"/>
    <x:col min="7" max="7" width="2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1.569999694824219" hidden="0" customWidth="1"/>
    <x:col min="22" max="22" width="10.229999542236328" hidden="0" customWidth="1"/>
    <x:col min="23" max="23" width="16" hidden="0" customWidth="1"/>
    <x:col min="24" max="24" width="16" hidden="0" customWidth="1"/>
  </x:cols>
  <x:sheetData>
    <x:row r="1">
      <x:c r="A1" s="52" t="str">
        <x:v>ticker</x:v>
      </x:c>
      <x:c r="B1" s="53" t="str">
        <x:v>signal_date</x:v>
      </x:c>
      <x:c r="C1" s="53" t="str">
        <x:v>entry_date</x:v>
      </x:c>
      <x:c r="D1" s="53" t="str">
        <x:v>exit_date</x:v>
      </x:c>
      <x:c r="E1" s="52" t="str">
        <x:v>holding_days</x:v>
      </x:c>
      <x:c r="F1" s="52" t="str">
        <x:v>entry_reason</x:v>
      </x:c>
      <x:c r="G1" s="52" t="str">
        <x:v>exit_reason</x:v>
      </x:c>
      <x:c r="H1" s="52" t="str">
        <x:v>entry_rank</x:v>
      </x:c>
      <x:c r="I1" s="54" t="str">
        <x:v>entry_ranking_value</x:v>
      </x:c>
      <x:c r="J1" s="54" t="str">
        <x:v>shares</x:v>
      </x:c>
      <x:c r="K1" s="55" t="str">
        <x:v>entry_price</x:v>
      </x:c>
      <x:c r="L1" s="55" t="str">
        <x:v>exit_price</x:v>
      </x:c>
      <x:c r="M1" s="55" t="str">
        <x:v>notional_entry</x:v>
      </x:c>
      <x:c r="N1" s="55" t="str">
        <x:v>notional_exit</x:v>
      </x:c>
      <x:c r="O1" s="55" t="str">
        <x:v>entry_cost</x:v>
      </x:c>
      <x:c r="P1" s="55" t="str">
        <x:v>exit_cost</x:v>
      </x:c>
      <x:c r="Q1" s="55" t="str">
        <x:v>max_price_since_entry</x:v>
      </x:c>
      <x:c r="R1" s="54" t="str">
        <x:v>drawdown_from_peak_%</x:v>
      </x:c>
      <x:c r="S1" s="54" t="str">
        <x:v>gross_return_%</x:v>
      </x:c>
      <x:c r="T1" s="54" t="str">
        <x:v>net_return_%</x:v>
      </x:c>
      <x:c r="U1" s="56" t="str">
        <x:v>entry_year</x:v>
      </x:c>
      <x:c r="V1" s="56" t="str">
        <x:v>exit_year</x:v>
      </x:c>
      <x:c r="W1" s="55" t="str">
        <x:v>net_pnl_$</x:v>
      </x:c>
      <x:c r="X1" s="52" t="str">
        <x:v>resultado_regla</x:v>
      </x:c>
    </x:row>
    <x:row r="2">
      <x:c r="A2" t="str">
        <x:v>AAPL</x:v>
      </x:c>
      <x:c r="B2" t="n">
        <x:v>43861</x:v>
      </x:c>
      <x:c r="C2" t="n">
        <x:v>43864</x:v>
      </x:c>
      <x:c r="D2" t="n">
        <x:v>43892</x:v>
      </x:c>
      <x:c r="E2" t="n">
        <x:v>28</x:v>
      </x:c>
      <x:c r="F2" t="str">
        <x:v>enter_or_hold</x:v>
      </x:c>
      <x:c r="G2" t="str">
        <x:v>market_filter_failed</x:v>
      </x:c>
      <x:c r="H2" t="n">
        <x:v>5</x:v>
      </x:c>
      <x:c r="I2" t="n">
        <x:v>38.745028922064265</x:v>
      </x:c>
      <x:c r="J2" t="n">
        <x:v>21.54702551616587</x:v>
      </x:c>
      <x:c r="K2" t="n">
        <x:v>77.16500091552734</x:v>
      </x:c>
      <x:c r="L2" t="n">
        <x:v>74.70249938964844</x:v>
      </x:c>
      <x:c r="M2" t="n">
        <x:v>1662.6762436818303</x:v>
      </x:c>
      <x:c r="N2" t="n">
        <x:v>1609.6166604701202</x:v>
      </x:c>
      <x:c r="O2" t="n">
        <x:v>3.9904229848363926</x:v>
      </x:c>
      <x:c r="P2" t="n">
        <x:v>3.863079985128288</x:v>
      </x:c>
      <x:c r="Q2" t="n">
        <x:v>77.16500091552734</x:v>
      </x:c>
      <x:c r="R2" t="n">
        <x:v>-3.191215572685102</x:v>
      </x:c>
      <x:c r="S2" t="n">
        <x:v>-3.191215572685102</x:v>
      </x:c>
      <x:c r="T2" t="n">
        <x:v>-3.671215572685102</x:v>
      </x:c>
      <x:c r="U2" t="n">
        <x:f>YEAR(C2)</x:f>
        <x:v>2020</x:v>
      </x:c>
      <x:c r="V2" t="n">
        <x:f>YEAR(D2)</x:f>
        <x:v>2020</x:v>
      </x:c>
      <x:c r="W2" t="n">
        <x:f>N2-M2-O2-P2</x:f>
        <x:v>-60.913086181674785</x:v>
      </x:c>
      <x:c r="X2" t="str">
        <x:f>IF(T2&gt;1,"Ganador",IF(T2&lt;0,"Perdedor","Empate"))</x:f>
        <x:v>Perdedor</x:v>
      </x:c>
    </x:row>
    <x:row r="3">
      <x:c r="A3" t="str">
        <x:v>AMD</x:v>
      </x:c>
      <x:c r="B3" t="n">
        <x:v>43861</x:v>
      </x:c>
      <x:c r="C3" t="n">
        <x:v>43864</x:v>
      </x:c>
      <x:c r="D3" t="n">
        <x:v>43892</x:v>
      </x:c>
      <x:c r="E3" t="n">
        <x:v>28</x:v>
      </x:c>
      <x:c r="F3" t="str">
        <x:v>enter_or_hold</x:v>
      </x:c>
      <x:c r="G3" t="str">
        <x:v>market_filter_failed</x:v>
      </x:c>
      <x:c r="H3" t="n">
        <x:v>3</x:v>
      </x:c>
      <x:c r="I3" t="n">
        <x:v>43.94929939263695</x:v>
      </x:c>
      <x:c r="J3" t="n">
        <x:v>34.62466113769093</x:v>
      </x:c>
      <x:c r="K3" t="n">
        <x:v>48.02000045776367</x:v>
      </x:c>
      <x:c r="L3" t="n">
        <x:v>47.459999084472656</x:v>
      </x:c>
      <x:c r="M3" t="n">
        <x:v>1662.6762436818303</x:v>
      </x:c>
      <x:c r="N3" t="n">
        <x:v>1643.2863858949875</x:v>
      </x:c>
      <x:c r="O3" t="n">
        <x:v>3.9904229848363926</x:v>
      </x:c>
      <x:c r="P3" t="n">
        <x:v>3.9438873261479697</x:v>
      </x:c>
      <x:c r="Q3" t="n">
        <x:v>48.02000045776367</x:v>
      </x:c>
      <x:c r="R3" t="n">
        <x:v>-1.1661836067318854</x:v>
      </x:c>
      <x:c r="S3" t="n">
        <x:v>-1.1661836067318854</x:v>
      </x:c>
      <x:c r="T3" t="n">
        <x:v>-1.6461836067318854</x:v>
      </x:c>
      <x:c r="U3" t="n">
        <x:f>YEAR(C3)</x:f>
        <x:v>2020</x:v>
      </x:c>
      <x:c r="V3" t="n">
        <x:f>YEAR(D3)</x:f>
        <x:v>2020</x:v>
      </x:c>
      <x:c r="W3" t="n">
        <x:f>N3-M3-O3-P3</x:f>
        <x:v>-27.32416809782723</x:v>
      </x:c>
      <x:c r="X3" t="str">
        <x:f>IF(T3&gt;1,"Ganador",IF(T3&lt;0,"Perdedor","Empate"))</x:f>
        <x:v>Perdedor</x:v>
      </x:c>
    </x:row>
    <x:row r="4">
      <x:c r="A4" t="str">
        <x:v>DXCM</x:v>
      </x:c>
      <x:c r="B4" t="n">
        <x:v>43861</x:v>
      </x:c>
      <x:c r="C4" t="n">
        <x:v>43864</x:v>
      </x:c>
      <x:c r="D4" t="n">
        <x:v>43892</x:v>
      </x:c>
      <x:c r="E4" t="n">
        <x:v>28</x:v>
      </x:c>
      <x:c r="F4" t="str">
        <x:v>enter_or_hold</x:v>
      </x:c>
      <x:c r="G4" t="str">
        <x:v>market_filter_failed</x:v>
      </x:c>
      <x:c r="H4" t="n">
        <x:v>2</x:v>
      </x:c>
      <x:c r="I4" t="n">
        <x:v>48.33096555020087</x:v>
      </x:c>
      <x:c r="J4" t="n">
        <x:v>28.051394312094967</x:v>
      </x:c>
      <x:c r="K4" t="n">
        <x:v>59.272499084472656</x:v>
      </x:c>
      <x:c r="L4" t="n">
        <x:v>71.43250274658203</x:v>
      </x:c>
      <x:c r="M4" t="n">
        <x:v>1662.6762436818303</x:v>
      </x:c>
      <x:c r="N4" t="n">
        <x:v>2003.7813012441793</x:v>
      </x:c>
      <x:c r="O4" t="n">
        <x:v>3.9904229848363926</x:v>
      </x:c>
      <x:c r="P4" t="n">
        <x:v>4.80907512298603</x:v>
      </x:c>
      <x:c r="Q4" t="n">
        <x:v>59.272499084472656</x:v>
      </x:c>
      <x:c r="R4" t="n">
        <x:v>20.51542258202992</x:v>
      </x:c>
      <x:c r="S4" t="n">
        <x:v>20.51542258202992</x:v>
      </x:c>
      <x:c r="T4" t="n">
        <x:v>20.03542258202992</x:v>
      </x:c>
      <x:c r="U4" t="n">
        <x:f>YEAR(C4)</x:f>
        <x:v>2020</x:v>
      </x:c>
      <x:c r="V4" t="n">
        <x:f>YEAR(D4)</x:f>
        <x:v>2020</x:v>
      </x:c>
      <x:c r="W4" t="n">
        <x:f>N4-M4-O4-P4</x:f>
        <x:v>332.30555945452653</x:v>
      </x:c>
      <x:c r="X4" t="str">
        <x:f>IF(T4&gt;1,"Ganador",IF(T4&lt;0,"Perdedor","Empate"))</x:f>
        <x:v>Ganador</x:v>
      </x:c>
    </x:row>
    <x:row r="5">
      <x:c r="A5" t="str">
        <x:v>GNRC</x:v>
      </x:c>
      <x:c r="B5" t="n">
        <x:v>43861</x:v>
      </x:c>
      <x:c r="C5" t="n">
        <x:v>43864</x:v>
      </x:c>
      <x:c r="D5" t="n">
        <x:v>43892</x:v>
      </x:c>
      <x:c r="E5" t="n">
        <x:v>28</x:v>
      </x:c>
      <x:c r="F5" t="str">
        <x:v>enter_or_hold</x:v>
      </x:c>
      <x:c r="G5" t="str">
        <x:v>market_filter_failed</x:v>
      </x:c>
      <x:c r="H5" t="n">
        <x:v>6</x:v>
      </x:c>
      <x:c r="I5" t="n">
        <x:v>38.54059000907382</x:v>
      </x:c>
      <x:c r="J5" t="n">
        <x:v>16.02734025371046</x:v>
      </x:c>
      <x:c r="K5" t="n">
        <x:v>103.73999786376952</x:v>
      </x:c>
      <x:c r="L5" t="n">
        <x:v>108.91000366210938</x:v>
      </x:c>
      <x:c r="M5" t="n">
        <x:v>1662.6762436818303</x:v>
      </x:c>
      <x:c r="N5" t="n">
        <x:v>1745.5376857254792</x:v>
      </x:c>
      <x:c r="O5" t="n">
        <x:v>3.9904229848363926</x:v>
      </x:c>
      <x:c r="P5" t="n">
        <x:v>4.1892904457411495</x:v>
      </x:c>
      <x:c r="Q5" t="n">
        <x:v>103.73999786376952</x:v>
      </x:c>
      <x:c r="R5" t="n">
        <x:v>4.983618570273229</x:v>
      </x:c>
      <x:c r="S5" t="n">
        <x:v>4.983618570273229</x:v>
      </x:c>
      <x:c r="T5" t="n">
        <x:v>4.503618570273229</x:v>
      </x:c>
      <x:c r="U5" t="n">
        <x:f>YEAR(C5)</x:f>
        <x:v>2020</x:v>
      </x:c>
      <x:c r="V5" t="n">
        <x:f>YEAR(D5)</x:f>
        <x:v>2020</x:v>
      </x:c>
      <x:c r="W5" t="n">
        <x:f>N5-M5-O5-P5</x:f>
        <x:v>74.68172861307129</x:v>
      </x:c>
      <x:c r="X5" t="str">
        <x:f>IF(T5&gt;1,"Ganador",IF(T5&lt;0,"Perdedor","Empate"))</x:f>
        <x:v>Ganador</x:v>
      </x:c>
    </x:row>
    <x:row r="6">
      <x:c r="A6" t="str">
        <x:v>PODD</x:v>
      </x:c>
      <x:c r="B6" t="n">
        <x:v>43861</x:v>
      </x:c>
      <x:c r="C6" t="n">
        <x:v>43864</x:v>
      </x:c>
      <x:c r="D6" t="n">
        <x:v>43892</x:v>
      </x:c>
      <x:c r="E6" t="n">
        <x:v>28</x:v>
      </x:c>
      <x:c r="F6" t="str">
        <x:v>enter_or_hold</x:v>
      </x:c>
      <x:c r="G6" t="str">
        <x:v>market_filter_failed</x:v>
      </x:c>
      <x:c r="H6" t="n">
        <x:v>4</x:v>
      </x:c>
      <x:c r="I6" t="n">
        <x:v>43.77060330772278</x:v>
      </x:c>
      <x:c r="J6" t="n">
        <x:v>8.533546884277419</x:v>
      </x:c>
      <x:c r="K6" t="n">
        <x:v>194.83999633789065</x:v>
      </x:c>
      <x:c r="L6" t="n">
        <x:v>181.50999450683597</x:v>
      </x:c>
      <x:c r="M6" t="n">
        <x:v>1662.6762436818303</x:v>
      </x:c>
      <x:c r="N6" t="n">
        <x:v>1548.9240480890214</x:v>
      </x:c>
      <x:c r="O6" t="n">
        <x:v>3.9904229848363926</x:v>
      </x:c>
      <x:c r="P6" t="n">
        <x:v>3.717417715413651</x:v>
      </x:c>
      <x:c r="Q6" t="n">
        <x:v>194.83999633789065</x:v>
      </x:c>
      <x:c r="R6" t="n">
        <x:v>-6.8415120517339005</x:v>
      </x:c>
      <x:c r="S6" t="n">
        <x:v>-6.8415120517339005</x:v>
      </x:c>
      <x:c r="T6" t="n">
        <x:v>-7.321512051733901</x:v>
      </x:c>
      <x:c r="U6" t="n">
        <x:f>YEAR(C6)</x:f>
        <x:v>2020</x:v>
      </x:c>
      <x:c r="V6" t="n">
        <x:f>YEAR(D6)</x:f>
        <x:v>2020</x:v>
      </x:c>
      <x:c r="W6" t="n">
        <x:f>N6-M6-O6-P6</x:f>
        <x:v>-121.46003629305893</x:v>
      </x:c>
      <x:c r="X6" t="str">
        <x:f>IF(T6&gt;1,"Ganador",IF(T6&lt;0,"Perdedor","Empate"))</x:f>
        <x:v>Perdedor</x:v>
      </x:c>
    </x:row>
    <x:row r="7">
      <x:c r="A7" t="str">
        <x:v>TSLA</x:v>
      </x:c>
      <x:c r="B7" t="n">
        <x:v>43861</x:v>
      </x:c>
      <x:c r="C7" t="n">
        <x:v>43864</x:v>
      </x:c>
      <x:c r="D7" t="n">
        <x:v>43892</x:v>
      </x:c>
      <x:c r="E7" t="n">
        <x:v>28</x:v>
      </x:c>
      <x:c r="F7" t="str">
        <x:v>enter_or_hold</x:v>
      </x:c>
      <x:c r="G7" t="str">
        <x:v>market_filter_failed</x:v>
      </x:c>
      <x:c r="H7" t="n">
        <x:v>1</x:v>
      </x:c>
      <x:c r="I7" t="n">
        <x:v>121.72161161305324</x:v>
      </x:c>
      <x:c r="J7" t="n">
        <x:v>31.974543147727505</x:v>
      </x:c>
      <x:c r="K7" t="n">
        <x:v>52</x:v>
      </x:c>
      <x:c r="L7" t="n">
        <x:v>49.574668884277344</x:v>
      </x:c>
      <x:c r="M7" t="n">
        <x:v>1662.6762436818303</x:v>
      </x:c>
      <x:c r="N7" t="n">
        <x:v>1585.12738927463</x:v>
      </x:c>
      <x:c r="O7" t="n">
        <x:v>3.9904229848363926</x:v>
      </x:c>
      <x:c r="P7" t="n">
        <x:v>3.804305734259112</x:v>
      </x:c>
      <x:c r="Q7" t="n">
        <x:v>52</x:v>
      </x:c>
      <x:c r="R7" t="n">
        <x:v>-4.664098299466646</x:v>
      </x:c>
      <x:c r="S7" t="n">
        <x:v>-4.664098299466646</x:v>
      </x:c>
      <x:c r="T7" t="n">
        <x:v>-5.144098299466647</x:v>
      </x:c>
      <x:c r="U7" t="n">
        <x:f>YEAR(C7)</x:f>
        <x:v>2020</x:v>
      </x:c>
      <x:c r="V7" t="n">
        <x:f>YEAR(D7)</x:f>
        <x:v>2020</x:v>
      </x:c>
      <x:c r="W7" t="n">
        <x:f>N7-M7-O7-P7</x:f>
        <x:v>-85.34358312629573</x:v>
      </x:c>
      <x:c r="X7" t="str">
        <x:f>IF(T7&gt;1,"Ganador",IF(T7&lt;0,"Perdedor","Empate"))</x:f>
        <x:v>Perdedor</x:v>
      </x:c>
    </x:row>
    <x:row r="8">
      <x:c r="A8" t="str">
        <x:v>AMD</x:v>
      </x:c>
      <x:c r="B8" t="n">
        <x:v>43945</x:v>
      </x:c>
      <x:c r="C8" t="n">
        <x:v>43948</x:v>
      </x:c>
      <x:c r="D8" t="n">
        <x:v>43983</x:v>
      </x:c>
      <x:c r="E8" t="n">
        <x:v>35</x:v>
      </x:c>
      <x:c r="F8" t="str">
        <x:v>enter_or_hold</x:v>
      </x:c>
      <x:c r="G8" t="str">
        <x:v>left_top_n</x:v>
      </x:c>
      <x:c r="H8" t="n">
        <x:v>6</x:v>
      </x:c>
      <x:c r="I8" t="n">
        <x:v>47.565793257267</x:v>
      </x:c>
      <x:c r="J8" t="n">
        <x:v>29.76259971853286</x:v>
      </x:c>
      <x:c r="K8" t="n">
        <x:v>56.4900016784668</x:v>
      </x:c>
      <x:c r="L8" t="n">
        <x:v>53.630001068115234</x:v>
      </x:c>
      <x:c r="M8" t="n">
        <x:v>1681.2893080554568</x:v>
      </x:c>
      <x:c r="N8" t="n">
        <x:v>1596.1682546948036</x:v>
      </x:c>
      <x:c r="O8" t="n">
        <x:v>4.035094339333096</x:v>
      </x:c>
      <x:c r="P8" t="n">
        <x:v>3.8308038112675282</x:v>
      </x:c>
      <x:c r="Q8" t="n">
        <x:v>56.4900016784668</x:v>
      </x:c>
      <x:c r="R8" t="n">
        <x:v>-5.062843911087644</x:v>
      </x:c>
      <x:c r="S8" t="n">
        <x:v>-5.062843911087644</x:v>
      </x:c>
      <x:c r="T8" t="n">
        <x:v>-5.542843911087644</x:v>
      </x:c>
      <x:c r="U8" t="n">
        <x:f>YEAR(C8)</x:f>
        <x:v>2020</x:v>
      </x:c>
      <x:c r="V8" t="n">
        <x:f>YEAR(D8)</x:f>
        <x:v>2020</x:v>
      </x:c>
      <x:c r="W8" t="n">
        <x:f>N8-M8-O8-P8</x:f>
        <x:v>-92.98695151125378</x:v>
      </x:c>
      <x:c r="X8" t="str">
        <x:f>IF(T8&gt;1,"Ganador",IF(T8&lt;0,"Perdedor","Empate"))</x:f>
        <x:v>Perdedor</x:v>
      </x:c>
    </x:row>
    <x:row r="9">
      <x:c r="A9" t="str">
        <x:v>NEM</x:v>
      </x:c>
      <x:c r="B9" t="n">
        <x:v>43945</x:v>
      </x:c>
      <x:c r="C9" t="n">
        <x:v>43948</x:v>
      </x:c>
      <x:c r="D9" t="n">
        <x:v>43983</x:v>
      </x:c>
      <x:c r="E9" t="n">
        <x:v>35</x:v>
      </x:c>
      <x:c r="F9" t="str">
        <x:v>enter_or_hold</x:v>
      </x:c>
      <x:c r="G9" t="str">
        <x:v>left_top_n</x:v>
      </x:c>
      <x:c r="H9" t="n">
        <x:v>5</x:v>
      </x:c>
      <x:c r="I9" t="n">
        <x:v>54.67043835692576</x:v>
      </x:c>
      <x:c r="J9" t="n">
        <x:v>26.853366741182917</x:v>
      </x:c>
      <x:c r="K9" t="n">
        <x:v>62.61000061035156</x:v>
      </x:c>
      <x:c r="L9" t="n">
        <x:v>60.4900016784668</x:v>
      </x:c>
      <x:c r="M9" t="n">
        <x:v>1681.2893080554568</x:v>
      </x:c>
      <x:c r="N9" t="n">
        <x:v>1624.360199246639</x:v>
      </x:c>
      <x:c r="O9" t="n">
        <x:v>4.035094339333096</x:v>
      </x:c>
      <x:c r="P9" t="n">
        <x:v>3.8984644781919333</x:v>
      </x:c>
      <x:c r="Q9" t="n">
        <x:v>62.61000061035156</x:v>
      </x:c>
      <x:c r="R9" t="n">
        <x:v>-3.3860388296087285</x:v>
      </x:c>
      <x:c r="S9" t="n">
        <x:v>-3.3860388296087285</x:v>
      </x:c>
      <x:c r="T9" t="n">
        <x:v>-3.8660388296087285</x:v>
      </x:c>
      <x:c r="U9" t="n">
        <x:f>YEAR(C9)</x:f>
        <x:v>2020</x:v>
      </x:c>
      <x:c r="V9" t="n">
        <x:f>YEAR(D9)</x:f>
        <x:v>2020</x:v>
      </x:c>
      <x:c r="W9" t="n">
        <x:f>N9-M9-O9-P9</x:f>
        <x:v>-64.86266762634281</x:v>
      </x:c>
      <x:c r="X9" t="str">
        <x:f>IF(T9&gt;1,"Ganador",IF(T9&lt;0,"Perdedor","Empate"))</x:f>
        <x:v>Perdedor</x:v>
      </x:c>
    </x:row>
    <x:row r="10">
      <x:c r="A10" t="str">
        <x:v>DXCM</x:v>
      </x:c>
      <x:c r="B10" t="n">
        <x:v>43945</x:v>
      </x:c>
      <x:c r="C10" t="n">
        <x:v>43948</x:v>
      </x:c>
      <x:c r="D10" t="n">
        <x:v>43983</x:v>
      </x:c>
      <x:c r="E10" t="n">
        <x:v>35</x:v>
      </x:c>
      <x:c r="F10" t="str">
        <x:v>enter_or_hold</x:v>
      </x:c>
      <x:c r="G10" t="str">
        <x:v>rebalance_trim</x:v>
      </x:c>
      <x:c r="H10" t="n">
        <x:v>3</x:v>
      </x:c>
      <x:c r="I10" t="n">
        <x:v>70.54613382172508</x:v>
      </x:c>
      <x:c r="J10" t="n">
        <x:v>0.672305336763177</x:v>
      </x:c>
      <x:c r="K10" t="n">
        <x:v>83.76249694824219</x:v>
      </x:c>
      <x:c r="L10" t="n">
        <x:v>94.6750030517578</x:v>
      </x:c>
      <x:c r="M10" t="n">
        <x:v>56.31397371891256</x:v>
      </x:c>
      <x:c r="N10" t="n">
        <x:v>63.650509809766845</x:v>
      </x:c>
      <x:c r="O10" t="n">
        <x:v>0.13515353692539012</x:v>
      </x:c>
      <x:c r="P10" t="n">
        <x:v>0.1527612235434404</x:v>
      </x:c>
      <x:c r="Q10" t="n">
        <x:v>83.76249694824219</x:v>
      </x:c>
      <x:c r="R10" t="n">
        <x:v>13.027914043988641</x:v>
      </x:c>
      <x:c r="S10" t="n">
        <x:v>13.027914043988641</x:v>
      </x:c>
      <x:c r="T10" t="n">
        <x:v>12.54791404398864</x:v>
      </x:c>
      <x:c r="U10" t="n">
        <x:f>YEAR(C10)</x:f>
        <x:v>2020</x:v>
      </x:c>
      <x:c r="V10" t="n">
        <x:f>YEAR(D10)</x:f>
        <x:v>2020</x:v>
      </x:c>
      <x:c r="W10" t="n">
        <x:f>N10-M10-O10-P10</x:f>
        <x:v>7.0486213303854575</x:v>
      </x:c>
      <x:c r="X10" t="str">
        <x:f>IF(T10&gt;1,"Ganador",IF(T10&lt;0,"Perdedor","Empate"))</x:f>
        <x:v>Ganador</x:v>
      </x:c>
    </x:row>
    <x:row r="11">
      <x:c r="A11" t="str">
        <x:v>MRNA</x:v>
      </x:c>
      <x:c r="B11" t="n">
        <x:v>43945</x:v>
      </x:c>
      <x:c r="C11" t="n">
        <x:v>43948</x:v>
      </x:c>
      <x:c r="D11" t="n">
        <x:v>43983</x:v>
      </x:c>
      <x:c r="E11" t="n">
        <x:v>35</x:v>
      </x:c>
      <x:c r="F11" t="str">
        <x:v>enter_or_hold</x:v>
      </x:c>
      <x:c r="G11" t="str">
        <x:v>rebalance_trim</x:v>
      </x:c>
      <x:c r="H11" t="n">
        <x:v>1</x:v>
      </x:c>
      <x:c r="I11" t="n">
        <x:v>146.66425520000547</x:v>
      </x:c>
      <x:c r="J11" t="n">
        <x:v>5.452366555394242</x:v>
      </x:c>
      <x:c r="K11" t="n">
        <x:v>48.04999923706055</x:v>
      </x:c>
      <x:c r="L11" t="n">
        <x:v>62.18000030517578</x:v>
      </x:c>
      <x:c r="M11" t="n">
        <x:v>261.98620882686777</x:v>
      </x:c>
      <x:c r="N11" t="n">
        <x:v>339.0281540783442</x:v>
      </x:c>
      <x:c r="O11" t="n">
        <x:v>0.6287669011844826</x:v>
      </x:c>
      <x:c r="P11" t="n">
        <x:v>0.813667569788026</x:v>
      </x:c>
      <x:c r="Q11" t="n">
        <x:v>48.04999923706055</x:v>
      </x:c>
      <x:c r="R11" t="n">
        <x:v>29.406870535841524</x:v>
      </x:c>
      <x:c r="S11" t="n">
        <x:v>29.406870535841524</x:v>
      </x:c>
      <x:c r="T11" t="n">
        <x:v>28.926870535841523</x:v>
      </x:c>
      <x:c r="U11" t="n">
        <x:f>YEAR(C11)</x:f>
        <x:v>2020</x:v>
      </x:c>
      <x:c r="V11" t="n">
        <x:f>YEAR(D11)</x:f>
        <x:v>2020</x:v>
      </x:c>
      <x:c r="W11" t="n">
        <x:f>N11-M11-O11-P11</x:f>
        <x:v>75.59951078050392</x:v>
      </x:c>
      <x:c r="X11" t="str">
        <x:f>IF(T11&gt;1,"Ganador",IF(T11&lt;0,"Perdedor","Empate"))</x:f>
        <x:v>Ganador</x:v>
      </x:c>
    </x:row>
    <x:row r="12">
      <x:c r="A12" t="str">
        <x:v>REGN</x:v>
      </x:c>
      <x:c r="B12" t="n">
        <x:v>43945</x:v>
      </x:c>
      <x:c r="C12" t="n">
        <x:v>43948</x:v>
      </x:c>
      <x:c r="D12" t="n">
        <x:v>43983</x:v>
      </x:c>
      <x:c r="E12" t="n">
        <x:v>35</x:v>
      </x:c>
      <x:c r="F12" t="str">
        <x:v>enter_or_hold</x:v>
      </x:c>
      <x:c r="G12" t="str">
        <x:v>rebalance_trim</x:v>
      </x:c>
      <x:c r="H12" t="n">
        <x:v>4</x:v>
      </x:c>
      <x:c r="I12" t="n">
        <x:v>59.14670994184368</x:v>
      </x:c>
      <x:c r="J12" t="n">
        <x:v>0.006903026629535048</x:v>
      </x:c>
      <x:c r="K12" t="n">
        <x:v>547.52001953125</x:v>
      </x:c>
      <x:c r="L12" t="n">
        <x:v>599.469970703125</x:v>
      </x:c>
      <x:c r="M12" t="n">
        <x:v>3.7795452750277683</x:v>
      </x:c>
      <x:c r="N12" t="n">
        <x:v>4.138157171370267</x:v>
      </x:c>
      <x:c r="O12" t="n">
        <x:v>0.009070908660066643</x:v>
      </x:c>
      <x:c r="P12" t="n">
        <x:v>0.00993157721128864</x:v>
      </x:c>
      <x:c r="Q12" t="n">
        <x:v>547.52001953125</x:v>
      </x:c>
      <x:c r="R12" t="n">
        <x:v>9.488228616069794</x:v>
      </x:c>
      <x:c r="S12" t="n">
        <x:v>9.488228616069794</x:v>
      </x:c>
      <x:c r="T12" t="n">
        <x:v>9.008228616069793</x:v>
      </x:c>
      <x:c r="U12" t="n">
        <x:f>YEAR(C12)</x:f>
        <x:v>2020</x:v>
      </x:c>
      <x:c r="V12" t="n">
        <x:f>YEAR(D12)</x:f>
        <x:v>2020</x:v>
      </x:c>
      <x:c r="W12" t="n">
        <x:f>N12-M12-O12-P12</x:f>
        <x:v>0.3396094104711434</x:v>
      </x:c>
      <x:c r="X12" t="str">
        <x:f>IF(T12&gt;1,"Ganador",IF(T12&lt;0,"Perdedor","Empate"))</x:f>
        <x:v>Ganador</x:v>
      </x:c>
    </x:row>
    <x:row r="13">
      <x:c r="A13" t="str">
        <x:v>TSLA</x:v>
      </x:c>
      <x:c r="B13" t="n">
        <x:v>43945</x:v>
      </x:c>
      <x:c r="C13" t="n">
        <x:v>43948</x:v>
      </x:c>
      <x:c r="D13" t="n">
        <x:v>43983</x:v>
      </x:c>
      <x:c r="E13" t="n">
        <x:v>35</x:v>
      </x:c>
      <x:c r="F13" t="str">
        <x:v>enter_or_hold</x:v>
      </x:c>
      <x:c r="G13" t="str">
        <x:v>rebalance_trim</x:v>
      </x:c>
      <x:c r="H13" t="n">
        <x:v>2</x:v>
      </x:c>
      <x:c r="I13" t="n">
        <x:v>91.01609867002064</x:v>
      </x:c>
      <x:c r="J13" t="n">
        <x:v>0.8974853891759076</x:v>
      </x:c>
      <x:c r="K13" t="n">
        <x:v>53.25</x:v>
      </x:c>
      <x:c r="L13" t="n">
        <x:v>59.87333297729492</x:v>
      </x:c>
      <x:c r="M13" t="n">
        <x:v>47.79109697361708</x:v>
      </x:c>
      <x:c r="N13" t="n">
        <x:v>53.735441548386234</x:v>
      </x:c>
      <x:c r="O13" t="n">
        <x:v>0.11469863273668097</x:v>
      </x:c>
      <x:c r="P13" t="n">
        <x:v>0.12896505971612696</x:v>
      </x:c>
      <x:c r="Q13" t="n">
        <x:v>53.25</x:v>
      </x:c>
      <x:c r="R13" t="n">
        <x:v>12.438183994920049</x:v>
      </x:c>
      <x:c r="S13" t="n">
        <x:v>12.438183994920049</x:v>
      </x:c>
      <x:c r="T13" t="n">
        <x:v>11.958183994920049</x:v>
      </x:c>
      <x:c r="U13" t="n">
        <x:f>YEAR(C13)</x:f>
        <x:v>2020</x:v>
      </x:c>
      <x:c r="V13" t="n">
        <x:f>YEAR(D13)</x:f>
        <x:v>2020</x:v>
      </x:c>
      <x:c r="W13" t="n">
        <x:f>N13-M13-O13-P13</x:f>
        <x:v>5.700680882316346</x:v>
      </x:c>
      <x:c r="X13" t="str">
        <x:f>IF(T13&gt;1,"Ganador",IF(T13&lt;0,"Perdedor","Empate"))</x:f>
        <x:v>Ganador</x:v>
      </x:c>
    </x:row>
    <x:row r="14">
      <x:c r="A14" t="str">
        <x:v>FTNT</x:v>
      </x:c>
      <x:c r="B14" t="n">
        <x:v>43980</x:v>
      </x:c>
      <x:c r="C14" t="n">
        <x:v>43983</x:v>
      </x:c>
      <x:c r="D14" t="n">
        <x:v>44011</x:v>
      </x:c>
      <x:c r="E14" t="n">
        <x:v>28</x:v>
      </x:c>
      <x:c r="F14" t="str">
        <x:v>enter_or_hold</x:v>
      </x:c>
      <x:c r="G14" t="str">
        <x:v>left_top_n</x:v>
      </x:c>
      <x:c r="H14" t="n">
        <x:v>6</x:v>
      </x:c>
      <x:c r="I14" t="n">
        <x:v>42.63025862517571</x:v>
      </x:c>
      <x:c r="J14" t="n">
        <x:v>63.272085269142366</x:v>
      </x:c>
      <x:c r="K14" t="n">
        <x:v>28.950000762939453</x:v>
      </x:c>
      <x:c r="L14" t="n">
        <x:v>26.694000244140625</x:v>
      </x:c>
      <x:c r="M14" t="n">
        <x:v>1831.7269168144417</x:v>
      </x:c>
      <x:c r="N14" t="n">
        <x:v>1688.9850596217727</x:v>
      </x:c>
      <x:c r="O14" t="n">
        <x:v>4.39614460035466</x:v>
      </x:c>
      <x:c r="P14" t="n">
        <x:v>4.053564143092254</x:v>
      </x:c>
      <x:c r="Q14" t="n">
        <x:v>28.950000762939453</x:v>
      </x:c>
      <x:c r="R14" t="n">
        <x:v>-7.792747700673164</x:v>
      </x:c>
      <x:c r="S14" t="n">
        <x:v>-7.792747700673164</x:v>
      </x:c>
      <x:c r="T14" t="n">
        <x:v>-8.272747700673165</x:v>
      </x:c>
      <x:c r="U14" t="n">
        <x:f>YEAR(C14)</x:f>
        <x:v>2020</x:v>
      </x:c>
      <x:c r="V14" t="n">
        <x:f>YEAR(D14)</x:f>
        <x:v>2020</x:v>
      </x:c>
      <x:c r="W14" t="n">
        <x:f>N14-M14-O14-P14</x:f>
        <x:v>-151.19156593611584</x:v>
      </x:c>
      <x:c r="X14" t="str">
        <x:f>IF(T14&gt;1,"Ganador",IF(T14&lt;0,"Perdedor","Empate"))</x:f>
        <x:v>Perdedor</x:v>
      </x:c>
    </x:row>
    <x:row r="15">
      <x:c r="A15" t="str">
        <x:v>DXCM</x:v>
      </x:c>
      <x:c r="B15" t="n">
        <x:v>43945</x:v>
      </x:c>
      <x:c r="C15" t="n">
        <x:v>43948</x:v>
      </x:c>
      <x:c r="D15" t="n">
        <x:v>44011</x:v>
      </x:c>
      <x:c r="E15" t="n">
        <x:v>63</x:v>
      </x:c>
      <x:c r="F15" t="str">
        <x:v>enter_or_hold</x:v>
      </x:c>
      <x:c r="G15" t="str">
        <x:v>rebalance_trim</x:v>
      </x:c>
      <x:c r="H15" t="n">
        <x:v>3</x:v>
      </x:c>
      <x:c r="I15" t="n">
        <x:v>70.54613382172508</x:v>
      </x:c>
      <x:c r="J15" t="n">
        <x:v>0.4824609401106039</x:v>
      </x:c>
      <x:c r="K15" t="n">
        <x:v>83.76249694824219</x:v>
      </x:c>
      <x:c r="L15" t="n">
        <x:v>99.5500030517578</x:v>
      </x:c>
      <x:c r="M15" t="n">
        <x:v>40.41213302366052</x:v>
      </x:c>
      <x:c r="N15" t="n">
        <x:v>48.028988060364554</x:v>
      </x:c>
      <x:c r="O15" t="n">
        <x:v>0.09698911925678524</x:v>
      </x:c>
      <x:c r="P15" t="n">
        <x:v>0.11526957134487492</x:v>
      </x:c>
      <x:c r="Q15" t="n">
        <x:v>83.76249694824219</x:v>
      </x:c>
      <x:c r="R15" t="n">
        <x:v>18.847941117694834</x:v>
      </x:c>
      <x:c r="S15" t="n">
        <x:v>18.847941117694834</x:v>
      </x:c>
      <x:c r="T15" t="n">
        <x:v>18.367941117694834</x:v>
      </x:c>
      <x:c r="U15" t="n">
        <x:f>YEAR(C15)</x:f>
        <x:v>2020</x:v>
      </x:c>
      <x:c r="V15" t="n">
        <x:f>YEAR(D15)</x:f>
        <x:v>2020</x:v>
      </x:c>
      <x:c r="W15" t="n">
        <x:f>N15-M15-O15-P15</x:f>
        <x:v>7.4045963461023705</x:v>
      </x:c>
      <x:c r="X15" t="str">
        <x:f>IF(T15&gt;1,"Ganador",IF(T15&lt;0,"Perdedor","Empate"))</x:f>
        <x:v>Ganador</x:v>
      </x:c>
    </x:row>
    <x:row r="16">
      <x:c r="A16" t="str">
        <x:v>NVDA</x:v>
      </x:c>
      <x:c r="B16" t="n">
        <x:v>43980</x:v>
      </x:c>
      <x:c r="C16" t="n">
        <x:v>43983</x:v>
      </x:c>
      <x:c r="D16" t="n">
        <x:v>44011</x:v>
      </x:c>
      <x:c r="E16" t="n">
        <x:v>28</x:v>
      </x:c>
      <x:c r="F16" t="str">
        <x:v>enter_or_hold</x:v>
      </x:c>
      <x:c r="G16" t="str">
        <x:v>rebalance_trim</x:v>
      </x:c>
      <x:c r="H16" t="n">
        <x:v>5</x:v>
      </x:c>
      <x:c r="I16" t="n">
        <x:v>60.0826849463052</x:v>
      </x:c>
      <x:c r="J16" t="n">
        <x:v>3.305154751829287</x:v>
      </x:c>
      <x:c r="K16" t="n">
        <x:v>8.806249618530273</x:v>
      </x:c>
      <x:c r="L16" t="n">
        <x:v>9.199999809265137</x:v>
      </x:c>
      <x:c r="M16" t="n">
        <x:v>29.106017772480183</x:v>
      </x:c>
      <x:c r="N16" t="n">
        <x:v>30.407423086421204</x:v>
      </x:c>
      <x:c r="O16" t="n">
        <x:v>0.06985444265395244</x:v>
      </x:c>
      <x:c r="P16" t="n">
        <x:v>0.07297781540741088</x:v>
      </x:c>
      <x:c r="Q16" t="n">
        <x:v>8.806249618530273</x:v>
      </x:c>
      <x:c r="R16" t="n">
        <x:v>4.471258569667702</x:v>
      </x:c>
      <x:c r="S16" t="n">
        <x:v>4.471258569667702</x:v>
      </x:c>
      <x:c r="T16" t="n">
        <x:v>3.991258569667702</x:v>
      </x:c>
      <x:c r="U16" t="n">
        <x:f>YEAR(C16)</x:f>
        <x:v>2020</x:v>
      </x:c>
      <x:c r="V16" t="n">
        <x:f>YEAR(D16)</x:f>
        <x:v>2020</x:v>
      </x:c>
      <x:c r="W16" t="n">
        <x:f>N16-M16-O16-P16</x:f>
        <x:v>1.1585730558796583</x:v>
      </x:c>
      <x:c r="X16" t="str">
        <x:f>IF(T16&gt;1,"Ganador",IF(T16&lt;0,"Perdedor","Empate"))</x:f>
        <x:v>Ganador</x:v>
      </x:c>
    </x:row>
    <x:row r="17">
      <x:c r="A17" t="str">
        <x:v>TSLA</x:v>
      </x:c>
      <x:c r="B17" t="n">
        <x:v>43945</x:v>
      </x:c>
      <x:c r="C17" t="n">
        <x:v>43948</x:v>
      </x:c>
      <x:c r="D17" t="n">
        <x:v>44011</x:v>
      </x:c>
      <x:c r="E17" t="n">
        <x:v>63</x:v>
      </x:c>
      <x:c r="F17" t="str">
        <x:v>enter_or_hold</x:v>
      </x:c>
      <x:c r="G17" t="str">
        <x:v>rebalance_trim</x:v>
      </x:c>
      <x:c r="H17" t="n">
        <x:v>2</x:v>
      </x:c>
      <x:c r="I17" t="n">
        <x:v>91.01609867002064</x:v>
      </x:c>
      <x:c r="J17" t="n">
        <x:v>2.6893870642235043</x:v>
      </x:c>
      <x:c r="K17" t="n">
        <x:v>53.25</x:v>
      </x:c>
      <x:c r="L17" t="n">
        <x:v>67.29000091552734</x:v>
      </x:c>
      <x:c r="M17" t="n">
        <x:v>143.20986116990161</x:v>
      </x:c>
      <x:c r="N17" t="n">
        <x:v>180.968858013807</x:v>
      </x:c>
      <x:c r="O17" t="n">
        <x:v>0.3437036668077639</x:v>
      </x:c>
      <x:c r="P17" t="n">
        <x:v>0.43432525923313675</x:v>
      </x:c>
      <x:c r="Q17" t="n">
        <x:v>53.25</x:v>
      </x:c>
      <x:c r="R17" t="n">
        <x:v>26.366198902398775</x:v>
      </x:c>
      <x:c r="S17" t="n">
        <x:v>26.366198902398775</x:v>
      </x:c>
      <x:c r="T17" t="n">
        <x:v>25.886198902398775</x:v>
      </x:c>
      <x:c r="U17" t="n">
        <x:f>YEAR(C17)</x:f>
        <x:v>2020</x:v>
      </x:c>
      <x:c r="V17" t="n">
        <x:f>YEAR(D17)</x:f>
        <x:v>2020</x:v>
      </x:c>
      <x:c r="W17" t="n">
        <x:f>N17-M17-O17-P17</x:f>
        <x:v>36.98096791786448</x:v>
      </x:c>
      <x:c r="X17" t="str">
        <x:f>IF(T17&gt;1,"Ganador",IF(T17&lt;0,"Perdedor","Empate"))</x:f>
        <x:v>Ganador</x:v>
      </x:c>
    </x:row>
    <x:row r="18">
      <x:c r="A18" t="str">
        <x:v>DXCM</x:v>
      </x:c>
      <x:c r="B18" t="n">
        <x:v>43945</x:v>
      </x:c>
      <x:c r="C18" t="n">
        <x:v>43948</x:v>
      </x:c>
      <x:c r="D18" t="n">
        <x:v>44046</x:v>
      </x:c>
      <x:c r="E18" t="n">
        <x:v>98</x:v>
      </x:c>
      <x:c r="F18" t="str">
        <x:v>enter_or_hold</x:v>
      </x:c>
      <x:c r="G18" t="str">
        <x:v>left_top_n</x:v>
      </x:c>
      <x:c r="H18" t="n">
        <x:v>3</x:v>
      </x:c>
      <x:c r="I18" t="n">
        <x:v>70.54613382172508</x:v>
      </x:c>
      <x:c r="J18" t="n">
        <x:v>18.917334834132316</x:v>
      </x:c>
      <x:c r="K18" t="n">
        <x:v>83.76249694824219</x:v>
      </x:c>
      <x:c r="L18" t="n">
        <x:v>110.9175033569336</x:v>
      </x:c>
      <x:c r="M18" t="n">
        <x:v>1584.5632013128836</x:v>
      </x:c>
      <x:c r="N18" t="n">
        <x:v>2098.2635499691078</x:v>
      </x:c>
      <x:c r="O18" t="n">
        <x:v>3.8029516831509205</x:v>
      </x:c>
      <x:c r="P18" t="n">
        <x:v>5.035832519925858</x:v>
      </x:c>
      <x:c r="Q18" t="n">
        <x:v>83.76249694824219</x:v>
      </x:c>
      <x:c r="R18" t="n">
        <x:v>32.41905076620484</x:v>
      </x:c>
      <x:c r="S18" t="n">
        <x:v>32.41905076620484</x:v>
      </x:c>
      <x:c r="T18" t="n">
        <x:v>31.93905076620484</x:v>
      </x:c>
      <x:c r="U18" t="n">
        <x:f>YEAR(C18)</x:f>
        <x:v>2020</x:v>
      </x:c>
      <x:c r="V18" t="n">
        <x:f>YEAR(D18)</x:f>
        <x:v>2020</x:v>
      </x:c>
      <x:c r="W18" t="n">
        <x:f>N18-M18-O18-P18</x:f>
        <x:v>504.86156445314737</x:v>
      </x:c>
      <x:c r="X18" t="str">
        <x:f>IF(T18&gt;1,"Ganador",IF(T18&lt;0,"Perdedor","Empate"))</x:f>
        <x:v>Ganador</x:v>
      </x:c>
    </x:row>
    <x:row r="19">
      <x:c r="A19" t="str">
        <x:v>REGN</x:v>
      </x:c>
      <x:c r="B19" t="n">
        <x:v>43945</x:v>
      </x:c>
      <x:c r="C19" t="n">
        <x:v>43948</x:v>
      </x:c>
      <x:c r="D19" t="n">
        <x:v>44046</x:v>
      </x:c>
      <x:c r="E19" t="n">
        <x:v>98</x:v>
      </x:c>
      <x:c r="F19" t="str">
        <x:v>enter_or_hold</x:v>
      </x:c>
      <x:c r="G19" t="str">
        <x:v>left_top_n</x:v>
      </x:c>
      <x:c r="H19" t="n">
        <x:v>6</x:v>
      </x:c>
      <x:c r="I19" t="n">
        <x:v>51.56257206443176</x:v>
      </x:c>
      <x:c r="J19" t="n">
        <x:v>3.082632291693604</x:v>
      </x:c>
      <x:c r="K19" t="n">
        <x:v>547.9063617533454</x:v>
      </x:c>
      <x:c r="L19" t="n">
        <x:v>645.1799926757812</x:v>
      </x:c>
      <x:c r="M19" t="n">
        <x:v>1688.9938435652202</x:v>
      </x:c>
      <x:c r="N19" t="n">
        <x:v>1988.8526793770063</x:v>
      </x:c>
      <x:c r="O19" t="n">
        <x:v>4.053585224556528</x:v>
      </x:c>
      <x:c r="P19" t="n">
        <x:v>4.773246430504814</x:v>
      </x:c>
      <x:c r="Q19" t="n">
        <x:v>547.52001953125</x:v>
      </x:c>
      <x:c r="R19" t="n">
        <x:v>17.836785808880773</x:v>
      </x:c>
      <x:c r="S19" t="n">
        <x:v>17.753696199319926</x:v>
      </x:c>
      <x:c r="T19" t="n">
        <x:v>17.273696199319925</x:v>
      </x:c>
      <x:c r="U19" t="n">
        <x:f>YEAR(C19)</x:f>
        <x:v>2020</x:v>
      </x:c>
      <x:c r="V19" t="n">
        <x:f>YEAR(D19)</x:f>
        <x:v>2020</x:v>
      </x:c>
      <x:c r="W19" t="n">
        <x:f>N19-M19-O19-P19</x:f>
        <x:v>291.0320041567248</x:v>
      </x:c>
      <x:c r="X19" t="str">
        <x:f>IF(T19&gt;1,"Ganador",IF(T19&lt;0,"Perdedor","Empate"))</x:f>
        <x:v>Ganador</x:v>
      </x:c>
    </x:row>
    <x:row r="20">
      <x:c r="A20" t="str">
        <x:v>NVDA</x:v>
      </x:c>
      <x:c r="B20" t="n">
        <x:v>43980</x:v>
      </x:c>
      <x:c r="C20" t="n">
        <x:v>43983</x:v>
      </x:c>
      <x:c r="D20" t="n">
        <x:v>44046</x:v>
      </x:c>
      <x:c r="E20" t="n">
        <x:v>63</x:v>
      </x:c>
      <x:c r="F20" t="str">
        <x:v>enter_or_hold</x:v>
      </x:c>
      <x:c r="G20" t="str">
        <x:v>left_top_n</x:v>
      </x:c>
      <x:c r="H20" t="n">
        <x:v>5</x:v>
      </x:c>
      <x:c r="I20" t="n">
        <x:v>60.0826849463052</x:v>
      </x:c>
      <x:c r="J20" t="n">
        <x:v>204.69791081652434</x:v>
      </x:c>
      <x:c r="K20" t="n">
        <x:v>8.806249618530273</x:v>
      </x:c>
      <x:c r="L20" t="n">
        <x:v>11.010250091552734</x:v>
      </x:c>
      <x:c r="M20" t="n">
        <x:v>1802.6208990419616</x:v>
      </x:c>
      <x:c r="N20" t="n">
        <x:v>2253.7751913082907</x:v>
      </x:c>
      <x:c r="O20" t="n">
        <x:v>4.326290157700708</x:v>
      </x:c>
      <x:c r="P20" t="n">
        <x:v>5.409060459139897</x:v>
      </x:c>
      <x:c r="Q20" t="n">
        <x:v>8.806249618530273</x:v>
      </x:c>
      <x:c r="R20" t="n">
        <x:v>25.02768566070126</x:v>
      </x:c>
      <x:c r="S20" t="n">
        <x:v>25.02768566070126</x:v>
      </x:c>
      <x:c r="T20" t="n">
        <x:v>24.54768566070126</x:v>
      </x:c>
      <x:c r="U20" t="n">
        <x:f>YEAR(C20)</x:f>
        <x:v>2020</x:v>
      </x:c>
      <x:c r="V20" t="n">
        <x:f>YEAR(D20)</x:f>
        <x:v>2020</x:v>
      </x:c>
      <x:c r="W20" t="n">
        <x:f>N20-M20-O20-P20</x:f>
        <x:v>441.4189416494885</x:v>
      </x:c>
      <x:c r="X20" t="str">
        <x:f>IF(T20&gt;1,"Ganador",IF(T20&lt;0,"Perdedor","Empate"))</x:f>
        <x:v>Ganador</x:v>
      </x:c>
    </x:row>
    <x:row r="21">
      <x:c r="A21" t="str">
        <x:v>MRNA</x:v>
      </x:c>
      <x:c r="B21" t="n">
        <x:v>43945</x:v>
      </x:c>
      <x:c r="C21" t="n">
        <x:v>43948</x:v>
      </x:c>
      <x:c r="D21" t="n">
        <x:v>44046</x:v>
      </x:c>
      <x:c r="E21" t="n">
        <x:v>98</x:v>
      </x:c>
      <x:c r="F21" t="str">
        <x:v>enter_or_hold</x:v>
      </x:c>
      <x:c r="G21" t="str">
        <x:v>rebalance_trim</x:v>
      </x:c>
      <x:c r="H21" t="n">
        <x:v>1</x:v>
      </x:c>
      <x:c r="I21" t="n">
        <x:v>121.79331032678826</x:v>
      </x:c>
      <x:c r="J21" t="n">
        <x:v>1.136567573013991</x:v>
      </x:c>
      <x:c r="K21" t="n">
        <x:v>48.41709726704799</x:v>
      </x:c>
      <x:c r="L21" t="n">
        <x:v>77.9800033569336</x:v>
      </x:c>
      <x:c r="M21" t="n">
        <x:v>55.02930273319108</x:v>
      </x:c>
      <x:c r="N21" t="n">
        <x:v>88.62954315901288</x:v>
      </x:c>
      <x:c r="O21" t="n">
        <x:v>0.13207032655965859</x:v>
      </x:c>
      <x:c r="P21" t="n">
        <x:v>0.2127109035816309</x:v>
      </x:c>
      <x:c r="Q21" t="n">
        <x:v>48.04999923706055</x:v>
      </x:c>
      <x:c r="R21" t="n">
        <x:v>62.289291561087666</x:v>
      </x:c>
      <x:c r="S21" t="n">
        <x:v>61.05881549823042</x:v>
      </x:c>
      <x:c r="T21" t="n">
        <x:v>60.578815498230426</x:v>
      </x:c>
      <x:c r="U21" t="n">
        <x:f>YEAR(C21)</x:f>
        <x:v>2020</x:v>
      </x:c>
      <x:c r="V21" t="n">
        <x:f>YEAR(D21)</x:f>
        <x:v>2020</x:v>
      </x:c>
      <x:c r="W21" t="n">
        <x:f>N21-M21-O21-P21</x:f>
        <x:v>33.255459195680515</x:v>
      </x:c>
      <x:c r="X21" t="str">
        <x:f>IF(T21&gt;1,"Ganador",IF(T21&lt;0,"Perdedor","Empate"))</x:f>
        <x:v>Ganador</x:v>
      </x:c>
    </x:row>
    <x:row r="22">
      <x:c r="A22" t="str">
        <x:v>TSLA</x:v>
      </x:c>
      <x:c r="B22" t="n">
        <x:v>43945</x:v>
      </x:c>
      <x:c r="C22" t="n">
        <x:v>43948</x:v>
      </x:c>
      <x:c r="D22" t="n">
        <x:v>44046</x:v>
      </x:c>
      <x:c r="E22" t="n">
        <x:v>98</x:v>
      </x:c>
      <x:c r="F22" t="str">
        <x:v>enter_or_hold</x:v>
      </x:c>
      <x:c r="G22" t="str">
        <x:v>rebalance_trim</x:v>
      </x:c>
      <x:c r="H22" t="n">
        <x:v>2</x:v>
      </x:c>
      <x:c r="I22" t="n">
        <x:v>91.01609867002064</x:v>
      </x:c>
      <x:c r="J22" t="n">
        <x:v>4.990321964269614</x:v>
      </x:c>
      <x:c r="K22" t="n">
        <x:v>53.25</x:v>
      </x:c>
      <x:c r="L22" t="n">
        <x:v>99</x:v>
      </x:c>
      <x:c r="M22" t="n">
        <x:v>265.7346445973569</x:v>
      </x:c>
      <x:c r="N22" t="n">
        <x:v>494.0418744626918</x:v>
      </x:c>
      <x:c r="O22" t="n">
        <x:v>0.6377631470336566</x:v>
      </x:c>
      <x:c r="P22" t="n">
        <x:v>1.1857004987104602</x:v>
      </x:c>
      <x:c r="Q22" t="n">
        <x:v>53.25</x:v>
      </x:c>
      <x:c r="R22" t="n">
        <x:v>85.91549295774648</x:v>
      </x:c>
      <x:c r="S22" t="n">
        <x:v>85.91549295774648</x:v>
      </x:c>
      <x:c r="T22" t="n">
        <x:v>85.43549295774648</x:v>
      </x:c>
      <x:c r="U22" t="n">
        <x:f>YEAR(C22)</x:f>
        <x:v>2020</x:v>
      </x:c>
      <x:c r="V22" t="n">
        <x:f>YEAR(D22)</x:f>
        <x:v>2020</x:v>
      </x:c>
      <x:c r="W22" t="n">
        <x:f>N22-M22-O22-P22</x:f>
        <x:v>226.48376621959073</x:v>
      </x:c>
      <x:c r="X22" t="str">
        <x:f>IF(T22&gt;1,"Ganador",IF(T22&lt;0,"Perdedor","Empate"))</x:f>
        <x:v>Ganador</x:v>
      </x:c>
    </x:row>
    <x:row r="23">
      <x:c r="A23" t="str">
        <x:v>TTD</x:v>
      </x:c>
      <x:c r="B23" t="n">
        <x:v>44008</x:v>
      </x:c>
      <x:c r="C23" t="n">
        <x:v>44011</x:v>
      </x:c>
      <x:c r="D23" t="n">
        <x:v>44074</x:v>
      </x:c>
      <x:c r="E23" t="n">
        <x:v>63</x:v>
      </x:c>
      <x:c r="F23" t="str">
        <x:v>enter_or_hold</x:v>
      </x:c>
      <x:c r="G23" t="str">
        <x:v>left_top_n</x:v>
      </x:c>
      <x:c r="H23" t="n">
        <x:v>6</x:v>
      </x:c>
      <x:c r="I23" t="n">
        <x:v>64.26891547482354</x:v>
      </x:c>
      <x:c r="J23" t="n">
        <x:v>47.88793668406363</x:v>
      </x:c>
      <x:c r="K23" t="n">
        <x:v>40.85207232354806</x:v>
      </x:c>
      <x:c r="L23" t="n">
        <x:v>48.130001068115234</x:v>
      </x:c>
      <x:c r="M23" t="n">
        <x:v>1956.3214528428578</x:v>
      </x:c>
      <x:c r="N23" t="n">
        <x:v>2304.8464437538173</x:v>
      </x:c>
      <x:c r="O23" t="n">
        <x:v>4.695171486822859</x:v>
      </x:c>
      <x:c r="P23" t="n">
        <x:v>5.531631465009161</x:v>
      </x:c>
      <x:c r="Q23" t="n">
        <x:v>40.6150016784668</x:v>
      </x:c>
      <x:c r="R23" t="n">
        <x:v>18.503013859612196</x:v>
      </x:c>
      <x:c r="S23" t="n">
        <x:v>17.815323264205652</x:v>
      </x:c>
      <x:c r="T23" t="n">
        <x:v>17.335323264205652</x:v>
      </x:c>
      <x:c r="U23" t="n">
        <x:f>YEAR(C23)</x:f>
        <x:v>2020</x:v>
      </x:c>
      <x:c r="V23" t="n">
        <x:f>YEAR(D23)</x:f>
        <x:v>2020</x:v>
      </x:c>
      <x:c r="W23" t="n">
        <x:f>N23-M23-O23-P23</x:f>
        <x:v>338.2981879591275</x:v>
      </x:c>
      <x:c r="X23" t="str">
        <x:f>IF(T23&gt;1,"Ganador",IF(T23&lt;0,"Perdedor","Empate"))</x:f>
        <x:v>Ganador</x:v>
      </x:c>
    </x:row>
    <x:row r="24">
      <x:c r="A24" t="str">
        <x:v>AMD</x:v>
      </x:c>
      <x:c r="B24" t="n">
        <x:v>44043</x:v>
      </x:c>
      <x:c r="C24" t="n">
        <x:v>44046</x:v>
      </x:c>
      <x:c r="D24" t="n">
        <x:v>44074</x:v>
      </x:c>
      <x:c r="E24" t="n">
        <x:v>28</x:v>
      </x:c>
      <x:c r="F24" t="str">
        <x:v>enter_or_hold</x:v>
      </x:c>
      <x:c r="G24" t="str">
        <x:v>left_top_n</x:v>
      </x:c>
      <x:c r="H24" t="n">
        <x:v>5</x:v>
      </x:c>
      <x:c r="I24" t="n">
        <x:v>71.58929682510586</x:v>
      </x:c>
      <x:c r="J24" t="n">
        <x:v>29.23649422712067</x:v>
      </x:c>
      <x:c r="K24" t="n">
        <x:v>77.66999816894531</x:v>
      </x:c>
      <x:c r="L24" t="n">
        <x:v>90.81999969482422</x:v>
      </x:c>
      <x:c r="M24" t="n">
        <x:v>2270.7984530868425</x:v>
      </x:c>
      <x:c r="N24" t="n">
        <x:v>2655.258396784829</x:v>
      </x:c>
      <x:c r="O24" t="n">
        <x:v>5.4499162874084215</x:v>
      </x:c>
      <x:c r="P24" t="n">
        <x:v>6.372620152283589</x:v>
      </x:c>
      <x:c r="Q24" t="n">
        <x:v>77.66999816894531</x:v>
      </x:c>
      <x:c r="R24" t="n">
        <x:v>16.930606200447485</x:v>
      </x:c>
      <x:c r="S24" t="n">
        <x:v>16.930606200447485</x:v>
      </x:c>
      <x:c r="T24" t="n">
        <x:v>16.450606200447485</x:v>
      </x:c>
      <x:c r="U24" t="n">
        <x:f>YEAR(C24)</x:f>
        <x:v>2020</x:v>
      </x:c>
      <x:c r="V24" t="n">
        <x:f>YEAR(D24)</x:f>
        <x:v>2020</x:v>
      </x:c>
      <x:c r="W24" t="n">
        <x:f>N24-M24-O24-P24</x:f>
        <x:v>372.6374072582945</x:v>
      </x:c>
      <x:c r="X24" t="str">
        <x:f>IF(T24&gt;1,"Ganador",IF(T24&lt;0,"Perdedor","Empate"))</x:f>
        <x:v>Ganador</x:v>
      </x:c>
    </x:row>
    <x:row r="25">
      <x:c r="A25" t="str">
        <x:v>CVNA</x:v>
      </x:c>
      <x:c r="B25" t="n">
        <x:v>44043</x:v>
      </x:c>
      <x:c r="C25" t="n">
        <x:v>44046</x:v>
      </x:c>
      <x:c r="D25" t="n">
        <x:v>44074</x:v>
      </x:c>
      <x:c r="E25" t="n">
        <x:v>28</x:v>
      </x:c>
      <x:c r="F25" t="str">
        <x:v>enter_or_hold</x:v>
      </x:c>
      <x:c r="G25" t="str">
        <x:v>rebalance_trim</x:v>
      </x:c>
      <x:c r="H25" t="n">
        <x:v>4</x:v>
      </x:c>
      <x:c r="I25" t="n">
        <x:v>74.22836499563795</x:v>
      </x:c>
      <x:c r="J25" t="n">
        <x:v>1.5617440980462693</x:v>
      </x:c>
      <x:c r="K25" t="n">
        <x:v>159.49000549316406</x:v>
      </x:c>
      <x:c r="L25" t="n">
        <x:v>215.9600067138672</x:v>
      </x:c>
      <x:c r="M25" t="n">
        <x:v>249.08257477631608</x:v>
      </x:c>
      <x:c r="N25" t="n">
        <x:v>337.2742658994148</x:v>
      </x:c>
      <x:c r="O25" t="n">
        <x:v>0.5977981794631585</x:v>
      </x:c>
      <x:c r="P25" t="n">
        <x:v>0.8094582381585954</x:v>
      </x:c>
      <x:c r="Q25" t="n">
        <x:v>159.49000549316406</x:v>
      </x:c>
      <x:c r="R25" t="n">
        <x:v>35.406608110702905</x:v>
      </x:c>
      <x:c r="S25" t="n">
        <x:v>35.406608110702905</x:v>
      </x:c>
      <x:c r="T25" t="n">
        <x:v>34.92660811070291</x:v>
      </x:c>
      <x:c r="U25" t="n">
        <x:f>YEAR(C25)</x:f>
        <x:v>2020</x:v>
      </x:c>
      <x:c r="V25" t="n">
        <x:f>YEAR(D25)</x:f>
        <x:v>2020</x:v>
      </x:c>
      <x:c r="W25" t="n">
        <x:f>N25-M25-O25-P25</x:f>
        <x:v>86.78443470547695</x:v>
      </x:c>
      <x:c r="X25" t="str">
        <x:f>IF(T25&gt;1,"Ganador",IF(T25&lt;0,"Perdedor","Empate"))</x:f>
        <x:v>Ganador</x:v>
      </x:c>
    </x:row>
    <x:row r="26">
      <x:c r="A26" t="str">
        <x:v>TSLA</x:v>
      </x:c>
      <x:c r="B26" t="n">
        <x:v>43945</x:v>
      </x:c>
      <x:c r="C26" t="n">
        <x:v>43948</x:v>
      </x:c>
      <x:c r="D26" t="n">
        <x:v>44074</x:v>
      </x:c>
      <x:c r="E26" t="n">
        <x:v>126</x:v>
      </x:c>
      <x:c r="F26" t="str">
        <x:v>enter_or_hold</x:v>
      </x:c>
      <x:c r="G26" t="str">
        <x:v>rebalance_trim</x:v>
      </x:c>
      <x:c r="H26" t="n">
        <x:v>2</x:v>
      </x:c>
      <x:c r="I26" t="n">
        <x:v>91.01609867002064</x:v>
      </x:c>
      <x:c r="J26" t="n">
        <x:v>6.515718279794194</x:v>
      </x:c>
      <x:c r="K26" t="n">
        <x:v>53.25</x:v>
      </x:c>
      <x:c r="L26" t="n">
        <x:v>166.10667419433594</x:v>
      </x:c>
      <x:c r="M26" t="n">
        <x:v>346.96199839904085</x:v>
      </x:c>
      <x:c r="N26" t="n">
        <x:v>1082.304293443853</x:v>
      </x:c>
      <x:c r="O26" t="n">
        <x:v>0.832708796157698</x:v>
      </x:c>
      <x:c r="P26" t="n">
        <x:v>2.597530304265247</x:v>
      </x:c>
      <x:c r="Q26" t="n">
        <x:v>53.25</x:v>
      </x:c>
      <x:c r="R26" t="n">
        <x:v>211.93741632739145</x:v>
      </x:c>
      <x:c r="S26" t="n">
        <x:v>211.93741632739145</x:v>
      </x:c>
      <x:c r="T26" t="n">
        <x:v>211.45741632739146</x:v>
      </x:c>
      <x:c r="U26" t="n">
        <x:f>YEAR(C26)</x:f>
        <x:v>2020</x:v>
      </x:c>
      <x:c r="V26" t="n">
        <x:f>YEAR(D26)</x:f>
        <x:v>2020</x:v>
      </x:c>
      <x:c r="W26" t="n">
        <x:f>N26-M26-O26-P26</x:f>
        <x:v>731.9120559443894</x:v>
      </x:c>
      <x:c r="X26" t="str">
        <x:f>IF(T26&gt;1,"Ganador",IF(T26&lt;0,"Perdedor","Empate"))</x:f>
        <x:v>Ganador</x:v>
      </x:c>
    </x:row>
    <x:row r="27">
      <x:c r="A27" t="str">
        <x:v>MRNA</x:v>
      </x:c>
      <x:c r="B27" t="n">
        <x:v>43945</x:v>
      </x:c>
      <x:c r="C27" t="n">
        <x:v>43948</x:v>
      </x:c>
      <x:c r="D27" t="n">
        <x:v>44102</x:v>
      </x:c>
      <x:c r="E27" t="n">
        <x:v>154</x:v>
      </x:c>
      <x:c r="F27" t="str">
        <x:v>enter_or_hold</x:v>
      </x:c>
      <x:c r="G27" t="str">
        <x:v>market_filter_failed</x:v>
      </x:c>
      <x:c r="H27" t="n">
        <x:v>5</x:v>
      </x:c>
      <x:c r="I27" t="n">
        <x:v>79.87785472398387</x:v>
      </x:c>
      <x:c r="J27" t="n">
        <x:v>42.14519936974094</x:v>
      </x:c>
      <x:c r="K27" t="n">
        <x:v>53.47877684844133</x:v>
      </x:c>
      <x:c r="L27" t="n">
        <x:v>70.55000305175781</x:v>
      </x:c>
      <x:c r="M27" t="n">
        <x:v>2253.873712327446</x:v>
      </x:c>
      <x:c r="N27" t="n">
        <x:v>2973.343944152165</x:v>
      </x:c>
      <x:c r="O27" t="n">
        <x:v>5.40929690958587</x:v>
      </x:c>
      <x:c r="P27" t="n">
        <x:v>7.136025465965195</x:v>
      </x:c>
      <x:c r="Q27" t="n">
        <x:v>48.04999923706055</x:v>
      </x:c>
      <x:c r="R27" t="n">
        <x:v>46.82623136722801</x:v>
      </x:c>
      <x:c r="S27" t="n">
        <x:v>31.92149710472303</x:v>
      </x:c>
      <x:c r="T27" t="n">
        <x:v>31.44149710472303</x:v>
      </x:c>
      <x:c r="U27" t="n">
        <x:f>YEAR(C27)</x:f>
        <x:v>2020</x:v>
      </x:c>
      <x:c r="V27" t="n">
        <x:f>YEAR(D27)</x:f>
        <x:v>2020</x:v>
      </x:c>
      <x:c r="W27" t="n">
        <x:f>N27-M27-O27-P27</x:f>
        <x:v>706.924909449168</x:v>
      </x:c>
      <x:c r="X27" t="str">
        <x:f>IF(T27&gt;1,"Ganador",IF(T27&lt;0,"Perdedor","Empate"))</x:f>
        <x:v>Ganador</x:v>
      </x:c>
    </x:row>
    <x:row r="28">
      <x:c r="A28" t="str">
        <x:v>TSLA</x:v>
      </x:c>
      <x:c r="B28" t="n">
        <x:v>43945</x:v>
      </x:c>
      <x:c r="C28" t="n">
        <x:v>43948</x:v>
      </x:c>
      <x:c r="D28" t="n">
        <x:v>44102</x:v>
      </x:c>
      <x:c r="E28" t="n">
        <x:v>154</x:v>
      </x:c>
      <x:c r="F28" t="str">
        <x:v>enter_or_hold</x:v>
      </x:c>
      <x:c r="G28" t="str">
        <x:v>market_filter_failed</x:v>
      </x:c>
      <x:c r="H28" t="n">
        <x:v>2</x:v>
      </x:c>
      <x:c r="I28" t="n">
        <x:v>91.01609867002064</x:v>
      </x:c>
      <x:c r="J28" t="n">
        <x:v>16.48059543503362</x:v>
      </x:c>
      <x:c r="K28" t="n">
        <x:v>53.25</x:v>
      </x:c>
      <x:c r="L28" t="n">
        <x:v>140.39999389648438</x:v>
      </x:c>
      <x:c r="M28" t="n">
        <x:v>877.5917069155403</x:v>
      </x:c>
      <x:c r="N28" t="n">
        <x:v>2313.8754984891484</x:v>
      </x:c>
      <x:c r="O28" t="n">
        <x:v>2.106220096597297</x:v>
      </x:c>
      <x:c r="P28" t="n">
        <x:v>5.553301196373956</x:v>
      </x:c>
      <x:c r="Q28" t="n">
        <x:v>53.25</x:v>
      </x:c>
      <x:c r="R28" t="n">
        <x:v>163.66196036898475</x:v>
      </x:c>
      <x:c r="S28" t="n">
        <x:v>163.66196036898475</x:v>
      </x:c>
      <x:c r="T28" t="n">
        <x:v>163.18196036898476</x:v>
      </x:c>
      <x:c r="U28" t="n">
        <x:f>YEAR(C28)</x:f>
        <x:v>2020</x:v>
      </x:c>
      <x:c r="V28" t="n">
        <x:f>YEAR(D28)</x:f>
        <x:v>2020</x:v>
      </x:c>
      <x:c r="W28" t="n">
        <x:f>N28-M28-O28-P28</x:f>
        <x:v>1428.624270280637</x:v>
      </x:c>
      <x:c r="X28" t="str">
        <x:f>IF(T28&gt;1,"Ganador",IF(T28&lt;0,"Perdedor","Empate"))</x:f>
        <x:v>Ganador</x:v>
      </x:c>
    </x:row>
    <x:row r="29">
      <x:c r="A29" t="str">
        <x:v>CVNA</x:v>
      </x:c>
      <x:c r="B29" t="n">
        <x:v>44043</x:v>
      </x:c>
      <x:c r="C29" t="n">
        <x:v>44046</x:v>
      </x:c>
      <x:c r="D29" t="n">
        <x:v>44102</x:v>
      </x:c>
      <x:c r="E29" t="n">
        <x:v>56</x:v>
      </x:c>
      <x:c r="F29" t="str">
        <x:v>enter_or_hold</x:v>
      </x:c>
      <x:c r="G29" t="str">
        <x:v>market_filter_failed</x:v>
      </x:c>
      <x:c r="H29" t="n">
        <x:v>4</x:v>
      </x:c>
      <x:c r="I29" t="n">
        <x:v>74.22836499563795</x:v>
      </x:c>
      <x:c r="J29" t="n">
        <x:v>12.676128965317389</x:v>
      </x:c>
      <x:c r="K29" t="n">
        <x:v>159.49000549316406</x:v>
      </x:c>
      <x:c r="L29" t="n">
        <x:v>218.0200042724609</x:v>
      </x:c>
      <x:c r="M29" t="n">
        <x:v>2021.7158783105265</x:v>
      </x:c>
      <x:c r="N29" t="n">
        <x:v>2763.6496911767626</x:v>
      </x:c>
      <x:c r="O29" t="n">
        <x:v>4.852118107945263</x:v>
      </x:c>
      <x:c r="P29" t="n">
        <x:v>6.63275925882423</x:v>
      </x:c>
      <x:c r="Q29" t="n">
        <x:v>159.49000549316406</x:v>
      </x:c>
      <x:c r="R29" t="n">
        <x:v>36.69822356473962</x:v>
      </x:c>
      <x:c r="S29" t="n">
        <x:v>36.69822356473962</x:v>
      </x:c>
      <x:c r="T29" t="n">
        <x:v>36.218223564739624</x:v>
      </x:c>
      <x:c r="U29" t="n">
        <x:f>YEAR(C29)</x:f>
        <x:v>2020</x:v>
      </x:c>
      <x:c r="V29" t="n">
        <x:f>YEAR(D29)</x:f>
        <x:v>2020</x:v>
      </x:c>
      <x:c r="W29" t="n">
        <x:f>N29-M29-O29-P29</x:f>
        <x:v>730.4489354994668</x:v>
      </x:c>
      <x:c r="X29" t="str">
        <x:f>IF(T29&gt;1,"Ganador",IF(T29&lt;0,"Perdedor","Empate"))</x:f>
        <x:v>Ganador</x:v>
      </x:c>
    </x:row>
    <x:row r="30">
      <x:c r="A30" t="str">
        <x:v>XYZ</x:v>
      </x:c>
      <x:c r="B30" t="n">
        <x:v>44043</x:v>
      </x:c>
      <x:c r="C30" t="n">
        <x:v>44046</x:v>
      </x:c>
      <x:c r="D30" t="n">
        <x:v>44102</x:v>
      </x:c>
      <x:c r="E30" t="n">
        <x:v>56</x:v>
      </x:c>
      <x:c r="F30" t="str">
        <x:v>enter_or_hold</x:v>
      </x:c>
      <x:c r="G30" t="str">
        <x:v>market_filter_failed</x:v>
      </x:c>
      <x:c r="H30" t="n">
        <x:v>3</x:v>
      </x:c>
      <x:c r="I30" t="n">
        <x:v>94.4562648264008</x:v>
      </x:c>
      <x:c r="J30" t="n">
        <x:v>17.15243722344181</x:v>
      </x:c>
      <x:c r="K30" t="n">
        <x:v>135.2428072767269</x:v>
      </x:c>
      <x:c r="L30" t="n">
        <x:v>160.75999450683594</x:v>
      </x:c>
      <x:c r="M30" t="n">
        <x:v>2319.7437617360974</x:v>
      </x:c>
      <x:c r="N30" t="n">
        <x:v>2757.425713819354</x:v>
      </x:c>
      <x:c r="O30" t="n">
        <x:v>5.567385028166634</x:v>
      </x:c>
      <x:c r="P30" t="n">
        <x:v>6.617821713166449</x:v>
      </x:c>
      <x:c r="Q30" t="n">
        <x:v>134.8000030517578</x:v>
      </x:c>
      <x:c r="R30" t="n">
        <x:v>19.258153462437622</x:v>
      </x:c>
      <x:c r="S30" t="n">
        <x:v>18.867685272087776</x:v>
      </x:c>
      <x:c r="T30" t="n">
        <x:v>18.387685272087776</x:v>
      </x:c>
      <x:c r="U30" t="n">
        <x:f>YEAR(C30)</x:f>
        <x:v>2020</x:v>
      </x:c>
      <x:c r="V30" t="n">
        <x:f>YEAR(D30)</x:f>
        <x:v>2020</x:v>
      </x:c>
      <x:c r="W30" t="n">
        <x:f>N30-M30-O30-P30</x:f>
        <x:v>425.4967453419233</x:v>
      </x:c>
      <x:c r="X30" t="str">
        <x:f>IF(T30&gt;1,"Ganador",IF(T30&lt;0,"Perdedor","Empate"))</x:f>
        <x:v>Ganador</x:v>
      </x:c>
    </x:row>
    <x:row r="31">
      <x:c r="A31" t="str">
        <x:v>GNRC</x:v>
      </x:c>
      <x:c r="B31" t="n">
        <x:v>44071</x:v>
      </x:c>
      <x:c r="C31" t="n">
        <x:v>44074</x:v>
      </x:c>
      <x:c r="D31" t="n">
        <x:v>44102</x:v>
      </x:c>
      <x:c r="E31" t="n">
        <x:v>28</x:v>
      </x:c>
      <x:c r="F31" t="str">
        <x:v>enter_or_hold</x:v>
      </x:c>
      <x:c r="G31" t="str">
        <x:v>market_filter_failed</x:v>
      </x:c>
      <x:c r="H31" t="n">
        <x:v>6</x:v>
      </x:c>
      <x:c r="I31" t="n">
        <x:v>74.3365106028687</x:v>
      </x:c>
      <x:c r="J31" t="n">
        <x:v>14.369559940577874</x:v>
      </x:c>
      <x:c r="K31" t="n">
        <x:v>189.97999572753903</x:v>
      </x:c>
      <x:c r="L31" t="n">
        <x:v>190.17999267578125</x:v>
      </x:c>
      <x:c r="M31" t="n">
        <x:v>2729.9289361176006</x:v>
      </x:c>
      <x:c r="N31" t="n">
        <x:v>2732.8028042532997</x:v>
      </x:c>
      <x:c r="O31" t="n">
        <x:v>6.551829446682241</x:v>
      </x:c>
      <x:c r="P31" t="n">
        <x:v>6.558726730207918</x:v>
      </x:c>
      <x:c r="Q31" t="n">
        <x:v>189.97999572753903</x:v>
      </x:c>
      <x:c r="R31" t="n">
        <x:v>0.10527263540369702</x:v>
      </x:c>
      <x:c r="S31" t="n">
        <x:v>0.10527263540369702</x:v>
      </x:c>
      <x:c r="T31" t="n">
        <x:v>-0.37472736459630296</x:v>
      </x:c>
      <x:c r="U31" t="n">
        <x:f>YEAR(C31)</x:f>
        <x:v>2020</x:v>
      </x:c>
      <x:c r="V31" t="n">
        <x:f>YEAR(D31)</x:f>
        <x:v>2020</x:v>
      </x:c>
      <x:c r="W31" t="n">
        <x:f>N31-M31-O31-P31</x:f>
        <x:v>-10.236688041191147</x:v>
      </x:c>
      <x:c r="X31" t="str">
        <x:f>IF(T31&gt;1,"Ganador",IF(T31&lt;0,"Perdedor","Empate"))</x:f>
        <x:v>Perdedor</x:v>
      </x:c>
    </x:row>
    <x:row r="32">
      <x:c r="A32" t="str">
        <x:v>NVDA</x:v>
      </x:c>
      <x:c r="B32" t="n">
        <x:v>44071</x:v>
      </x:c>
      <x:c r="C32" t="n">
        <x:v>44074</x:v>
      </x:c>
      <x:c r="D32" t="n">
        <x:v>44102</x:v>
      </x:c>
      <x:c r="E32" t="n">
        <x:v>28</x:v>
      </x:c>
      <x:c r="F32" t="str">
        <x:v>enter_or_hold</x:v>
      </x:c>
      <x:c r="G32" t="str">
        <x:v>market_filter_failed</x:v>
      </x:c>
      <x:c r="H32" t="n">
        <x:v>4</x:v>
      </x:c>
      <x:c r="I32" t="n">
        <x:v>83.6813192656233</x:v>
      </x:c>
      <x:c r="J32" t="n">
        <x:v>204.11446260091137</x:v>
      </x:c>
      <x:c r="K32" t="n">
        <x:v>13.374500274658203</x:v>
      </x:c>
      <x:c r="L32" t="n">
        <x:v>13.03499984741211</x:v>
      </x:c>
      <x:c r="M32" t="n">
        <x:v>2729.9289361176006</x:v>
      </x:c>
      <x:c r="N32" t="n">
        <x:v>2660.6319888574844</x:v>
      </x:c>
      <x:c r="O32" t="n">
        <x:v>6.551829446682241</x:v>
      </x:c>
      <x:c r="P32" t="n">
        <x:v>6.385516773257962</x:v>
      </x:c>
      <x:c r="Q32" t="n">
        <x:v>13.374500274658203</x:v>
      </x:c>
      <x:c r="R32" t="n">
        <x:v>-2.5384157932941576</x:v>
      </x:c>
      <x:c r="S32" t="n">
        <x:v>-2.5384157932941576</x:v>
      </x:c>
      <x:c r="T32" t="n">
        <x:v>-3.0184157932941575</x:v>
      </x:c>
      <x:c r="U32" t="n">
        <x:f>YEAR(C32)</x:f>
        <x:v>2020</x:v>
      </x:c>
      <x:c r="V32" t="n">
        <x:f>YEAR(D32)</x:f>
        <x:v>2020</x:v>
      </x:c>
      <x:c r="W32" t="n">
        <x:f>N32-M32-O32-P32</x:f>
        <x:v>-82.23429348005641</x:v>
      </x:c>
      <x:c r="X32" t="str">
        <x:f>IF(T32&gt;1,"Ganador",IF(T32&lt;0,"Perdedor","Empate"))</x:f>
        <x:v>Perdedor</x:v>
      </x:c>
    </x:row>
    <x:row r="33">
      <x:c r="A33" t="str">
        <x:v>CVNA</x:v>
      </x:c>
      <x:c r="B33" t="n">
        <x:v>44162</x:v>
      </x:c>
      <x:c r="C33" t="n">
        <x:v>44165</x:v>
      </x:c>
      <x:c r="D33" t="n">
        <x:v>44193</x:v>
      </x:c>
      <x:c r="E33" t="n">
        <x:v>28</x:v>
      </x:c>
      <x:c r="F33" t="str">
        <x:v>enter_or_hold</x:v>
      </x:c>
      <x:c r="G33" t="str">
        <x:v>rebalance_trim</x:v>
      </x:c>
      <x:c r="H33" t="n">
        <x:v>5</x:v>
      </x:c>
      <x:c r="I33" t="n">
        <x:v>91.36533313267677</x:v>
      </x:c>
      <x:c r="J33" t="n">
        <x:v>0.16244088258323966</x:v>
      </x:c>
      <x:c r="K33" t="n">
        <x:v>250.2100067138672</x:v>
      </x:c>
      <x:c r="L33" t="n">
        <x:v>251.4900054931641</x:v>
      </x:c>
      <x:c r="M33" t="n">
        <x:v>40.644334321758905</x:v>
      </x:c>
      <x:c r="N33" t="n">
        <x:v>40.85225845317336</x:v>
      </x:c>
      <x:c r="O33" t="n">
        <x:v>0.09754640237222137</x:v>
      </x:c>
      <x:c r="P33" t="n">
        <x:v>0.09804542028761606</x:v>
      </x:c>
      <x:c r="Q33" t="n">
        <x:v>250.2100067138672</x:v>
      </x:c>
      <x:c r="R33" t="n">
        <x:v>0.5115697793656393</x:v>
      </x:c>
      <x:c r="S33" t="n">
        <x:v>0.5115697793656393</x:v>
      </x:c>
      <x:c r="T33" t="n">
        <x:v>0.03156977936563932</x:v>
      </x:c>
      <x:c r="U33" t="n">
        <x:f>YEAR(C33)</x:f>
        <x:v>2020</x:v>
      </x:c>
      <x:c r="V33" t="n">
        <x:f>YEAR(D33)</x:f>
        <x:v>2020</x:v>
      </x:c>
      <x:c r="W33" t="n">
        <x:f>N33-M33-O33-P33</x:f>
        <x:v>0.012332308754620769</x:v>
      </x:c>
      <x:c r="X33" t="str">
        <x:f>IF(T33&gt;1,"Ganador",IF(T33&lt;0,"Perdedor","Empate"))</x:f>
        <x:v>Empate</x:v>
      </x:c>
    </x:row>
    <x:row r="34">
      <x:c r="A34" t="str">
        <x:v>FCX</x:v>
      </x:c>
      <x:c r="B34" t="n">
        <x:v>44162</x:v>
      </x:c>
      <x:c r="C34" t="n">
        <x:v>44165</x:v>
      </x:c>
      <x:c r="D34" t="n">
        <x:v>44193</x:v>
      </x:c>
      <x:c r="E34" t="n">
        <x:v>28</x:v>
      </x:c>
      <x:c r="F34" t="str">
        <x:v>enter_or_hold</x:v>
      </x:c>
      <x:c r="G34" t="str">
        <x:v>rebalance_trim</x:v>
      </x:c>
      <x:c r="H34" t="n">
        <x:v>6</x:v>
      </x:c>
      <x:c r="I34" t="n">
        <x:v>85.0875507380582</x:v>
      </x:c>
      <x:c r="J34" t="n">
        <x:v>6.884791530402588</x:v>
      </x:c>
      <x:c r="K34" t="n">
        <x:v>23.38999938964844</x:v>
      </x:c>
      <x:c r="L34" t="n">
        <x:v>24.6299991607666</x:v>
      </x:c>
      <x:c r="M34" t="n">
        <x:v>161.0352696939733</x:v>
      </x:c>
      <x:c r="N34" t="n">
        <x:v>169.57240961586876</x:v>
      </x:c>
      <x:c r="O34" t="n">
        <x:v>0.3864846472655359</x:v>
      </x:c>
      <x:c r="P34" t="n">
        <x:v>0.406973783078085</x:v>
      </x:c>
      <x:c r="Q34" t="n">
        <x:v>23.38999938964844</x:v>
      </x:c>
      <x:c r="R34" t="n">
        <x:v>5.301410019133823</x:v>
      </x:c>
      <x:c r="S34" t="n">
        <x:v>5.301410019133823</x:v>
      </x:c>
      <x:c r="T34" t="n">
        <x:v>4.821410019133824</x:v>
      </x:c>
      <x:c r="U34" t="n">
        <x:f>YEAR(C34)</x:f>
        <x:v>2020</x:v>
      </x:c>
      <x:c r="V34" t="n">
        <x:f>YEAR(D34)</x:f>
        <x:v>2020</x:v>
      </x:c>
      <x:c r="W34" t="n">
        <x:f>N34-M34-O34-P34</x:f>
        <x:v>7.743681491551838</x:v>
      </x:c>
      <x:c r="X34" t="str">
        <x:f>IF(T34&gt;1,"Ganador",IF(T34&lt;0,"Perdedor","Empate"))</x:f>
        <x:v>Ganador</x:v>
      </x:c>
    </x:row>
    <x:row r="35">
      <x:c r="A35" t="str">
        <x:v>TSLA</x:v>
      </x:c>
      <x:c r="B35" t="n">
        <x:v>44162</x:v>
      </x:c>
      <x:c r="C35" t="n">
        <x:v>44165</x:v>
      </x:c>
      <x:c r="D35" t="n">
        <x:v>44193</x:v>
      </x:c>
      <x:c r="E35" t="n">
        <x:v>28</x:v>
      </x:c>
      <x:c r="F35" t="str">
        <x:v>enter_or_hold</x:v>
      </x:c>
      <x:c r="G35" t="str">
        <x:v>rebalance_trim</x:v>
      </x:c>
      <x:c r="H35" t="n">
        <x:v>1</x:v>
      </x:c>
      <x:c r="I35" t="n">
        <x:v>143.6784507256154</x:v>
      </x:c>
      <x:c r="J35" t="n">
        <x:v>2.1789634549635255</x:v>
      </x:c>
      <x:c r="K35" t="n">
        <x:v>189.1999969482422</x:v>
      </x:c>
      <x:c r="L35" t="n">
        <x:v>221.22999572753903</x:v>
      </x:c>
      <x:c r="M35" t="n">
        <x:v>412.25987902943024</x:v>
      </x:c>
      <x:c r="N35" t="n">
        <x:v>482.05207583204447</x:v>
      </x:c>
      <x:c r="O35" t="n">
        <x:v>0.9894237096706325</x:v>
      </x:c>
      <x:c r="P35" t="n">
        <x:v>1.1569249819969065</x:v>
      </x:c>
      <x:c r="Q35" t="n">
        <x:v>189.1999969482422</x:v>
      </x:c>
      <x:c r="R35" t="n">
        <x:v>16.929175103559334</x:v>
      </x:c>
      <x:c r="S35" t="n">
        <x:v>16.929175103559334</x:v>
      </x:c>
      <x:c r="T35" t="n">
        <x:v>16.449175103559334</x:v>
      </x:c>
      <x:c r="U35" t="n">
        <x:f>YEAR(C35)</x:f>
        <x:v>2020</x:v>
      </x:c>
      <x:c r="V35" t="n">
        <x:f>YEAR(D35)</x:f>
        <x:v>2020</x:v>
      </x:c>
      <x:c r="W35" t="n">
        <x:f>N35-M35-O35-P35</x:f>
        <x:v>67.64584811094669</x:v>
      </x:c>
      <x:c r="X35" t="str">
        <x:f>IF(T35&gt;1,"Ganador",IF(T35&lt;0,"Perdedor","Empate"))</x:f>
        <x:v>Ganador</x:v>
      </x:c>
    </x:row>
    <x:row r="36">
      <x:c r="A36" t="str">
        <x:v>XYZ</x:v>
      </x:c>
      <x:c r="B36" t="n">
        <x:v>44162</x:v>
      </x:c>
      <x:c r="C36" t="n">
        <x:v>44165</x:v>
      </x:c>
      <x:c r="D36" t="n">
        <x:v>44193</x:v>
      </x:c>
      <x:c r="E36" t="n">
        <x:v>28</x:v>
      </x:c>
      <x:c r="F36" t="str">
        <x:v>enter_or_hold</x:v>
      </x:c>
      <x:c r="G36" t="str">
        <x:v>rebalance_trim</x:v>
      </x:c>
      <x:c r="H36" t="n">
        <x:v>4</x:v>
      </x:c>
      <x:c r="I36" t="n">
        <x:v>97.27166159442352</x:v>
      </x:c>
      <x:c r="J36" t="n">
        <x:v>0.8274810745856345</x:v>
      </x:c>
      <x:c r="K36" t="n">
        <x:v>210.9600067138672</x:v>
      </x:c>
      <x:c r="L36" t="n">
        <x:v>223.33999633789065</x:v>
      </x:c>
      <x:c r="M36" t="n">
        <x:v>174.56541305018348</x:v>
      </x:c>
      <x:c r="N36" t="n">
        <x:v>184.80962016762942</x:v>
      </x:c>
      <x:c r="O36" t="n">
        <x:v>0.41895699132044034</x:v>
      </x:c>
      <x:c r="P36" t="n">
        <x:v>0.44354308840231055</x:v>
      </x:c>
      <x:c r="Q36" t="n">
        <x:v>210.9600067138672</x:v>
      </x:c>
      <x:c r="R36" t="n">
        <x:v>5.86840596796856</x:v>
      </x:c>
      <x:c r="S36" t="n">
        <x:v>5.86840596796856</x:v>
      </x:c>
      <x:c r="T36" t="n">
        <x:v>5.388405967968559</x:v>
      </x:c>
      <x:c r="U36" t="n">
        <x:f>YEAR(C36)</x:f>
        <x:v>2020</x:v>
      </x:c>
      <x:c r="V36" t="n">
        <x:f>YEAR(D36)</x:f>
        <x:v>2020</x:v>
      </x:c>
      <x:c r="W36" t="n">
        <x:f>N36-M36-O36-P36</x:f>
        <x:v>9.381707037723187</x:v>
      </x:c>
      <x:c r="X36" t="str">
        <x:f>IF(T36&gt;1,"Ganador",IF(T36&lt;0,"Perdedor","Empate"))</x:f>
        <x:v>Ganador</x:v>
      </x:c>
    </x:row>
    <x:row r="37">
      <x:c r="A37" t="str">
        <x:v>CVNA</x:v>
      </x:c>
      <x:c r="B37" t="n">
        <x:v>44162</x:v>
      </x:c>
      <x:c r="C37" t="n">
        <x:v>44165</x:v>
      </x:c>
      <x:c r="D37" t="n">
        <x:v>44228</x:v>
      </x:c>
      <x:c r="E37" t="n">
        <x:v>63</x:v>
      </x:c>
      <x:c r="F37" t="str">
        <x:v>enter_or_hold</x:v>
      </x:c>
      <x:c r="G37" t="str">
        <x:v>market_filter_failed</x:v>
      </x:c>
      <x:c r="H37" t="n">
        <x:v>5</x:v>
      </x:c>
      <x:c r="I37" t="n">
        <x:v>91.36533313267677</x:v>
      </x:c>
      <x:c r="J37" t="n">
        <x:v>10.577968575383442</x:v>
      </x:c>
      <x:c r="K37" t="n">
        <x:v>250.2100067138672</x:v>
      </x:c>
      <x:c r="L37" t="n">
        <x:v>264.239990234375</x:v>
      </x:c>
      <x:c r="M37" t="n">
        <x:v>2646.7135882657676</x:v>
      </x:c>
      <x:c r="N37" t="n">
        <x:v>2795.1223130588464</x:v>
      </x:c>
      <x:c r="O37" t="n">
        <x:v>6.352112611837842</x:v>
      </x:c>
      <x:c r="P37" t="n">
        <x:v>6.708293551341231</x:v>
      </x:c>
      <x:c r="Q37" t="n">
        <x:v>250.2100067138672</x:v>
      </x:c>
      <x:c r="R37" t="n">
        <x:v>5.607283139779495</x:v>
      </x:c>
      <x:c r="S37" t="n">
        <x:v>5.607283139779495</x:v>
      </x:c>
      <x:c r="T37" t="n">
        <x:v>5.127283139779495</x:v>
      </x:c>
      <x:c r="U37" t="n">
        <x:f>YEAR(C37)</x:f>
        <x:v>2020</x:v>
      </x:c>
      <x:c r="V37" t="n">
        <x:f>YEAR(D37)</x:f>
        <x:v>2021</x:v>
      </x:c>
      <x:c r="W37" t="n">
        <x:f>N37-M37-O37-P37</x:f>
        <x:v>135.34831862989975</x:v>
      </x:c>
      <x:c r="X37" t="str">
        <x:f>IF(T37&gt;1,"Ganador",IF(T37&lt;0,"Perdedor","Empate"))</x:f>
        <x:v>Ganador</x:v>
      </x:c>
    </x:row>
    <x:row r="38">
      <x:c r="A38" t="str">
        <x:v>FCX</x:v>
      </x:c>
      <x:c r="B38" t="n">
        <x:v>44162</x:v>
      </x:c>
      <x:c r="C38" t="n">
        <x:v>44165</x:v>
      </x:c>
      <x:c r="D38" t="n">
        <x:v>44228</x:v>
      </x:c>
      <x:c r="E38" t="n">
        <x:v>63</x:v>
      </x:c>
      <x:c r="F38" t="str">
        <x:v>enter_or_hold</x:v>
      </x:c>
      <x:c r="G38" t="str">
        <x:v>market_filter_failed</x:v>
      </x:c>
      <x:c r="H38" t="n">
        <x:v>6</x:v>
      </x:c>
      <x:c r="I38" t="n">
        <x:v>85.0875507380582</x:v>
      </x:c>
      <x:c r="J38" t="n">
        <x:v>108.00866690110351</x:v>
      </x:c>
      <x:c r="K38" t="n">
        <x:v>23.38999938964844</x:v>
      </x:c>
      <x:c r="L38" t="n">
        <x:v>28.229999542236328</x:v>
      </x:c>
      <x:c r="M38" t="n">
        <x:v>2526.322652893553</x:v>
      </x:c>
      <x:c r="N38" t="n">
        <x:v>3049.084617175708</x:v>
      </x:c>
      <x:c r="O38" t="n">
        <x:v>6.063174366944527</x:v>
      </x:c>
      <x:c r="P38" t="n">
        <x:v>7.317803081221698</x:v>
      </x:c>
      <x:c r="Q38" t="n">
        <x:v>23.38999938964844</x:v>
      </x:c>
      <x:c r="R38" t="n">
        <x:v>20.692604869112973</x:v>
      </x:c>
      <x:c r="S38" t="n">
        <x:v>20.692604869112973</x:v>
      </x:c>
      <x:c r="T38" t="n">
        <x:v>20.212604869112972</x:v>
      </x:c>
      <x:c r="U38" t="n">
        <x:f>YEAR(C38)</x:f>
        <x:v>2020</x:v>
      </x:c>
      <x:c r="V38" t="n">
        <x:f>YEAR(D38)</x:f>
        <x:v>2021</x:v>
      </x:c>
      <x:c r="W38" t="n">
        <x:f>N38-M38-O38-P38</x:f>
        <x:v>509.38098683398886</x:v>
      </x:c>
      <x:c r="X38" t="str">
        <x:f>IF(T38&gt;1,"Ganador",IF(T38&lt;0,"Perdedor","Empate"))</x:f>
        <x:v>Ganador</x:v>
      </x:c>
    </x:row>
    <x:row r="39">
      <x:c r="A39" t="str">
        <x:v>MRNA</x:v>
      </x:c>
      <x:c r="B39" t="n">
        <x:v>44162</x:v>
      </x:c>
      <x:c r="C39" t="n">
        <x:v>44165</x:v>
      </x:c>
      <x:c r="D39" t="n">
        <x:v>44228</x:v>
      </x:c>
      <x:c r="E39" t="n">
        <x:v>63</x:v>
      </x:c>
      <x:c r="F39" t="str">
        <x:v>enter_or_hold</x:v>
      </x:c>
      <x:c r="G39" t="str">
        <x:v>market_filter_failed</x:v>
      </x:c>
      <x:c r="H39" t="n">
        <x:v>3</x:v>
      </x:c>
      <x:c r="I39" t="n">
        <x:v>98.81940663282543</x:v>
      </x:c>
      <x:c r="J39" t="n">
        <x:v>23.851962800363534</x:v>
      </x:c>
      <x:c r="K39" t="n">
        <x:v>141.8943319366852</x:v>
      </x:c>
      <x:c r="L39" t="n">
        <x:v>157.47999572753906</x:v>
      </x:c>
      <x:c r="M39" t="n">
        <x:v>3384.458326936251</x:v>
      </x:c>
      <x:c r="N39" t="n">
        <x:v>3756.20699989467</x:v>
      </x:c>
      <x:c r="O39" t="n">
        <x:v>8.122699984647003</x:v>
      </x:c>
      <x:c r="P39" t="n">
        <x:v>9.014896799747207</x:v>
      </x:c>
      <x:c r="Q39" t="n">
        <x:v>152.74000549316406</x:v>
      </x:c>
      <x:c r="R39" t="n">
        <x:v>3.1033063139356276</x:v>
      </x:c>
      <x:c r="S39" t="n">
        <x:v>10.983993213913813</x:v>
      </x:c>
      <x:c r="T39" t="n">
        <x:v>10.503993213913812</x:v>
      </x:c>
      <x:c r="U39" t="n">
        <x:f>YEAR(C39)</x:f>
        <x:v>2020</x:v>
      </x:c>
      <x:c r="V39" t="n">
        <x:f>YEAR(D39)</x:f>
        <x:v>2021</x:v>
      </x:c>
      <x:c r="W39" t="n">
        <x:f>N39-M39-O39-P39</x:f>
        <x:v>354.6110761740247</x:v>
      </x:c>
      <x:c r="X39" t="str">
        <x:f>IF(T39&gt;1,"Ganador",IF(T39&lt;0,"Perdedor","Empate"))</x:f>
        <x:v>Ganador</x:v>
      </x:c>
    </x:row>
    <x:row r="40">
      <x:c r="A40" t="str">
        <x:v>TSLA</x:v>
      </x:c>
      <x:c r="B40" t="n">
        <x:v>44162</x:v>
      </x:c>
      <x:c r="C40" t="n">
        <x:v>44165</x:v>
      </x:c>
      <x:c r="D40" t="n">
        <x:v>44228</x:v>
      </x:c>
      <x:c r="E40" t="n">
        <x:v>63</x:v>
      </x:c>
      <x:c r="F40" t="str">
        <x:v>enter_or_hold</x:v>
      </x:c>
      <x:c r="G40" t="str">
        <x:v>market_filter_failed</x:v>
      </x:c>
      <x:c r="H40" t="n">
        <x:v>1</x:v>
      </x:c>
      <x:c r="I40" t="n">
        <x:v>143.6784507256154</x:v>
      </x:c>
      <x:c r="J40" t="n">
        <x:v>12.024831290988208</x:v>
      </x:c>
      <x:c r="K40" t="n">
        <x:v>189.1999969482422</x:v>
      </x:c>
      <x:c r="L40" t="n">
        <x:v>279.9366760253906</x:v>
      </x:c>
      <x:c r="M40" t="n">
        <x:v>2275.0980435580964</x:v>
      </x:c>
      <x:c r="N40" t="n">
        <x:v>3366.1913013653457</x:v>
      </x:c>
      <x:c r="O40" t="n">
        <x:v>5.46023530453943</x:v>
      </x:c>
      <x:c r="P40" t="n">
        <x:v>8.078859123276828</x:v>
      </x:c>
      <x:c r="Q40" t="n">
        <x:v>189.1999969482422</x:v>
      </x:c>
      <x:c r="R40" t="n">
        <x:v>47.95807639572558</x:v>
      </x:c>
      <x:c r="S40" t="n">
        <x:v>47.95807639572558</x:v>
      </x:c>
      <x:c r="T40" t="n">
        <x:v>47.47807639572558</x:v>
      </x:c>
      <x:c r="U40" t="n">
        <x:f>YEAR(C40)</x:f>
        <x:v>2020</x:v>
      </x:c>
      <x:c r="V40" t="n">
        <x:f>YEAR(D40)</x:f>
        <x:v>2021</x:v>
      </x:c>
      <x:c r="W40" t="n">
        <x:f>N40-M40-O40-P40</x:f>
        <x:v>1077.554163379433</x:v>
      </x:c>
      <x:c r="X40" t="str">
        <x:f>IF(T40&gt;1,"Ganador",IF(T40&lt;0,"Perdedor","Empate"))</x:f>
        <x:v>Ganador</x:v>
      </x:c>
    </x:row>
    <x:row r="41">
      <x:c r="A41" t="str">
        <x:v>TTD</x:v>
      </x:c>
      <x:c r="B41" t="n">
        <x:v>44162</x:v>
      </x:c>
      <x:c r="C41" t="n">
        <x:v>44165</x:v>
      </x:c>
      <x:c r="D41" t="n">
        <x:v>44228</x:v>
      </x:c>
      <x:c r="E41" t="n">
        <x:v>63</x:v>
      </x:c>
      <x:c r="F41" t="str">
        <x:v>enter_or_hold</x:v>
      </x:c>
      <x:c r="G41" t="str">
        <x:v>market_filter_failed</x:v>
      </x:c>
      <x:c r="H41" t="n">
        <x:v>2</x:v>
      </x:c>
      <x:c r="I41" t="n">
        <x:v>109.83411976889998</x:v>
      </x:c>
      <x:c r="J41" t="n">
        <x:v>31.937704263162672</x:v>
      </x:c>
      <x:c r="K41" t="n">
        <x:v>89.65400162479347</x:v>
      </x:c>
      <x:c r="L41" t="n">
        <x:v>79.32099914550781</x:v>
      </x:c>
      <x:c r="M41" t="n">
        <x:v>2863.342989901759</x:v>
      </x:c>
      <x:c r="N41" t="n">
        <x:v>2533.3306125678077</x:v>
      </x:c>
      <x:c r="O41" t="n">
        <x:v>6.872023175764221</x:v>
      </x:c>
      <x:c r="P41" t="n">
        <x:v>6.079993470162738</x:v>
      </x:c>
      <x:c r="Q41" t="n">
        <x:v>90.10700225830078</x:v>
      </x:c>
      <x:c r="R41" t="n">
        <x:v>-11.97021634553307</x:v>
      </x:c>
      <x:c r="S41" t="n">
        <x:v>-11.525422504318094</x:v>
      </x:c>
      <x:c r="T41" t="n">
        <x:v>-12.005422504318094</x:v>
      </x:c>
      <x:c r="U41" t="n">
        <x:f>YEAR(C41)</x:f>
        <x:v>2020</x:v>
      </x:c>
      <x:c r="V41" t="n">
        <x:f>YEAR(D41)</x:f>
        <x:v>2021</x:v>
      </x:c>
      <x:c r="W41" t="n">
        <x:f>N41-M41-O41-P41</x:f>
        <x:v>-342.9643939798784</x:v>
      </x:c>
      <x:c r="X41" t="str">
        <x:f>IF(T41&gt;1,"Ganador",IF(T41&lt;0,"Perdedor","Empate"))</x:f>
        <x:v>Perdedor</x:v>
      </x:c>
    </x:row>
    <x:row r="42">
      <x:c r="A42" t="str">
        <x:v>XYZ</x:v>
      </x:c>
      <x:c r="B42" t="n">
        <x:v>44162</x:v>
      </x:c>
      <x:c r="C42" t="n">
        <x:v>44165</x:v>
      </x:c>
      <x:c r="D42" t="n">
        <x:v>44228</x:v>
      </x:c>
      <x:c r="E42" t="n">
        <x:v>63</x:v>
      </x:c>
      <x:c r="F42" t="str">
        <x:v>enter_or_hold</x:v>
      </x:c>
      <x:c r="G42" t="str">
        <x:v>market_filter_failed</x:v>
      </x:c>
      <x:c r="H42" t="n">
        <x:v>4</x:v>
      </x:c>
      <x:c r="I42" t="n">
        <x:v>97.27166159442352</x:v>
      </x:c>
      <x:c r="J42" t="n">
        <x:v>11.911226913002215</x:v>
      </x:c>
      <x:c r="K42" t="n">
        <x:v>210.9600067138672</x:v>
      </x:c>
      <x:c r="L42" t="n">
        <x:v>221.94000244140625</x:v>
      </x:c>
      <x:c r="M42" t="n">
        <x:v>2512.792509537343</x:v>
      </x:c>
      <x:c r="N42" t="n">
        <x:v>2643.5777301518556</x:v>
      </x:c>
      <x:c r="O42" t="n">
        <x:v>6.030702022889622</x:v>
      </x:c>
      <x:c r="P42" t="n">
        <x:v>6.3445865523644525</x:v>
      </x:c>
      <x:c r="Q42" t="n">
        <x:v>210.9600067138672</x:v>
      </x:c>
      <x:c r="R42" t="n">
        <x:v>5.2047759661060455</x:v>
      </x:c>
      <x:c r="S42" t="n">
        <x:v>5.2047759661060455</x:v>
      </x:c>
      <x:c r="T42" t="n">
        <x:v>4.724775966106046</x:v>
      </x:c>
      <x:c r="U42" t="n">
        <x:f>YEAR(C42)</x:f>
        <x:v>2020</x:v>
      </x:c>
      <x:c r="V42" t="n">
        <x:f>YEAR(D42)</x:f>
        <x:v>2021</x:v>
      </x:c>
      <x:c r="W42" t="n">
        <x:f>N42-M42-O42-P42</x:f>
        <x:v>118.4099320392585</x:v>
      </x:c>
      <x:c r="X42" t="str">
        <x:f>IF(T42&gt;1,"Ganador",IF(T42&lt;0,"Perdedor","Empate"))</x:f>
        <x:v>Ganador</x:v>
      </x:c>
    </x:row>
    <x:row r="43">
      <x:c r="A43" t="str">
        <x:v>GNRC</x:v>
      </x:c>
      <x:c r="B43" t="n">
        <x:v>44253</x:v>
      </x:c>
      <x:c r="C43" t="n">
        <x:v>44256</x:v>
      </x:c>
      <x:c r="D43" t="n">
        <x:v>44284</x:v>
      </x:c>
      <x:c r="E43" t="n">
        <x:v>28</x:v>
      </x:c>
      <x:c r="F43" t="str">
        <x:v>enter_or_hold</x:v>
      </x:c>
      <x:c r="G43" t="str">
        <x:v>left_top_n</x:v>
      </x:c>
      <x:c r="H43" t="n">
        <x:v>4</x:v>
      </x:c>
      <x:c r="I43" t="n">
        <x:v>85.83572305693762</x:v>
      </x:c>
      <x:c r="J43" t="n">
        <x:v>8.691520203082337</x:v>
      </x:c>
      <x:c r="K43" t="n">
        <x:v>346.25</x:v>
      </x:c>
      <x:c r="L43" t="n">
        <x:v>303.1400146484375</x:v>
      </x:c>
      <x:c r="M43" t="n">
        <x:v>3009.438870317259</x:v>
      </x:c>
      <x:c r="N43" t="n">
        <x:v>2634.74756167957</x:v>
      </x:c>
      <x:c r="O43" t="n">
        <x:v>7.222653288761421</x:v>
      </x:c>
      <x:c r="P43" t="n">
        <x:v>6.323394148030967</x:v>
      </x:c>
      <x:c r="Q43" t="n">
        <x:v>346.25</x:v>
      </x:c>
      <x:c r="R43" t="n">
        <x:v>-12.45053728564982</x:v>
      </x:c>
      <x:c r="S43" t="n">
        <x:v>-12.45053728564982</x:v>
      </x:c>
      <x:c r="T43" t="n">
        <x:v>-12.930537285649821</x:v>
      </x:c>
      <x:c r="U43" t="n">
        <x:f>YEAR(C43)</x:f>
        <x:v>2021</x:v>
      </x:c>
      <x:c r="V43" t="n">
        <x:f>YEAR(D43)</x:f>
        <x:v>2021</x:v>
      </x:c>
      <x:c r="W43" t="n">
        <x:f>N43-M43-O43-P43</x:f>
        <x:v>-388.23735607448134</x:v>
      </x:c>
      <x:c r="X43" t="str">
        <x:f>IF(T43&gt;1,"Ganador",IF(T43&lt;0,"Perdedor","Empate"))</x:f>
        <x:v>Perdedor</x:v>
      </x:c>
    </x:row>
    <x:row r="44">
      <x:c r="A44" t="str">
        <x:v>MRNA</x:v>
      </x:c>
      <x:c r="B44" t="n">
        <x:v>44253</x:v>
      </x:c>
      <x:c r="C44" t="n">
        <x:v>44256</x:v>
      </x:c>
      <x:c r="D44" t="n">
        <x:v>44284</x:v>
      </x:c>
      <x:c r="E44" t="n">
        <x:v>28</x:v>
      </x:c>
      <x:c r="F44" t="str">
        <x:v>enter_or_hold</x:v>
      </x:c>
      <x:c r="G44" t="str">
        <x:v>left_top_n</x:v>
      </x:c>
      <x:c r="H44" t="n">
        <x:v>5</x:v>
      </x:c>
      <x:c r="I44" t="n">
        <x:v>83.74696433480915</x:v>
      </x:c>
      <x:c r="J44" t="n">
        <x:v>19.119688608733018</x:v>
      </x:c>
      <x:c r="K44" t="n">
        <x:v>157.39999389648438</x:v>
      </x:c>
      <x:c r="L44" t="n">
        <x:v>123.41999816894533</x:v>
      </x:c>
      <x:c r="M44" t="n">
        <x:v>3009.438870317259</x:v>
      </x:c>
      <x:c r="N44" t="n">
        <x:v>2359.751933080634</x:v>
      </x:c>
      <x:c r="O44" t="n">
        <x:v>7.222653288761421</x:v>
      </x:c>
      <x:c r="P44" t="n">
        <x:v>5.663404639393521</x:v>
      </x:c>
      <x:c r="Q44" t="n">
        <x:v>157.39999389648438</x:v>
      </x:c>
      <x:c r="R44" t="n">
        <x:v>-21.588308160854385</x:v>
      </x:c>
      <x:c r="S44" t="n">
        <x:v>-21.588308160854385</x:v>
      </x:c>
      <x:c r="T44" t="n">
        <x:v>-22.068308160854386</x:v>
      </x:c>
      <x:c r="U44" t="n">
        <x:f>YEAR(C44)</x:f>
        <x:v>2021</x:v>
      </x:c>
      <x:c r="V44" t="n">
        <x:f>YEAR(D44)</x:f>
        <x:v>2021</x:v>
      </x:c>
      <x:c r="W44" t="n">
        <x:f>N44-M44-O44-P44</x:f>
        <x:v>-662.57299516478</x:v>
      </x:c>
      <x:c r="X44" t="str">
        <x:f>IF(T44&gt;1,"Ganador",IF(T44&lt;0,"Perdedor","Empate"))</x:f>
        <x:v>Perdedor</x:v>
      </x:c>
    </x:row>
    <x:row r="45">
      <x:c r="A45" t="str">
        <x:v>PSKY</x:v>
      </x:c>
      <x:c r="B45" t="n">
        <x:v>44253</x:v>
      </x:c>
      <x:c r="C45" t="n">
        <x:v>44256</x:v>
      </x:c>
      <x:c r="D45" t="n">
        <x:v>44284</x:v>
      </x:c>
      <x:c r="E45" t="n">
        <x:v>28</x:v>
      </x:c>
      <x:c r="F45" t="str">
        <x:v>enter_or_hold</x:v>
      </x:c>
      <x:c r="G45" t="str">
        <x:v>left_top_n</x:v>
      </x:c>
      <x:c r="H45" t="n">
        <x:v>1</x:v>
      </x:c>
      <x:c r="I45" t="n">
        <x:v>119.41114197447908</x:v>
      </x:c>
      <x:c r="J45" t="n">
        <x:v>44.83001628849361</x:v>
      </x:c>
      <x:c r="K45" t="n">
        <x:v>67.12999725341797</x:v>
      </x:c>
      <x:c r="L45" t="n">
        <x:v>45.0099983215332</x:v>
      </x:c>
      <x:c r="M45" t="n">
        <x:v>3009.438870317259</x:v>
      </x:c>
      <x:c r="N45" t="n">
        <x:v>2017.7989578994036</x:v>
      </x:c>
      <x:c r="O45" t="n">
        <x:v>7.222653288761421</x:v>
      </x:c>
      <x:c r="P45" t="n">
        <x:v>4.842717498958568</x:v>
      </x:c>
      <x:c r="Q45" t="n">
        <x:v>67.12999725341797</x:v>
      </x:c>
      <x:c r="R45" t="n">
        <x:v>-32.950990372278774</x:v>
      </x:c>
      <x:c r="S45" t="n">
        <x:v>-32.950990372278774</x:v>
      </x:c>
      <x:c r="T45" t="n">
        <x:v>-33.43099037227877</x:v>
      </x:c>
      <x:c r="U45" t="n">
        <x:f>YEAR(C45)</x:f>
        <x:v>2021</x:v>
      </x:c>
      <x:c r="V45" t="n">
        <x:f>YEAR(D45)</x:f>
        <x:v>2021</x:v>
      </x:c>
      <x:c r="W45" t="n">
        <x:f>N45-M45-O45-P45</x:f>
        <x:v>-1003.7052832055754</x:v>
      </x:c>
      <x:c r="X45" t="str">
        <x:f>IF(T45&gt;1,"Ganador",IF(T45&lt;0,"Perdedor","Empate"))</x:f>
        <x:v>Perdedor</x:v>
      </x:c>
    </x:row>
    <x:row r="46">
      <x:c r="A46" t="str">
        <x:v>WBD</x:v>
      </x:c>
      <x:c r="B46" t="n">
        <x:v>44253</x:v>
      </x:c>
      <x:c r="C46" t="n">
        <x:v>44256</x:v>
      </x:c>
      <x:c r="D46" t="n">
        <x:v>44284</x:v>
      </x:c>
      <x:c r="E46" t="n">
        <x:v>28</x:v>
      </x:c>
      <x:c r="F46" t="str">
        <x:v>enter_or_hold</x:v>
      </x:c>
      <x:c r="G46" t="str">
        <x:v>left_top_n</x:v>
      </x:c>
      <x:c r="H46" t="n">
        <x:v>2</x:v>
      </x:c>
      <x:c r="I46" t="n">
        <x:v>105.78344893849136</x:v>
      </x:c>
      <x:c r="J46" t="n">
        <x:v>51.72634676059867</x:v>
      </x:c>
      <x:c r="K46" t="n">
        <x:v>58.18000030517578</x:v>
      </x:c>
      <x:c r="L46" t="n">
        <x:v>41.22999954223633</x:v>
      </x:c>
      <x:c r="M46" t="n">
        <x:v>3009.438870317259</x:v>
      </x:c>
      <x:c r="N46" t="n">
        <x:v>2132.6772532610407</x:v>
      </x:c>
      <x:c r="O46" t="n">
        <x:v>7.222653288761421</x:v>
      </x:c>
      <x:c r="P46" t="n">
        <x:v>5.118425407826497</x:v>
      </x:c>
      <x:c r="Q46" t="n">
        <x:v>58.18000030517578</x:v>
      </x:c>
      <x:c r="R46" t="n">
        <x:v>-29.13372408736745</x:v>
      </x:c>
      <x:c r="S46" t="n">
        <x:v>-29.13372408736745</x:v>
      </x:c>
      <x:c r="T46" t="n">
        <x:v>-29.61372408736745</x:v>
      </x:c>
      <x:c r="U46" t="n">
        <x:f>YEAR(C46)</x:f>
        <x:v>2021</x:v>
      </x:c>
      <x:c r="V46" t="n">
        <x:f>YEAR(D46)</x:f>
        <x:v>2021</x:v>
      </x:c>
      <x:c r="W46" t="n">
        <x:f>N46-M46-O46-P46</x:f>
        <x:v>-889.1026957528062</x:v>
      </x:c>
      <x:c r="X46" t="str">
        <x:f>IF(T46&gt;1,"Ganador",IF(T46&lt;0,"Perdedor","Empate"))</x:f>
        <x:v>Perdedor</x:v>
      </x:c>
    </x:row>
    <x:row r="47">
      <x:c r="A47" t="str">
        <x:v>FCX</x:v>
      </x:c>
      <x:c r="B47" t="n">
        <x:v>44253</x:v>
      </x:c>
      <x:c r="C47" t="n">
        <x:v>44256</x:v>
      </x:c>
      <x:c r="D47" t="n">
        <x:v>44284</x:v>
      </x:c>
      <x:c r="E47" t="n">
        <x:v>28</x:v>
      </x:c>
      <x:c r="F47" t="str">
        <x:v>enter_or_hold</x:v>
      </x:c>
      <x:c r="G47" t="str">
        <x:v>rebalance_trim</x:v>
      </x:c>
      <x:c r="H47" t="n">
        <x:v>3</x:v>
      </x:c>
      <x:c r="I47" t="n">
        <x:v>100.04537845653908</x:v>
      </x:c>
      <x:c r="J47" t="n">
        <x:v>3.666963221847654</x:v>
      </x:c>
      <x:c r="K47" t="n">
        <x:v>34.900001525878906</x:v>
      </x:c>
      <x:c r="L47" t="n">
        <x:v>32.099998474121094</x:v>
      </x:c>
      <x:c r="M47" t="n">
        <x:v>127.97702203782495</x:v>
      </x:c>
      <x:c r="N47" t="n">
        <x:v>117.70951382596786</x:v>
      </x:c>
      <x:c r="O47" t="n">
        <x:v>0.30714485289077986</x:v>
      </x:c>
      <x:c r="P47" t="n">
        <x:v>0.28250283318232283</x:v>
      </x:c>
      <x:c r="Q47" t="n">
        <x:v>34.900001525878906</x:v>
      </x:c>
      <x:c r="R47" t="n">
        <x:v>-8.022931029620628</x:v>
      </x:c>
      <x:c r="S47" t="n">
        <x:v>-8.022931029620628</x:v>
      </x:c>
      <x:c r="T47" t="n">
        <x:v>-8.502931029620628</x:v>
      </x:c>
      <x:c r="U47" t="n">
        <x:f>YEAR(C47)</x:f>
        <x:v>2021</x:v>
      </x:c>
      <x:c r="V47" t="n">
        <x:f>YEAR(D47)</x:f>
        <x:v>2021</x:v>
      </x:c>
      <x:c r="W47" t="n">
        <x:f>N47-M47-O47-P47</x:f>
        <x:v>-10.857155897930193</x:v>
      </x:c>
      <x:c r="X47" t="str">
        <x:f>IF(T47&gt;1,"Ganador",IF(T47&lt;0,"Perdedor","Empate"))</x:f>
        <x:v>Perdedor</x:v>
      </x:c>
    </x:row>
    <x:row r="48">
      <x:c r="A48" t="str">
        <x:v>TPL</x:v>
      </x:c>
      <x:c r="B48" t="n">
        <x:v>44253</x:v>
      </x:c>
      <x:c r="C48" t="n">
        <x:v>44256</x:v>
      </x:c>
      <x:c r="D48" t="n">
        <x:v>44284</x:v>
      </x:c>
      <x:c r="E48" t="n">
        <x:v>28</x:v>
      </x:c>
      <x:c r="F48" t="str">
        <x:v>enter_or_hold</x:v>
      </x:c>
      <x:c r="G48" t="str">
        <x:v>rebalance_trim</x:v>
      </x:c>
      <x:c r="H48" t="n">
        <x:v>6</x:v>
      </x:c>
      <x:c r="I48" t="n">
        <x:v>81.57742981332001</x:v>
      </x:c>
      <x:c r="J48" t="n">
        <x:v>8.293207344180583</x:v>
      </x:c>
      <x:c r="K48" t="n">
        <x:v>123.086669921875</x:v>
      </x:c>
      <x:c r="L48" t="n">
        <x:v>164.03778076171875</x:v>
      </x:c>
      <x:c r="M48" t="n">
        <x:v>1020.783274966825</x:v>
      </x:c>
      <x:c r="N48" t="n">
        <x:v>1360.3993281361704</x:v>
      </x:c>
      <x:c r="O48" t="n">
        <x:v>2.44987985992038</x:v>
      </x:c>
      <x:c r="P48" t="n">
        <x:v>3.264958387526809</x:v>
      </x:c>
      <x:c r="Q48" t="n">
        <x:v>123.086669921875</x:v>
      </x:c>
      <x:c r="R48" t="n">
        <x:v>33.270142791121124</x:v>
      </x:c>
      <x:c r="S48" t="n">
        <x:v>33.270142791121124</x:v>
      </x:c>
      <x:c r="T48" t="n">
        <x:v>32.79014279112113</x:v>
      </x:c>
      <x:c r="U48" t="n">
        <x:f>YEAR(C48)</x:f>
        <x:v>2021</x:v>
      </x:c>
      <x:c r="V48" t="n">
        <x:f>YEAR(D48)</x:f>
        <x:v>2021</x:v>
      </x:c>
      <x:c r="W48" t="n">
        <x:f>N48-M48-O48-P48</x:f>
        <x:v>333.9012149218982</x:v>
      </x:c>
      <x:c r="X48" t="str">
        <x:f>IF(T48&gt;1,"Ganador",IF(T48&lt;0,"Perdedor","Empate"))</x:f>
        <x:v>Ganador</x:v>
      </x:c>
    </x:row>
    <x:row r="49">
      <x:c r="A49" t="str">
        <x:v>DVN</x:v>
      </x:c>
      <x:c r="B49" t="n">
        <x:v>44281</x:v>
      </x:c>
      <x:c r="C49" t="n">
        <x:v>44284</x:v>
      </x:c>
      <x:c r="D49" t="n">
        <x:v>44319</x:v>
      </x:c>
      <x:c r="E49" t="n">
        <x:v>35</x:v>
      </x:c>
      <x:c r="F49" t="str">
        <x:v>enter_or_hold</x:v>
      </x:c>
      <x:c r="G49" t="str">
        <x:v>left_top_n</x:v>
      </x:c>
      <x:c r="H49" t="n">
        <x:v>6</x:v>
      </x:c>
      <x:c r="I49" t="n">
        <x:v>66.9792125420541</x:v>
      </x:c>
      <x:c r="J49" t="n">
        <x:v>120.96356570260129</x:v>
      </x:c>
      <x:c r="K49" t="n">
        <x:v>21.850000381469727</x:v>
      </x:c>
      <x:c r="L49" t="n">
        <x:v>23.6200008392334</x:v>
      </x:c>
      <x:c r="M49" t="n">
        <x:v>2643.0539567457763</x:v>
      </x:c>
      <x:c r="N49" t="n">
        <x:v>2857.159523412107</x:v>
      </x:c>
      <x:c r="O49" t="n">
        <x:v>6.343329496189862</x:v>
      </x:c>
      <x:c r="P49" t="n">
        <x:v>6.8571828561890555</x:v>
      </x:c>
      <x:c r="Q49" t="n">
        <x:v>21.850000381469727</x:v>
      </x:c>
      <x:c r="R49" t="n">
        <x:v>8.10068845245766</x:v>
      </x:c>
      <x:c r="S49" t="n">
        <x:v>8.10068845245766</x:v>
      </x:c>
      <x:c r="T49" t="n">
        <x:v>7.62068845245766</x:v>
      </x:c>
      <x:c r="U49" t="n">
        <x:f>YEAR(C49)</x:f>
        <x:v>2021</x:v>
      </x:c>
      <x:c r="V49" t="n">
        <x:f>YEAR(D49)</x:f>
        <x:v>2021</x:v>
      </x:c>
      <x:c r="W49" t="n">
        <x:f>N49-M49-O49-P49</x:f>
        <x:v>200.90505431395167</x:v>
      </x:c>
      <x:c r="X49" t="str">
        <x:f>IF(T49&gt;1,"Ganador",IF(T49&lt;0,"Perdedor","Empate"))</x:f>
        <x:v>Ganador</x:v>
      </x:c>
    </x:row>
    <x:row r="50">
      <x:c r="A50" t="str">
        <x:v>URI</x:v>
      </x:c>
      <x:c r="B50" t="n">
        <x:v>44281</x:v>
      </x:c>
      <x:c r="C50" t="n">
        <x:v>44284</x:v>
      </x:c>
      <x:c r="D50" t="n">
        <x:v>44319</x:v>
      </x:c>
      <x:c r="E50" t="n">
        <x:v>35</x:v>
      </x:c>
      <x:c r="F50" t="str">
        <x:v>enter_or_hold</x:v>
      </x:c>
      <x:c r="G50" t="str">
        <x:v>left_top_n</x:v>
      </x:c>
      <x:c r="H50" t="n">
        <x:v>5</x:v>
      </x:c>
      <x:c r="I50" t="n">
        <x:v>68.0530324984156</x:v>
      </x:c>
      <x:c r="J50" t="n">
        <x:v>8.145757533214857</x:v>
      </x:c>
      <x:c r="K50" t="n">
        <x:v>324.4700012207031</x:v>
      </x:c>
      <x:c r="L50" t="n">
        <x:v>321.79998779296875</x:v>
      </x:c>
      <x:c r="M50" t="n">
        <x:v>2643.0539567457763</x:v>
      </x:c>
      <x:c r="N50" t="n">
        <x:v>2621.3046747530243</x:v>
      </x:c>
      <x:c r="O50" t="n">
        <x:v>6.343329496189862</x:v>
      </x:c>
      <x:c r="P50" t="n">
        <x:v>6.291131219407258</x:v>
      </x:c>
      <x:c r="Q50" t="n">
        <x:v>324.4700012207031</x:v>
      </x:c>
      <x:c r="R50" t="n">
        <x:v>-0.8228845248218319</x:v>
      </x:c>
      <x:c r="S50" t="n">
        <x:v>-0.8228845248218319</x:v>
      </x:c>
      <x:c r="T50" t="n">
        <x:v>-1.302884524821832</x:v>
      </x:c>
      <x:c r="U50" t="n">
        <x:f>YEAR(C50)</x:f>
        <x:v>2021</x:v>
      </x:c>
      <x:c r="V50" t="n">
        <x:f>YEAR(D50)</x:f>
        <x:v>2021</x:v>
      </x:c>
      <x:c r="W50" t="n">
        <x:f>N50-M50-O50-P50</x:f>
        <x:v>-34.383742708349125</x:v>
      </x:c>
      <x:c r="X50" t="str">
        <x:f>IF(T50&gt;1,"Ganador",IF(T50&lt;0,"Perdedor","Empate"))</x:f>
        <x:v>Perdedor</x:v>
      </x:c>
    </x:row>
    <x:row r="51">
      <x:c r="A51" t="str">
        <x:v>WSM</x:v>
      </x:c>
      <x:c r="B51" t="n">
        <x:v>44281</x:v>
      </x:c>
      <x:c r="C51" t="n">
        <x:v>44284</x:v>
      </x:c>
      <x:c r="D51" t="n">
        <x:v>44319</x:v>
      </x:c>
      <x:c r="E51" t="n">
        <x:v>35</x:v>
      </x:c>
      <x:c r="F51" t="str">
        <x:v>enter_or_hold</x:v>
      </x:c>
      <x:c r="G51" t="str">
        <x:v>left_top_n</x:v>
      </x:c>
      <x:c r="H51" t="n">
        <x:v>2</x:v>
      </x:c>
      <x:c r="I51" t="n">
        <x:v>82.52599492770966</x:v>
      </x:c>
      <x:c r="J51" t="n">
        <x:v>29.44250925233736</x:v>
      </x:c>
      <x:c r="K51" t="n">
        <x:v>89.7699966430664</x:v>
      </x:c>
      <x:c r="L51" t="n">
        <x:v>87.67500305175781</x:v>
      </x:c>
      <x:c r="M51" t="n">
        <x:v>2643.0539567457763</x:v>
      </x:c>
      <x:c r="N51" t="n">
        <x:v>2581.3720885500857</x:v>
      </x:c>
      <x:c r="O51" t="n">
        <x:v>6.343329496189862</x:v>
      </x:c>
      <x:c r="P51" t="n">
        <x:v>6.195293012520205</x:v>
      </x:c>
      <x:c r="Q51" t="n">
        <x:v>89.7699966430664</x:v>
      </x:c>
      <x:c r="R51" t="n">
        <x:v>-2.3337347328177827</x:v>
      </x:c>
      <x:c r="S51" t="n">
        <x:v>-2.3337347328177827</x:v>
      </x:c>
      <x:c r="T51" t="n">
        <x:v>-2.8137347328177826</x:v>
      </x:c>
      <x:c r="U51" t="n">
        <x:f>YEAR(C51)</x:f>
        <x:v>2021</x:v>
      </x:c>
      <x:c r="V51" t="n">
        <x:f>YEAR(D51)</x:f>
        <x:v>2021</x:v>
      </x:c>
      <x:c r="W51" t="n">
        <x:f>N51-M51-O51-P51</x:f>
        <x:v>-74.22049070440072</x:v>
      </x:c>
      <x:c r="X51" t="str">
        <x:f>IF(T51&gt;1,"Ganador",IF(T51&lt;0,"Perdedor","Empate"))</x:f>
        <x:v>Perdedor</x:v>
      </x:c>
    </x:row>
    <x:row r="52">
      <x:c r="A52" t="str">
        <x:v>FCX</x:v>
      </x:c>
      <x:c r="B52" t="n">
        <x:v>44253</x:v>
      </x:c>
      <x:c r="C52" t="n">
        <x:v>44256</x:v>
      </x:c>
      <x:c r="D52" t="n">
        <x:v>44319</x:v>
      </x:c>
      <x:c r="E52" t="n">
        <x:v>63</x:v>
      </x:c>
      <x:c r="F52" t="str">
        <x:v>enter_or_hold</x:v>
      </x:c>
      <x:c r="G52" t="str">
        <x:v>rebalance_trim</x:v>
      </x:c>
      <x:c r="H52" t="n">
        <x:v>3</x:v>
      </x:c>
      <x:c r="I52" t="n">
        <x:v>100.04537845653908</x:v>
      </x:c>
      <x:c r="J52" t="n">
        <x:v>8.935744798297037</x:v>
      </x:c>
      <x:c r="K52" t="n">
        <x:v>34.900001525878906</x:v>
      </x:c>
      <x:c r="L52" t="n">
        <x:v>38.709999084472656</x:v>
      </x:c>
      <x:c r="M52" t="n">
        <x:v>311.85750709543106</x:v>
      </x:c>
      <x:c r="N52" t="n">
        <x:v>345.9026729611596</x:v>
      </x:c>
      <x:c r="O52" t="n">
        <x:v>0.7484580170290346</x:v>
      </x:c>
      <x:c r="P52" t="n">
        <x:v>0.830166415106783</x:v>
      </x:c>
      <x:c r="Q52" t="n">
        <x:v>34.900001525878906</x:v>
      </x:c>
      <x:c r="R52" t="n">
        <x:v>10.916897971389993</x:v>
      </x:c>
      <x:c r="S52" t="n">
        <x:v>10.916897971389993</x:v>
      </x:c>
      <x:c r="T52" t="n">
        <x:v>10.436897971389993</x:v>
      </x:c>
      <x:c r="U52" t="n">
        <x:f>YEAR(C52)</x:f>
        <x:v>2021</x:v>
      </x:c>
      <x:c r="V52" t="n">
        <x:f>YEAR(D52)</x:f>
        <x:v>2021</x:v>
      </x:c>
      <x:c r="W52" t="n">
        <x:f>N52-M52-O52-P52</x:f>
        <x:v>32.466541433592745</x:v>
      </x:c>
      <x:c r="X52" t="str">
        <x:f>IF(T52&gt;1,"Ganador",IF(T52&lt;0,"Perdedor","Empate"))</x:f>
        <x:v>Ganador</x:v>
      </x:c>
    </x:row>
    <x:row r="53">
      <x:c r="A53" t="str">
        <x:v>IVZ</x:v>
      </x:c>
      <x:c r="B53" t="n">
        <x:v>44281</x:v>
      </x:c>
      <x:c r="C53" t="n">
        <x:v>44284</x:v>
      </x:c>
      <x:c r="D53" t="n">
        <x:v>44319</x:v>
      </x:c>
      <x:c r="E53" t="n">
        <x:v>35</x:v>
      </x:c>
      <x:c r="F53" t="str">
        <x:v>enter_or_hold</x:v>
      </x:c>
      <x:c r="G53" t="str">
        <x:v>rebalance_trim</x:v>
      </x:c>
      <x:c r="H53" t="n">
        <x:v>3</x:v>
      </x:c>
      <x:c r="I53" t="n">
        <x:v>74.38273044545696</x:v>
      </x:c>
      <x:c r="J53" t="n">
        <x:v>4.601003844251004</x:v>
      </x:c>
      <x:c r="K53" t="n">
        <x:v>24.350000381469727</x:v>
      </x:c>
      <x:c r="L53" t="n">
        <x:v>27.420000076293945</x:v>
      </x:c>
      <x:c r="M53" t="n">
        <x:v>112.03444536265562</x:v>
      </x:c>
      <x:c r="N53" t="n">
        <x:v>126.15952576039126</x:v>
      </x:c>
      <x:c r="O53" t="n">
        <x:v>0.26888266887037343</x:v>
      </x:c>
      <x:c r="P53" t="n">
        <x:v>0.302782861824939</x:v>
      </x:c>
      <x:c r="Q53" t="n">
        <x:v>24.350000381469727</x:v>
      </x:c>
      <x:c r="R53" t="n">
        <x:v>12.607801423939513</x:v>
      </x:c>
      <x:c r="S53" t="n">
        <x:v>12.607801423939513</x:v>
      </x:c>
      <x:c r="T53" t="n">
        <x:v>12.127801423939513</x:v>
      </x:c>
      <x:c r="U53" t="n">
        <x:f>YEAR(C53)</x:f>
        <x:v>2021</x:v>
      </x:c>
      <x:c r="V53" t="n">
        <x:f>YEAR(D53)</x:f>
        <x:v>2021</x:v>
      </x:c>
      <x:c r="W53" t="n">
        <x:f>N53-M53-O53-P53</x:f>
        <x:v>13.553414867040331</x:v>
      </x:c>
      <x:c r="X53" t="str">
        <x:f>IF(T53&gt;1,"Ganador",IF(T53&lt;0,"Perdedor","Empate"))</x:f>
        <x:v>Ganador</x:v>
      </x:c>
    </x:row>
    <x:row r="54">
      <x:c r="A54" t="str">
        <x:v>TPL</x:v>
      </x:c>
      <x:c r="B54" t="n">
        <x:v>44253</x:v>
      </x:c>
      <x:c r="C54" t="n">
        <x:v>44256</x:v>
      </x:c>
      <x:c r="D54" t="n">
        <x:v>44319</x:v>
      </x:c>
      <x:c r="E54" t="n">
        <x:v>63</x:v>
      </x:c>
      <x:c r="F54" t="str">
        <x:v>enter_or_hold</x:v>
      </x:c>
      <x:c r="G54" t="str">
        <x:v>rebalance_trim</x:v>
      </x:c>
      <x:c r="H54" t="n">
        <x:v>6</x:v>
      </x:c>
      <x:c r="I54" t="n">
        <x:v>81.57742981332001</x:v>
      </x:c>
      <x:c r="J54" t="n">
        <x:v>0.21159087646633415</x:v>
      </x:c>
      <x:c r="K54" t="n">
        <x:v>123.086669921875</x:v>
      </x:c>
      <x:c r="L54" t="n">
        <x:v>178.74777221679688</x:v>
      </x:c>
      <x:c r="M54" t="n">
        <x:v>26.044016370091903</x:v>
      </x:c>
      <x:c r="N54" t="n">
        <x:v>37.8213977897567</x:v>
      </x:c>
      <x:c r="O54" t="n">
        <x:v>0.06250563928822057</x:v>
      </x:c>
      <x:c r="P54" t="n">
        <x:v>0.09077135469541607</x:v>
      </x:c>
      <x:c r="Q54" t="n">
        <x:v>123.086669921875</x:v>
      </x:c>
      <x:c r="R54" t="n">
        <x:v>45.22106441765858</x:v>
      </x:c>
      <x:c r="S54" t="n">
        <x:v>45.22106441765858</x:v>
      </x:c>
      <x:c r="T54" t="n">
        <x:v>44.741064417658585</x:v>
      </x:c>
      <x:c r="U54" t="n">
        <x:f>YEAR(C54)</x:f>
        <x:v>2021</x:v>
      </x:c>
      <x:c r="V54" t="n">
        <x:f>YEAR(D54)</x:f>
        <x:v>2021</x:v>
      </x:c>
      <x:c r="W54" t="n">
        <x:f>N54-M54-O54-P54</x:f>
        <x:v>11.624104425681162</x:v>
      </x:c>
      <x:c r="X54" t="str">
        <x:f>IF(T54&gt;1,"Ganador",IF(T54&lt;0,"Perdedor","Empate"))</x:f>
        <x:v>Ganador</x:v>
      </x:c>
    </x:row>
    <x:row r="55">
      <x:c r="A55" t="str">
        <x:v>IVZ</x:v>
      </x:c>
      <x:c r="B55" t="n">
        <x:v>44281</x:v>
      </x:c>
      <x:c r="C55" t="n">
        <x:v>44284</x:v>
      </x:c>
      <x:c r="D55" t="n">
        <x:v>44348</x:v>
      </x:c>
      <x:c r="E55" t="n">
        <x:v>64</x:v>
      </x:c>
      <x:c r="F55" t="str">
        <x:v>enter_or_hold</x:v>
      </x:c>
      <x:c r="G55" t="str">
        <x:v>left_top_n</x:v>
      </x:c>
      <x:c r="H55" t="n">
        <x:v>3</x:v>
      </x:c>
      <x:c r="I55" t="n">
        <x:v>74.38273044545696</x:v>
      </x:c>
      <x:c r="J55" t="n">
        <x:v>103.94330479391772</x:v>
      </x:c>
      <x:c r="K55" t="n">
        <x:v>24.350000381469727</x:v>
      </x:c>
      <x:c r="L55" t="n">
        <x:v>27.190000534057617</x:v>
      </x:c>
      <x:c r="M55" t="n">
        <x:v>2531.0195113831205</x:v>
      </x:c>
      <x:c r="N55" t="n">
        <x:v>2826.2185128583365</x:v>
      </x:c>
      <x:c r="O55" t="n">
        <x:v>6.0744468273194885</x:v>
      </x:c>
      <x:c r="P55" t="n">
        <x:v>6.782924430860007</x:v>
      </x:c>
      <x:c r="Q55" t="n">
        <x:v>24.350000381469727</x:v>
      </x:c>
      <x:c r="R55" t="n">
        <x:v>11.663244797109407</x:v>
      </x:c>
      <x:c r="S55" t="n">
        <x:v>11.663244797109407</x:v>
      </x:c>
      <x:c r="T55" t="n">
        <x:v>11.183244797109406</x:v>
      </x:c>
      <x:c r="U55" t="n">
        <x:f>YEAR(C55)</x:f>
        <x:v>2021</x:v>
      </x:c>
      <x:c r="V55" t="n">
        <x:f>YEAR(D55)</x:f>
        <x:v>2021</x:v>
      </x:c>
      <x:c r="W55" t="n">
        <x:f>N55-M55-O55-P55</x:f>
        <x:v>282.3416302170364</x:v>
      </x:c>
      <x:c r="X55" t="str">
        <x:f>IF(T55&gt;1,"Ganador",IF(T55&lt;0,"Perdedor","Empate"))</x:f>
        <x:v>Ganador</x:v>
      </x:c>
    </x:row>
    <x:row r="56">
      <x:c r="A56" t="str">
        <x:v>MOS</x:v>
      </x:c>
      <x:c r="B56" t="n">
        <x:v>44316</x:v>
      </x:c>
      <x:c r="C56" t="n">
        <x:v>44319</x:v>
      </x:c>
      <x:c r="D56" t="n">
        <x:v>44348</x:v>
      </x:c>
      <x:c r="E56" t="n">
        <x:v>29</x:v>
      </x:c>
      <x:c r="F56" t="str">
        <x:v>enter_or_hold</x:v>
      </x:c>
      <x:c r="G56" t="str">
        <x:v>left_top_n</x:v>
      </x:c>
      <x:c r="H56" t="n">
        <x:v>6</x:v>
      </x:c>
      <x:c r="I56" t="n">
        <x:v>64.37332253624983</x:v>
      </x:c>
      <x:c r="J56" t="n">
        <x:v>81.1559997316006</x:v>
      </x:c>
      <x:c r="K56" t="n">
        <x:v>35.029998779296875</x:v>
      </x:c>
      <x:c r="L56" t="n">
        <x:v>37.54999923706055</x:v>
      </x:c>
      <x:c r="M56" t="n">
        <x:v>2842.8945715305867</x:v>
      </x:c>
      <x:c r="N56" t="n">
        <x:v>3047.4077280044885</x:v>
      </x:c>
      <x:c r="O56" t="n">
        <x:v>6.8229469716734075</x:v>
      </x:c>
      <x:c r="P56" t="n">
        <x:v>7.313778547210772</x:v>
      </x:c>
      <x:c r="Q56" t="n">
        <x:v>35.029998779296875</x:v>
      </x:c>
      <x:c r="R56" t="n">
        <x:v>7.193835414156569</x:v>
      </x:c>
      <x:c r="S56" t="n">
        <x:v>7.193835414156569</x:v>
      </x:c>
      <x:c r="T56" t="n">
        <x:v>6.713835414156568</x:v>
      </x:c>
      <x:c r="U56" t="n">
        <x:f>YEAR(C56)</x:f>
        <x:v>2021</x:v>
      </x:c>
      <x:c r="V56" t="n">
        <x:f>YEAR(D56)</x:f>
        <x:v>2021</x:v>
      </x:c>
      <x:c r="W56" t="n">
        <x:f>N56-M56-O56-P56</x:f>
        <x:v>190.37643095501755</x:v>
      </x:c>
      <x:c r="X56" t="str">
        <x:f>IF(T56&gt;1,"Ganador",IF(T56&lt;0,"Perdedor","Empate"))</x:f>
        <x:v>Ganador</x:v>
      </x:c>
    </x:row>
    <x:row r="57">
      <x:c r="A57" t="str">
        <x:v>COF</x:v>
      </x:c>
      <x:c r="B57" t="n">
        <x:v>44316</x:v>
      </x:c>
      <x:c r="C57" t="n">
        <x:v>44319</x:v>
      </x:c>
      <x:c r="D57" t="n">
        <x:v>44348</x:v>
      </x:c>
      <x:c r="E57" t="n">
        <x:v>29</x:v>
      </x:c>
      <x:c r="F57" t="str">
        <x:v>enter_or_hold</x:v>
      </x:c>
      <x:c r="G57" t="str">
        <x:v>rebalance_trim</x:v>
      </x:c>
      <x:c r="H57" t="n">
        <x:v>5</x:v>
      </x:c>
      <x:c r="I57" t="n">
        <x:v>64.94378899210214</x:v>
      </x:c>
      <x:c r="J57" t="n">
        <x:v>1.1732052548997494</x:v>
      </x:c>
      <x:c r="K57" t="n">
        <x:v>149.9199981689453</x:v>
      </x:c>
      <x:c r="L57" t="n">
        <x:v>166.25</x:v>
      </x:c>
      <x:c r="M57" t="n">
        <x:v>175.88692966636742</x:v>
      </x:c>
      <x:c r="N57" t="n">
        <x:v>195.04537362708334</x:v>
      </x:c>
      <x:c r="O57" t="n">
        <x:v>0.4221286311992818</x:v>
      </x:c>
      <x:c r="P57" t="n">
        <x:v>0.46810889670499994</x:v>
      </x:c>
      <x:c r="Q57" t="n">
        <x:v>149.9199981689453</x:v>
      </x:c>
      <x:c r="R57" t="n">
        <x:v>10.89247734158345</x:v>
      </x:c>
      <x:c r="S57" t="n">
        <x:v>10.89247734158345</x:v>
      </x:c>
      <x:c r="T57" t="n">
        <x:v>10.41247734158345</x:v>
      </x:c>
      <x:c r="U57" t="n">
        <x:f>YEAR(C57)</x:f>
        <x:v>2021</x:v>
      </x:c>
      <x:c r="V57" t="n">
        <x:f>YEAR(D57)</x:f>
        <x:v>2021</x:v>
      </x:c>
      <x:c r="W57" t="n">
        <x:f>N57-M57-O57-P57</x:f>
        <x:v>18.26820643281163</x:v>
      </x:c>
      <x:c r="X57" t="str">
        <x:f>IF(T57&gt;1,"Ganador",IF(T57&lt;0,"Perdedor","Empate"))</x:f>
        <x:v>Ganador</x:v>
      </x:c>
    </x:row>
    <x:row r="58">
      <x:c r="A58" t="str">
        <x:v>FCX</x:v>
      </x:c>
      <x:c r="B58" t="n">
        <x:v>44253</x:v>
      </x:c>
      <x:c r="C58" t="n">
        <x:v>44256</x:v>
      </x:c>
      <x:c r="D58" t="n">
        <x:v>44348</x:v>
      </x:c>
      <x:c r="E58" t="n">
        <x:v>92</x:v>
      </x:c>
      <x:c r="F58" t="str">
        <x:v>enter_or_hold</x:v>
      </x:c>
      <x:c r="G58" t="str">
        <x:v>rebalance_trim</x:v>
      </x:c>
      <x:c r="H58" t="n">
        <x:v>3</x:v>
      </x:c>
      <x:c r="I58" t="n">
        <x:v>100.04537845653908</x:v>
      </x:c>
      <x:c r="J58" t="n">
        <x:v>6.730751920900564</x:v>
      </x:c>
      <x:c r="K58" t="n">
        <x:v>34.900001525878906</x:v>
      </x:c>
      <x:c r="L58" t="n">
        <x:v>44.209999084472656</x:v>
      </x:c>
      <x:c r="M58" t="n">
        <x:v>234.90325230974204</x:v>
      </x:c>
      <x:c r="N58" t="n">
        <x:v>297.5665362608265</x:v>
      </x:c>
      <x:c r="O58" t="n">
        <x:v>0.5637678055433809</x:v>
      </x:c>
      <x:c r="P58" t="n">
        <x:v>0.7141596870259836</x:v>
      </x:c>
      <x:c r="Q58" t="n">
        <x:v>34.900001525878906</x:v>
      </x:c>
      <x:c r="R58" t="n">
        <x:v>26.676209603286804</x:v>
      </x:c>
      <x:c r="S58" t="n">
        <x:v>26.676209603286804</x:v>
      </x:c>
      <x:c r="T58" t="n">
        <x:v>26.196209603286803</x:v>
      </x:c>
      <x:c r="U58" t="n">
        <x:f>YEAR(C58)</x:f>
        <x:v>2021</x:v>
      </x:c>
      <x:c r="V58" t="n">
        <x:f>YEAR(D58)</x:f>
        <x:v>2021</x:v>
      </x:c>
      <x:c r="W58" t="n">
        <x:f>N58-M58-O58-P58</x:f>
        <x:v>61.38535645851512</x:v>
      </x:c>
      <x:c r="X58" t="str">
        <x:f>IF(T58&gt;1,"Ganador",IF(T58&lt;0,"Perdedor","Empate"))</x:f>
        <x:v>Ganador</x:v>
      </x:c>
    </x:row>
    <x:row r="59">
      <x:c r="A59" t="str">
        <x:v>FCX</x:v>
      </x:c>
      <x:c r="B59" t="n">
        <x:v>44253</x:v>
      </x:c>
      <x:c r="C59" t="n">
        <x:v>44256</x:v>
      </x:c>
      <x:c r="D59" t="n">
        <x:v>44375</x:v>
      </x:c>
      <x:c r="E59" t="n">
        <x:v>119</x:v>
      </x:c>
      <x:c r="F59" t="str">
        <x:v>enter_or_hold</x:v>
      </x:c>
      <x:c r="G59" t="str">
        <x:v>left_top_n</x:v>
      </x:c>
      <x:c r="H59" t="n">
        <x:v>3</x:v>
      </x:c>
      <x:c r="I59" t="n">
        <x:v>100.04537845653908</x:v>
      </x:c>
      <x:c r="J59" t="n">
        <x:v>66.89687641254237</x:v>
      </x:c>
      <x:c r="K59" t="n">
        <x:v>34.900001525878906</x:v>
      </x:c>
      <x:c r="L59" t="n">
        <x:v>36.7400016784668</x:v>
      </x:c>
      <x:c r="M59" t="n">
        <x:v>2334.7010888742607</x:v>
      </x:c>
      <x:c r="N59" t="n">
        <x:v>2457.7913516809926</x:v>
      </x:c>
      <x:c r="O59" t="n">
        <x:v>5.6032826132982265</x:v>
      </x:c>
      <x:c r="P59" t="n">
        <x:v>5.898699244034382</x:v>
      </x:c>
      <x:c r="Q59" t="n">
        <x:v>34.900001525878906</x:v>
      </x:c>
      <x:c r="R59" t="n">
        <x:v>5.272206510430966</x:v>
      </x:c>
      <x:c r="S59" t="n">
        <x:v>5.272206510430966</x:v>
      </x:c>
      <x:c r="T59" t="n">
        <x:v>4.792206510430965</x:v>
      </x:c>
      <x:c r="U59" t="n">
        <x:f>YEAR(C59)</x:f>
        <x:v>2021</x:v>
      </x:c>
      <x:c r="V59" t="n">
        <x:f>YEAR(D59)</x:f>
        <x:v>2021</x:v>
      </x:c>
      <x:c r="W59" t="n">
        <x:f>N59-M59-O59-P59</x:f>
        <x:v>111.58828094939936</x:v>
      </x:c>
      <x:c r="X59" t="str">
        <x:f>IF(T59&gt;1,"Ganador",IF(T59&lt;0,"Perdedor","Empate"))</x:f>
        <x:v>Ganador</x:v>
      </x:c>
    </x:row>
    <x:row r="60">
      <x:c r="A60" t="str">
        <x:v>COF</x:v>
      </x:c>
      <x:c r="B60" t="n">
        <x:v>44316</x:v>
      </x:c>
      <x:c r="C60" t="n">
        <x:v>44319</x:v>
      </x:c>
      <x:c r="D60" t="n">
        <x:v>44375</x:v>
      </x:c>
      <x:c r="E60" t="n">
        <x:v>56</x:v>
      </x:c>
      <x:c r="F60" t="str">
        <x:v>enter_or_hold</x:v>
      </x:c>
      <x:c r="G60" t="str">
        <x:v>left_top_n</x:v>
      </x:c>
      <x:c r="H60" t="n">
        <x:v>5</x:v>
      </x:c>
      <x:c r="I60" t="n">
        <x:v>64.94378899210214</x:v>
      </x:c>
      <x:c r="J60" t="n">
        <x:v>17.78953891700799</x:v>
      </x:c>
      <x:c r="K60" t="n">
        <x:v>149.9199981689453</x:v>
      </x:c>
      <x:c r="L60" t="n">
        <x:v>156</x:v>
      </x:c>
      <x:c r="M60" t="n">
        <x:v>2667.0076418642193</x:v>
      </x:c>
      <x:c r="N60" t="n">
        <x:v>2775.168071053247</x:v>
      </x:c>
      <x:c r="O60" t="n">
        <x:v>6.4008183404741255</x:v>
      </x:c>
      <x:c r="P60" t="n">
        <x:v>6.660403370527792</x:v>
      </x:c>
      <x:c r="Q60" t="n">
        <x:v>149.9199981689453</x:v>
      </x:c>
      <x:c r="R60" t="n">
        <x:v>4.0554975355610035</x:v>
      </x:c>
      <x:c r="S60" t="n">
        <x:v>4.0554975355610035</x:v>
      </x:c>
      <x:c r="T60" t="n">
        <x:v>3.5754975355610035</x:v>
      </x:c>
      <x:c r="U60" t="n">
        <x:f>YEAR(C60)</x:f>
        <x:v>2021</x:v>
      </x:c>
      <x:c r="V60" t="n">
        <x:f>YEAR(D60)</x:f>
        <x:v>2021</x:v>
      </x:c>
      <x:c r="W60" t="n">
        <x:f>N60-M60-O60-P60</x:f>
        <x:v>95.09920747802566</x:v>
      </x:c>
      <x:c r="X60" t="str">
        <x:f>IF(T60&gt;1,"Ganador",IF(T60&lt;0,"Perdedor","Empate"))</x:f>
        <x:v>Ganador</x:v>
      </x:c>
    </x:row>
    <x:row r="61">
      <x:c r="A61" t="str">
        <x:v>NUE</x:v>
      </x:c>
      <x:c r="B61" t="n">
        <x:v>44344</x:v>
      </x:c>
      <x:c r="C61" t="n">
        <x:v>44348</x:v>
      </x:c>
      <x:c r="D61" t="n">
        <x:v>44375</x:v>
      </x:c>
      <x:c r="E61" t="n">
        <x:v>27</x:v>
      </x:c>
      <x:c r="F61" t="str">
        <x:v>enter_or_hold</x:v>
      </x:c>
      <x:c r="G61" t="str">
        <x:v>left_top_n</x:v>
      </x:c>
      <x:c r="H61" t="n">
        <x:v>1</x:v>
      </x:c>
      <x:c r="I61" t="n">
        <x:v>77.73126175212515</x:v>
      </x:c>
      <x:c r="J61" t="n">
        <x:v>26.63942785709168</x:v>
      </x:c>
      <x:c r="K61" t="n">
        <x:v>110.73999786376952</x:v>
      </x:c>
      <x:c r="L61" t="n">
        <x:v>95.11000061035156</x:v>
      </x:c>
      <x:c r="M61" t="n">
        <x:v>2950.0501839863746</x:v>
      </x:c>
      <x:c r="N61" t="n">
        <x:v>2533.675999747406</x:v>
      </x:c>
      <x:c r="O61" t="n">
        <x:v>7.080120441567298</x:v>
      </x:c>
      <x:c r="P61" t="n">
        <x:v>6.080822399393774</x:v>
      </x:c>
      <x:c r="Q61" t="n">
        <x:v>110.73999786376952</x:v>
      </x:c>
      <x:c r="R61" t="n">
        <x:v>-14.114139023775053</x:v>
      </x:c>
      <x:c r="S61" t="n">
        <x:v>-14.114139023775053</x:v>
      </x:c>
      <x:c r="T61" t="n">
        <x:v>-14.594139023775053</x:v>
      </x:c>
      <x:c r="U61" t="n">
        <x:f>YEAR(C61)</x:f>
        <x:v>2021</x:v>
      </x:c>
      <x:c r="V61" t="n">
        <x:f>YEAR(D61)</x:f>
        <x:v>2021</x:v>
      </x:c>
      <x:c r="W61" t="n">
        <x:f>N61-M61-O61-P61</x:f>
        <x:v>-429.5351270799297</x:v>
      </x:c>
      <x:c r="X61" t="str">
        <x:f>IF(T61&gt;1,"Ganador",IF(T61&lt;0,"Perdedor","Empate"))</x:f>
        <x:v>Perdedor</x:v>
      </x:c>
    </x:row>
    <x:row r="62">
      <x:c r="A62" t="str">
        <x:v>MRNA</x:v>
      </x:c>
      <x:c r="B62" t="n">
        <x:v>44316</x:v>
      </x:c>
      <x:c r="C62" t="n">
        <x:v>44319</x:v>
      </x:c>
      <x:c r="D62" t="n">
        <x:v>44375</x:v>
      </x:c>
      <x:c r="E62" t="n">
        <x:v>56</x:v>
      </x:c>
      <x:c r="F62" t="str">
        <x:v>enter_or_hold</x:v>
      </x:c>
      <x:c r="G62" t="str">
        <x:v>rebalance_trim</x:v>
      </x:c>
      <x:c r="H62" t="n">
        <x:v>5</x:v>
      </x:c>
      <x:c r="I62" t="n">
        <x:v>65.37405179321021</x:v>
      </x:c>
      <x:c r="J62" t="n">
        <x:v>3.187513858977254</x:v>
      </x:c>
      <x:c r="K62" t="n">
        <x:v>185.95797292391424</x:v>
      </x:c>
      <x:c r="L62" t="n">
        <x:v>222.94000244140625</x:v>
      </x:c>
      <x:c r="M62" t="n">
        <x:v>592.7436158822935</x:v>
      </x:c>
      <x:c r="N62" t="n">
        <x:v>710.6243475024053</x:v>
      </x:c>
      <x:c r="O62" t="n">
        <x:v>1.4225846781175042</x:v>
      </x:c>
      <x:c r="P62" t="n">
        <x:v>1.7054984340057726</x:v>
      </x:c>
      <x:c r="Q62" t="n">
        <x:v>186.0200042724609</x:v>
      </x:c>
      <x:c r="R62" t="n">
        <x:v>19.847326804094223</x:v>
      </x:c>
      <x:c r="S62" t="n">
        <x:v>19.887305145353153</x:v>
      </x:c>
      <x:c r="T62" t="n">
        <x:v>19.407305145353153</x:v>
      </x:c>
      <x:c r="U62" t="n">
        <x:f>YEAR(C62)</x:f>
        <x:v>2021</x:v>
      </x:c>
      <x:c r="V62" t="n">
        <x:f>YEAR(D62)</x:f>
        <x:v>2021</x:v>
      </x:c>
      <x:c r="W62" t="n">
        <x:f>N62-M62-O62-P62</x:f>
        <x:v>114.75264850798848</x:v>
      </x:c>
      <x:c r="X62" t="str">
        <x:f>IF(T62&gt;1,"Ganador",IF(T62&lt;0,"Perdedor","Empate"))</x:f>
        <x:v>Ganador</x:v>
      </x:c>
    </x:row>
    <x:row r="63">
      <x:c r="A63" t="str">
        <x:v>TPL</x:v>
      </x:c>
      <x:c r="B63" t="n">
        <x:v>44253</x:v>
      </x:c>
      <x:c r="C63" t="n">
        <x:v>44256</x:v>
      </x:c>
      <x:c r="D63" t="n">
        <x:v>44375</x:v>
      </x:c>
      <x:c r="E63" t="n">
        <x:v>119</x:v>
      </x:c>
      <x:c r="F63" t="str">
        <x:v>enter_or_hold</x:v>
      </x:c>
      <x:c r="G63" t="str">
        <x:v>rebalance_trim</x:v>
      </x:c>
      <x:c r="H63" t="n">
        <x:v>3</x:v>
      </x:c>
      <x:c r="I63" t="n">
        <x:v>67.01369700950559</x:v>
      </x:c>
      <x:c r="J63" t="n">
        <x:v>1.1796162389026958</x:v>
      </x:c>
      <x:c r="K63" t="n">
        <x:v>127.50934582466331</x:v>
      </x:c>
      <x:c r="L63" t="n">
        <x:v>172.54888916015625</x:v>
      </x:c>
      <x:c r="M63" t="n">
        <x:v>150.4120949466325</x:v>
      </x:c>
      <x:c r="N63" t="n">
        <x:v>203.54147165794166</x:v>
      </x:c>
      <x:c r="O63" t="n">
        <x:v>0.360989027871918</x:v>
      </x:c>
      <x:c r="P63" t="n">
        <x:v>0.48849953197905993</x:v>
      </x:c>
      <x:c r="Q63" t="n">
        <x:v>123.086669921875</x:v>
      </x:c>
      <x:c r="R63" t="n">
        <x:v>40.184870766002255</x:v>
      </x:c>
      <x:c r="S63" t="n">
        <x:v>35.322542864760905</x:v>
      </x:c>
      <x:c r="T63" t="n">
        <x:v>34.84254286476091</x:v>
      </x:c>
      <x:c r="U63" t="n">
        <x:f>YEAR(C63)</x:f>
        <x:v>2021</x:v>
      </x:c>
      <x:c r="V63" t="n">
        <x:f>YEAR(D63)</x:f>
        <x:v>2021</x:v>
      </x:c>
      <x:c r="W63" t="n">
        <x:f>N63-M63-O63-P63</x:f>
        <x:v>52.27988815145819</x:v>
      </x:c>
      <x:c r="X63" t="str">
        <x:f>IF(T63&gt;1,"Ganador",IF(T63&lt;0,"Perdedor","Empate"))</x:f>
        <x:v>Ganador</x:v>
      </x:c>
    </x:row>
    <x:row r="64">
      <x:c r="A64" t="str">
        <x:v>TPL</x:v>
      </x:c>
      <x:c r="B64" t="n">
        <x:v>44253</x:v>
      </x:c>
      <x:c r="C64" t="n">
        <x:v>44256</x:v>
      </x:c>
      <x:c r="D64" t="n">
        <x:v>44410</x:v>
      </x:c>
      <x:c r="E64" t="n">
        <x:v>154</x:v>
      </x:c>
      <x:c r="F64" t="str">
        <x:v>enter_or_hold</x:v>
      </x:c>
      <x:c r="G64" t="str">
        <x:v>left_top_n</x:v>
      </x:c>
      <x:c r="H64" t="n">
        <x:v>3</x:v>
      </x:c>
      <x:c r="I64" t="n">
        <x:v>67.01369700950559</x:v>
      </x:c>
      <x:c r="J64" t="n">
        <x:v>16.571183829999693</x:v>
      </x:c>
      <x:c r="K64" t="n">
        <x:v>127.50934582466331</x:v>
      </x:c>
      <x:c r="L64" t="n">
        <x:v>164.31666564941406</x:v>
      </x:c>
      <x:c r="M64" t="n">
        <x:v>2112.9808097034997</x:v>
      </x:c>
      <x:c r="N64" t="n">
        <x:v>2722.9216728090364</x:v>
      </x:c>
      <x:c r="O64" t="n">
        <x:v>5.071153943288399</x:v>
      </x:c>
      <x:c r="P64" t="n">
        <x:v>6.535012014741687</x:v>
      </x:c>
      <x:c r="Q64" t="n">
        <x:v>123.086669921875</x:v>
      </x:c>
      <x:c r="R64" t="n">
        <x:v>33.49671881911207</x:v>
      </x:c>
      <x:c r="S64" t="n">
        <x:v>28.86637021521865</x:v>
      </x:c>
      <x:c r="T64" t="n">
        <x:v>28.38637021521865</x:v>
      </x:c>
      <x:c r="U64" t="n">
        <x:f>YEAR(C64)</x:f>
        <x:v>2021</x:v>
      </x:c>
      <x:c r="V64" t="n">
        <x:f>YEAR(D64)</x:f>
        <x:v>2021</x:v>
      </x:c>
      <x:c r="W64" t="n">
        <x:f>N64-M64-O64-P64</x:f>
        <x:v>598.3346971475065</x:v>
      </x:c>
      <x:c r="X64" t="str">
        <x:f>IF(T64&gt;1,"Ganador",IF(T64&lt;0,"Perdedor","Empate"))</x:f>
        <x:v>Ganador</x:v>
      </x:c>
    </x:row>
    <x:row r="65">
      <x:c r="A65" t="str">
        <x:v>DVN</x:v>
      </x:c>
      <x:c r="B65" t="n">
        <x:v>44344</x:v>
      </x:c>
      <x:c r="C65" t="n">
        <x:v>44348</x:v>
      </x:c>
      <x:c r="D65" t="n">
        <x:v>44410</x:v>
      </x:c>
      <x:c r="E65" t="n">
        <x:v>62</x:v>
      </x:c>
      <x:c r="F65" t="str">
        <x:v>enter_or_hold</x:v>
      </x:c>
      <x:c r="G65" t="str">
        <x:v>left_top_n</x:v>
      </x:c>
      <x:c r="H65" t="n">
        <x:v>2</x:v>
      </x:c>
      <x:c r="I65" t="n">
        <x:v>72.99424494674437</x:v>
      </x:c>
      <x:c r="J65" t="n">
        <x:v>100.62534560878943</x:v>
      </x:c>
      <x:c r="K65" t="n">
        <x:v>30.147673907717397</x:v>
      </x:c>
      <x:c r="L65" t="n">
        <x:v>25.489999771118164</x:v>
      </x:c>
      <x:c r="M65" t="n">
        <x:v>3033.6201062651467</x:v>
      </x:c>
      <x:c r="N65" t="n">
        <x:v>2564.9400365367287</x:v>
      </x:c>
      <x:c r="O65" t="n">
        <x:v>7.280688255036351</x:v>
      </x:c>
      <x:c r="P65" t="n">
        <x:v>6.155856087688148</x:v>
      </x:c>
      <x:c r="Q65" t="n">
        <x:v>30.200000762939453</x:v>
      </x:c>
      <x:c r="R65" t="n">
        <x:v>-15.596029380241816</x:v>
      </x:c>
      <x:c r="S65" t="n">
        <x:v>-15.44953070295394</x:v>
      </x:c>
      <x:c r="T65" t="n">
        <x:v>-15.92953070295394</x:v>
      </x:c>
      <x:c r="U65" t="n">
        <x:f>YEAR(C65)</x:f>
        <x:v>2021</x:v>
      </x:c>
      <x:c r="V65" t="n">
        <x:f>YEAR(D65)</x:f>
        <x:v>2021</x:v>
      </x:c>
      <x:c r="W65" t="n">
        <x:f>N65-M65-O65-P65</x:f>
        <x:v>-482.11661407114246</x:v>
      </x:c>
      <x:c r="X65" t="str">
        <x:f>IF(T65&gt;1,"Ganador",IF(T65&lt;0,"Perdedor","Empate"))</x:f>
        <x:v>Perdedor</x:v>
      </x:c>
    </x:row>
    <x:row r="66">
      <x:c r="A66" t="str">
        <x:v>FANG</x:v>
      </x:c>
      <x:c r="B66" t="n">
        <x:v>44372</x:v>
      </x:c>
      <x:c r="C66" t="n">
        <x:v>44375</x:v>
      </x:c>
      <x:c r="D66" t="n">
        <x:v>44410</x:v>
      </x:c>
      <x:c r="E66" t="n">
        <x:v>35</x:v>
      </x:c>
      <x:c r="F66" t="str">
        <x:v>enter_or_hold</x:v>
      </x:c>
      <x:c r="G66" t="str">
        <x:v>left_top_n</x:v>
      </x:c>
      <x:c r="H66" t="n">
        <x:v>3</x:v>
      </x:c>
      <x:c r="I66" t="n">
        <x:v>71.93667512149611</x:v>
      </x:c>
      <x:c r="J66" t="n">
        <x:v>30.841221022521033</x:v>
      </x:c>
      <x:c r="K66" t="n">
        <x:v>92.47000122070312</x:v>
      </x:c>
      <x:c r="L66" t="n">
        <x:v>76.75</x:v>
      </x:c>
      <x:c r="M66" t="n">
        <x:v>2851.887745600495</x:v>
      </x:c>
      <x:c r="N66" t="n">
        <x:v>2367.0637134784893</x:v>
      </x:c>
      <x:c r="O66" t="n">
        <x:v>6.844530589441187</x:v>
      </x:c>
      <x:c r="P66" t="n">
        <x:v>5.680952912348373</x:v>
      </x:c>
      <x:c r="Q66" t="n">
        <x:v>92.47000122070312</x:v>
      </x:c>
      <x:c r="R66" t="n">
        <x:v>-17.0001092388691</x:v>
      </x:c>
      <x:c r="S66" t="n">
        <x:v>-17.0001092388691</x:v>
      </x:c>
      <x:c r="T66" t="n">
        <x:v>-17.4801092388691</x:v>
      </x:c>
      <x:c r="U66" t="n">
        <x:f>YEAR(C66)</x:f>
        <x:v>2021</x:v>
      </x:c>
      <x:c r="V66" t="n">
        <x:f>YEAR(D66)</x:f>
        <x:v>2021</x:v>
      </x:c>
      <x:c r="W66" t="n">
        <x:f>N66-M66-O66-P66</x:f>
        <x:v>-497.34951562379507</x:v>
      </x:c>
      <x:c r="X66" t="str">
        <x:f>IF(T66&gt;1,"Ganador",IF(T66&lt;0,"Perdedor","Empate"))</x:f>
        <x:v>Perdedor</x:v>
      </x:c>
    </x:row>
    <x:row r="67">
      <x:c r="A67" t="str">
        <x:v>OXY</x:v>
      </x:c>
      <x:c r="B67" t="n">
        <x:v>44372</x:v>
      </x:c>
      <x:c r="C67" t="n">
        <x:v>44375</x:v>
      </x:c>
      <x:c r="D67" t="n">
        <x:v>44410</x:v>
      </x:c>
      <x:c r="E67" t="n">
        <x:v>35</x:v>
      </x:c>
      <x:c r="F67" t="str">
        <x:v>enter_or_hold</x:v>
      </x:c>
      <x:c r="G67" t="str">
        <x:v>left_top_n</x:v>
      </x:c>
      <x:c r="H67" t="n">
        <x:v>5</x:v>
      </x:c>
      <x:c r="I67" t="n">
        <x:v>66.3478363469798</x:v>
      </x:c>
      <x:c r="J67" t="n">
        <x:v>91.2896212066271</x:v>
      </x:c>
      <x:c r="K67" t="n">
        <x:v>31.239999771118164</x:v>
      </x:c>
      <x:c r="L67" t="n">
        <x:v>25.790000915527344</x:v>
      </x:c>
      <x:c r="M67" t="n">
        <x:v>2851.887745600495</x:v>
      </x:c>
      <x:c r="N67" t="n">
        <x:v>2354.3594144970575</x:v>
      </x:c>
      <x:c r="O67" t="n">
        <x:v>6.844530589441187</x:v>
      </x:c>
      <x:c r="P67" t="n">
        <x:v>5.650462594792938</x:v>
      </x:c>
      <x:c r="Q67" t="n">
        <x:v>31.239999771118164</x:v>
      </x:c>
      <x:c r="R67" t="n">
        <x:v>-17.445579050962166</x:v>
      </x:c>
      <x:c r="S67" t="n">
        <x:v>-17.445579050962166</x:v>
      </x:c>
      <x:c r="T67" t="n">
        <x:v>-17.925579050962167</x:v>
      </x:c>
      <x:c r="U67" t="n">
        <x:f>YEAR(C67)</x:f>
        <x:v>2021</x:v>
      </x:c>
      <x:c r="V67" t="n">
        <x:f>YEAR(D67)</x:f>
        <x:v>2021</x:v>
      </x:c>
      <x:c r="W67" t="n">
        <x:f>N67-M67-O67-P67</x:f>
        <x:v>-510.0233242876714</x:v>
      </x:c>
      <x:c r="X67" t="str">
        <x:f>IF(T67&gt;1,"Ganador",IF(T67&lt;0,"Perdedor","Empate"))</x:f>
        <x:v>Perdedor</x:v>
      </x:c>
    </x:row>
    <x:row r="68">
      <x:c r="A68" t="str">
        <x:v>MRNA</x:v>
      </x:c>
      <x:c r="B68" t="n">
        <x:v>44316</x:v>
      </x:c>
      <x:c r="C68" t="n">
        <x:v>44319</x:v>
      </x:c>
      <x:c r="D68" t="n">
        <x:v>44410</x:v>
      </x:c>
      <x:c r="E68" t="n">
        <x:v>91</x:v>
      </x:c>
      <x:c r="F68" t="str">
        <x:v>enter_or_hold</x:v>
      </x:c>
      <x:c r="G68" t="str">
        <x:v>rebalance_trim</x:v>
      </x:c>
      <x:c r="H68" t="n">
        <x:v>5</x:v>
      </x:c>
      <x:c r="I68" t="n">
        <x:v>65.37405179321021</x:v>
      </x:c>
      <x:c r="J68" t="n">
        <x:v>4.546082693689104</x:v>
      </x:c>
      <x:c r="K68" t="n">
        <x:v>185.95797292391424</x:v>
      </x:c>
      <x:c r="L68" t="n">
        <x:v>346.6099853515625</x:v>
      </x:c>
      <x:c r="M68" t="n">
        <x:v>845.3803224629136</x:v>
      </x:c>
      <x:c r="N68" t="n">
        <x:v>1575.717655866572</x:v>
      </x:c>
      <x:c r="O68" t="n">
        <x:v>2.0289127739109922</x:v>
      </x:c>
      <x:c r="P68" t="n">
        <x:v>3.7817223740797723</x:v>
      </x:c>
      <x:c r="Q68" t="n">
        <x:v>186.0200042724609</x:v>
      </x:c>
      <x:c r="R68" t="n">
        <x:v>86.32941478911467</x:v>
      </x:c>
      <x:c r="S68" t="n">
        <x:v>86.39157004221592</x:v>
      </x:c>
      <x:c r="T68" t="n">
        <x:v>85.91157004221591</x:v>
      </x:c>
      <x:c r="U68" t="n">
        <x:f>YEAR(C68)</x:f>
        <x:v>2021</x:v>
      </x:c>
      <x:c r="V68" t="n">
        <x:f>YEAR(D68)</x:f>
        <x:v>2021</x:v>
      </x:c>
      <x:c r="W68" t="n">
        <x:f>N68-M68-O68-P68</x:f>
        <x:v>724.5266982556676</x:v>
      </x:c>
      <x:c r="X68" t="str">
        <x:f>IF(T68&gt;1,"Ganador",IF(T68&lt;0,"Perdedor","Empate"))</x:f>
        <x:v>Ganador</x:v>
      </x:c>
    </x:row>
    <x:row r="69">
      <x:c r="A69" t="str">
        <x:v>GNRC</x:v>
      </x:c>
      <x:c r="B69" t="n">
        <x:v>44372</x:v>
      </x:c>
      <x:c r="C69" t="n">
        <x:v>44375</x:v>
      </x:c>
      <x:c r="D69" t="n">
        <x:v>44438</x:v>
      </x:c>
      <x:c r="E69" t="n">
        <x:v>63</x:v>
      </x:c>
      <x:c r="F69" t="str">
        <x:v>enter_or_hold</x:v>
      </x:c>
      <x:c r="G69" t="str">
        <x:v>left_top_n</x:v>
      </x:c>
      <x:c r="H69" t="n">
        <x:v>4</x:v>
      </x:c>
      <x:c r="I69" t="n">
        <x:v>49.655173991063336</x:v>
      </x:c>
      <x:c r="J69" t="n">
        <x:v>7.172335306861393</x:v>
      </x:c>
      <x:c r="K69" t="n">
        <x:v>408.930226104487</x:v>
      </x:c>
      <x:c r="L69" t="n">
        <x:v>442.7000122070313</x:v>
      </x:c>
      <x:c r="M69" t="n">
        <x:v>2932.9846987320248</x:v>
      </x:c>
      <x:c r="N69" t="n">
        <x:v>3175.1929279004603</x:v>
      </x:c>
      <x:c r="O69" t="n">
        <x:v>7.039163276956859</x:v>
      </x:c>
      <x:c r="P69" t="n">
        <x:v>7.6204630269611044</x:v>
      </x:c>
      <x:c r="Q69" t="n">
        <x:v>409.1900024414063</x:v>
      </x:c>
      <x:c r="R69" t="n">
        <x:v>8.189352028566098</x:v>
      </x:c>
      <x:c r="S69" t="n">
        <x:v>8.258080216823016</x:v>
      </x:c>
      <x:c r="T69" t="n">
        <x:v>7.778080216823016</x:v>
      </x:c>
      <x:c r="U69" t="n">
        <x:f>YEAR(C69)</x:f>
        <x:v>2021</x:v>
      </x:c>
      <x:c r="V69" t="n">
        <x:f>YEAR(D69)</x:f>
        <x:v>2021</x:v>
      </x:c>
      <x:c r="W69" t="n">
        <x:f>N69-M69-O69-P69</x:f>
        <x:v>227.5486028645176</x:v>
      </x:c>
      <x:c r="X69" t="str">
        <x:f>IF(T69&gt;1,"Ganador",IF(T69&lt;0,"Perdedor","Empate"))</x:f>
        <x:v>Ganador</x:v>
      </x:c>
    </x:row>
    <x:row r="70">
      <x:c r="A70" t="str">
        <x:v>STLD</x:v>
      </x:c>
      <x:c r="B70" t="n">
        <x:v>44407</x:v>
      </x:c>
      <x:c r="C70" t="n">
        <x:v>44410</x:v>
      </x:c>
      <x:c r="D70" t="n">
        <x:v>44438</x:v>
      </x:c>
      <x:c r="E70" t="n">
        <x:v>28</x:v>
      </x:c>
      <x:c r="F70" t="str">
        <x:v>enter_or_hold</x:v>
      </x:c>
      <x:c r="G70" t="str">
        <x:v>left_top_n</x:v>
      </x:c>
      <x:c r="H70" t="n">
        <x:v>6</x:v>
      </x:c>
      <x:c r="I70" t="n">
        <x:v>46.05213032319466</x:v>
      </x:c>
      <x:c r="J70" t="n">
        <x:v>45.49527378616524</x:v>
      </x:c>
      <x:c r="K70" t="n">
        <x:v>62.90999984741211</x:v>
      </x:c>
      <x:c r="L70" t="n">
        <x:v>70.23999786376953</x:v>
      </x:c>
      <x:c r="M70" t="n">
        <x:v>2862.1076669456274</x:v>
      </x:c>
      <x:c r="N70" t="n">
        <x:v>3195.5879335518566</x:v>
      </x:c>
      <x:c r="O70" t="n">
        <x:v>6.8690584006695055</x:v>
      </x:c>
      <x:c r="P70" t="n">
        <x:v>7.669411040524455</x:v>
      </x:c>
      <x:c r="Q70" t="n">
        <x:v>62.90999984741211</x:v>
      </x:c>
      <x:c r="R70" t="n">
        <x:v>11.651562603936249</x:v>
      </x:c>
      <x:c r="S70" t="n">
        <x:v>11.651562603936249</x:v>
      </x:c>
      <x:c r="T70" t="n">
        <x:v>11.171562603936248</x:v>
      </x:c>
      <x:c r="U70" t="n">
        <x:f>YEAR(C70)</x:f>
        <x:v>2021</x:v>
      </x:c>
      <x:c r="V70" t="n">
        <x:f>YEAR(D70)</x:f>
        <x:v>2021</x:v>
      </x:c>
      <x:c r="W70" t="n">
        <x:f>N70-M70-O70-P70</x:f>
        <x:v>318.9417971650352</x:v>
      </x:c>
      <x:c r="X70" t="str">
        <x:f>IF(T70&gt;1,"Ganador",IF(T70&lt;0,"Perdedor","Empate"))</x:f>
        <x:v>Ganador</x:v>
      </x:c>
    </x:row>
    <x:row r="71">
      <x:c r="A71" t="str">
        <x:v>IT</x:v>
      </x:c>
      <x:c r="B71" t="n">
        <x:v>44407</x:v>
      </x:c>
      <x:c r="C71" t="n">
        <x:v>44410</x:v>
      </x:c>
      <x:c r="D71" t="n">
        <x:v>44438</x:v>
      </x:c>
      <x:c r="E71" t="n">
        <x:v>28</x:v>
      </x:c>
      <x:c r="F71" t="str">
        <x:v>enter_or_hold</x:v>
      </x:c>
      <x:c r="G71" t="str">
        <x:v>rebalance_trim</x:v>
      </x:c>
      <x:c r="H71" t="n">
        <x:v>5</x:v>
      </x:c>
      <x:c r="I71" t="n">
        <x:v>48.38358375664071</x:v>
      </x:c>
      <x:c r="J71" t="n">
        <x:v>0.30476415219468006</x:v>
      </x:c>
      <x:c r="K71" t="n">
        <x:v>264.9700012207031</x:v>
      </x:c>
      <x:c r="L71" t="n">
        <x:v>307.2099914550781</x:v>
      </x:c>
      <x:c r="M71" t="n">
        <x:v>80.75335777905093</x:v>
      </x:c>
      <x:c r="N71" t="n">
        <x:v>93.6265925915418</x:v>
      </x:c>
      <x:c r="O71" t="n">
        <x:v>0.19380805866972223</x:v>
      </x:c>
      <x:c r="P71" t="n">
        <x:v>0.22470382221970028</x:v>
      </x:c>
      <x:c r="Q71" t="n">
        <x:v>264.9700012207031</x:v>
      </x:c>
      <x:c r="R71" t="n">
        <x:v>15.94142357239594</x:v>
      </x:c>
      <x:c r="S71" t="n">
        <x:v>15.94142357239594</x:v>
      </x:c>
      <x:c r="T71" t="n">
        <x:v>15.46142357239594</x:v>
      </x:c>
      <x:c r="U71" t="n">
        <x:f>YEAR(C71)</x:f>
        <x:v>2021</x:v>
      </x:c>
      <x:c r="V71" t="n">
        <x:f>YEAR(D71)</x:f>
        <x:v>2021</x:v>
      </x:c>
      <x:c r="W71" t="n">
        <x:f>N71-M71-O71-P71</x:f>
        <x:v>12.454722931601442</x:v>
      </x:c>
      <x:c r="X71" t="str">
        <x:f>IF(T71&gt;1,"Ganador",IF(T71&lt;0,"Perdedor","Empate"))</x:f>
        <x:v>Ganador</x:v>
      </x:c>
    </x:row>
    <x:row r="72">
      <x:c r="A72" t="str">
        <x:v>NUE</x:v>
      </x:c>
      <x:c r="B72" t="n">
        <x:v>44407</x:v>
      </x:c>
      <x:c r="C72" t="n">
        <x:v>44410</x:v>
      </x:c>
      <x:c r="D72" t="n">
        <x:v>44438</x:v>
      </x:c>
      <x:c r="E72" t="n">
        <x:v>28</x:v>
      </x:c>
      <x:c r="F72" t="str">
        <x:v>enter_or_hold</x:v>
      </x:c>
      <x:c r="G72" t="str">
        <x:v>rebalance_trim</x:v>
      </x:c>
      <x:c r="H72" t="n">
        <x:v>3</x:v>
      </x:c>
      <x:c r="I72" t="n">
        <x:v>54.04401246958068</x:v>
      </x:c>
      <x:c r="J72" t="n">
        <x:v>1.3959370243671754</x:v>
      </x:c>
      <x:c r="K72" t="n">
        <x:v>102.08000183105467</x:v>
      </x:c>
      <x:c r="L72" t="n">
        <x:v>121.04000091552734</x:v>
      </x:c>
      <x:c r="M72" t="n">
        <x:v>142.49725400343826</x:v>
      </x:c>
      <x:c r="N72" t="n">
        <x:v>168.96421870742142</x:v>
      </x:c>
      <x:c r="O72" t="n">
        <x:v>0.3419934096082518</x:v>
      </x:c>
      <x:c r="P72" t="n">
        <x:v>0.40551412489781136</x:v>
      </x:c>
      <x:c r="Q72" t="n">
        <x:v>102.08000183105467</x:v>
      </x:c>
      <x:c r="R72" t="n">
        <x:v>18.573666481562178</x:v>
      </x:c>
      <x:c r="S72" t="n">
        <x:v>18.573666481562178</x:v>
      </x:c>
      <x:c r="T72" t="n">
        <x:v>18.093666481562177</x:v>
      </x:c>
      <x:c r="U72" t="n">
        <x:f>YEAR(C72)</x:f>
        <x:v>2021</x:v>
      </x:c>
      <x:c r="V72" t="n">
        <x:f>YEAR(D72)</x:f>
        <x:v>2021</x:v>
      </x:c>
      <x:c r="W72" t="n">
        <x:f>N72-M72-O72-P72</x:f>
        <x:v>25.719457169477103</x:v>
      </x:c>
      <x:c r="X72" t="str">
        <x:f>IF(T72&gt;1,"Ganador",IF(T72&lt;0,"Perdedor","Empate"))</x:f>
        <x:v>Ganador</x:v>
      </x:c>
    </x:row>
    <x:row r="73">
      <x:c r="A73" t="str">
        <x:v>NUE</x:v>
      </x:c>
      <x:c r="B73" t="n">
        <x:v>44407</x:v>
      </x:c>
      <x:c r="C73" t="n">
        <x:v>44410</x:v>
      </x:c>
      <x:c r="D73" t="n">
        <x:v>44466</x:v>
      </x:c>
      <x:c r="E73" t="n">
        <x:v>56</x:v>
      </x:c>
      <x:c r="F73" t="str">
        <x:v>enter_or_hold</x:v>
      </x:c>
      <x:c r="G73" t="str">
        <x:v>left_top_n</x:v>
      </x:c>
      <x:c r="H73" t="n">
        <x:v>3</x:v>
      </x:c>
      <x:c r="I73" t="n">
        <x:v>54.04401246958068</x:v>
      </x:c>
      <x:c r="J73" t="n">
        <x:v>26.64195105955447</x:v>
      </x:c>
      <x:c r="K73" t="n">
        <x:v>102.08000183105467</x:v>
      </x:c>
      <x:c r="L73" t="n">
        <x:v>103.91999816894533</x:v>
      </x:c>
      <x:c r="M73" t="n">
        <x:v>2719.610412942189</x:v>
      </x:c>
      <x:c r="N73" t="n">
        <x:v>2768.6315053260314</x:v>
      </x:c>
      <x:c r="O73" t="n">
        <x:v>6.527064991061254</x:v>
      </x:c>
      <x:c r="P73" t="n">
        <x:v>6.644715612782475</x:v>
      </x:c>
      <x:c r="Q73" t="n">
        <x:v>102.08000183105467</x:v>
      </x:c>
      <x:c r="R73" t="n">
        <x:v>1.802504217168699</x:v>
      </x:c>
      <x:c r="S73" t="n">
        <x:v>1.802504217168699</x:v>
      </x:c>
      <x:c r="T73" t="n">
        <x:v>1.322504217168699</x:v>
      </x:c>
      <x:c r="U73" t="n">
        <x:f>YEAR(C73)</x:f>
        <x:v>2021</x:v>
      </x:c>
      <x:c r="V73" t="n">
        <x:f>YEAR(D73)</x:f>
        <x:v>2021</x:v>
      </x:c>
      <x:c r="W73" t="n">
        <x:f>N73-M73-O73-P73</x:f>
        <x:v>35.84931177999846</x:v>
      </x:c>
      <x:c r="X73" t="str">
        <x:f>IF(T73&gt;1,"Ganador",IF(T73&lt;0,"Perdedor","Empate"))</x:f>
        <x:v>Ganador</x:v>
      </x:c>
    </x:row>
    <x:row r="74">
      <x:c r="A74" t="str">
        <x:v>ALB</x:v>
      </x:c>
      <x:c r="B74" t="n">
        <x:v>44435</x:v>
      </x:c>
      <x:c r="C74" t="n">
        <x:v>44438</x:v>
      </x:c>
      <x:c r="D74" t="n">
        <x:v>44466</x:v>
      </x:c>
      <x:c r="E74" t="n">
        <x:v>28</x:v>
      </x:c>
      <x:c r="F74" t="str">
        <x:v>enter_or_hold</x:v>
      </x:c>
      <x:c r="G74" t="str">
        <x:v>left_top_n</x:v>
      </x:c>
      <x:c r="H74" t="n">
        <x:v>5</x:v>
      </x:c>
      <x:c r="I74" t="n">
        <x:v>55.05831081128583</x:v>
      </x:c>
      <x:c r="J74" t="n">
        <x:v>13.574200713134346</x:v>
      </x:c>
      <x:c r="K74" t="n">
        <x:v>236.97999572753903</x:v>
      </x:c>
      <x:c r="L74" t="n">
        <x:v>222.25</x:v>
      </x:c>
      <x:c r="M74" t="n">
        <x:v>3216.8140270033346</x:v>
      </x:c>
      <x:c r="N74" t="n">
        <x:v>3016.866108494108</x:v>
      </x:c>
      <x:c r="O74" t="n">
        <x:v>7.720353664808003</x:v>
      </x:c>
      <x:c r="P74" t="n">
        <x:v>7.240478660385859</x:v>
      </x:c>
      <x:c r="Q74" t="n">
        <x:v>236.97999572753903</x:v>
      </x:c>
      <x:c r="R74" t="n">
        <x:v>-6.2157127154624625</x:v>
      </x:c>
      <x:c r="S74" t="n">
        <x:v>-6.2157127154624625</x:v>
      </x:c>
      <x:c r="T74" t="n">
        <x:v>-6.695712715462463</x:v>
      </x:c>
      <x:c r="U74" t="n">
        <x:f>YEAR(C74)</x:f>
        <x:v>2021</x:v>
      </x:c>
      <x:c r="V74" t="n">
        <x:f>YEAR(D74)</x:f>
        <x:v>2021</x:v>
      </x:c>
      <x:c r="W74" t="n">
        <x:f>N74-M74-O74-P74</x:f>
        <x:v>-214.90875083442026</x:v>
      </x:c>
      <x:c r="X74" t="str">
        <x:f>IF(T74&gt;1,"Ganador",IF(T74&lt;0,"Perdedor","Empate"))</x:f>
        <x:v>Perdedor</x:v>
      </x:c>
    </x:row>
    <x:row r="75">
      <x:c r="A75" t="str">
        <x:v>DVN</x:v>
      </x:c>
      <x:c r="B75" t="n">
        <x:v>44435</x:v>
      </x:c>
      <x:c r="C75" t="n">
        <x:v>44438</x:v>
      </x:c>
      <x:c r="D75" t="n">
        <x:v>44466</x:v>
      </x:c>
      <x:c r="E75" t="n">
        <x:v>28</x:v>
      </x:c>
      <x:c r="F75" t="str">
        <x:v>enter_or_hold</x:v>
      </x:c>
      <x:c r="G75" t="str">
        <x:v>rebalance_trim</x:v>
      </x:c>
      <x:c r="H75" t="n">
        <x:v>6</x:v>
      </x:c>
      <x:c r="I75" t="n">
        <x:v>51.498462747782405</x:v>
      </x:c>
      <x:c r="J75" t="n">
        <x:v>15.397187241735043</x:v>
      </x:c>
      <x:c r="K75" t="n">
        <x:v>29.780000686645508</x:v>
      </x:c>
      <x:c r="L75" t="n">
        <x:v>35</x:v>
      </x:c>
      <x:c r="M75" t="n">
        <x:v>458.5282466312791</x:v>
      </x:c>
      <x:c r="N75" t="n">
        <x:v>538.9015534607265</x:v>
      </x:c>
      <x:c r="O75" t="n">
        <x:v>1.1004677919150698</x:v>
      </x:c>
      <x:c r="P75" t="n">
        <x:v>1.2933637283057435</x:v>
      </x:c>
      <x:c r="Q75" t="n">
        <x:v>29.780000686645508</x:v>
      </x:c>
      <x:c r="R75" t="n">
        <x:v>17.528539936183883</x:v>
      </x:c>
      <x:c r="S75" t="n">
        <x:v>17.528539936183883</x:v>
      </x:c>
      <x:c r="T75" t="n">
        <x:v>17.048539936183882</x:v>
      </x:c>
      <x:c r="U75" t="n">
        <x:f>YEAR(C75)</x:f>
        <x:v>2021</x:v>
      </x:c>
      <x:c r="V75" t="n">
        <x:f>YEAR(D75)</x:f>
        <x:v>2021</x:v>
      </x:c>
      <x:c r="W75" t="n">
        <x:f>N75-M75-O75-P75</x:f>
        <x:v>77.9794753092266</x:v>
      </x:c>
      <x:c r="X75" t="str">
        <x:f>IF(T75&gt;1,"Ganador",IF(T75&lt;0,"Perdedor","Empate"))</x:f>
        <x:v>Ganador</x:v>
      </x:c>
    </x:row>
    <x:row r="76">
      <x:c r="A76" t="str">
        <x:v>IT</x:v>
      </x:c>
      <x:c r="B76" t="n">
        <x:v>44407</x:v>
      </x:c>
      <x:c r="C76" t="n">
        <x:v>44410</x:v>
      </x:c>
      <x:c r="D76" t="n">
        <x:v>44466</x:v>
      </x:c>
      <x:c r="E76" t="n">
        <x:v>56</x:v>
      </x:c>
      <x:c r="F76" t="str">
        <x:v>enter_or_hold</x:v>
      </x:c>
      <x:c r="G76" t="str">
        <x:v>rebalance_trim</x:v>
      </x:c>
      <x:c r="H76" t="n">
        <x:v>5</x:v>
      </x:c>
      <x:c r="I76" t="n">
        <x:v>48.38358375664071</x:v>
      </x:c>
      <x:c r="J76" t="n">
        <x:v>0.2091141110087501</x:v>
      </x:c>
      <x:c r="K76" t="n">
        <x:v>264.9700012207031</x:v>
      </x:c>
      <x:c r="L76" t="n">
        <x:v>315.1099853515625</x:v>
      </x:c>
      <x:c r="M76" t="n">
        <x:v>55.40896624925477</x:v>
      </x:c>
      <x:c r="N76" t="n">
        <x:v>65.89394445677226</x:v>
      </x:c>
      <x:c r="O76" t="n">
        <x:v>0.13298151899821142</x:v>
      </x:c>
      <x:c r="P76" t="n">
        <x:v>0.1581454666962534</x:v>
      </x:c>
      <x:c r="Q76" t="n">
        <x:v>264.9700012207031</x:v>
      </x:c>
      <x:c r="R76" t="n">
        <x:v>18.92289085551837</x:v>
      </x:c>
      <x:c r="S76" t="n">
        <x:v>18.92289085551837</x:v>
      </x:c>
      <x:c r="T76" t="n">
        <x:v>18.44289085551837</x:v>
      </x:c>
      <x:c r="U76" t="n">
        <x:f>YEAR(C76)</x:f>
        <x:v>2021</x:v>
      </x:c>
      <x:c r="V76" t="n">
        <x:f>YEAR(D76)</x:f>
        <x:v>2021</x:v>
      </x:c>
      <x:c r="W76" t="n">
        <x:f>N76-M76-O76-P76</x:f>
        <x:v>10.193851221823028</x:v>
      </x:c>
      <x:c r="X76" t="str">
        <x:f>IF(T76&gt;1,"Ganador",IF(T76&lt;0,"Perdedor","Empate"))</x:f>
        <x:v>Ganador</x:v>
      </x:c>
    </x:row>
    <x:row r="77">
      <x:c r="A77" t="str">
        <x:v>MRNA</x:v>
      </x:c>
      <x:c r="B77" t="n">
        <x:v>44316</x:v>
      </x:c>
      <x:c r="C77" t="n">
        <x:v>44319</x:v>
      </x:c>
      <x:c r="D77" t="n">
        <x:v>44466</x:v>
      </x:c>
      <x:c r="E77" t="n">
        <x:v>147</x:v>
      </x:c>
      <x:c r="F77" t="str">
        <x:v>enter_or_hold</x:v>
      </x:c>
      <x:c r="G77" t="str">
        <x:v>rebalance_trim</x:v>
      </x:c>
      <x:c r="H77" t="n">
        <x:v>1</x:v>
      </x:c>
      <x:c r="I77" t="n">
        <x:v>125.91375092660542</x:v>
      </x:c>
      <x:c r="J77" t="n">
        <x:v>0.7687969204939742</x:v>
      </x:c>
      <x:c r="K77" t="n">
        <x:v>194.8457735746011</x:v>
      </x:c>
      <x:c r="L77" t="n">
        <x:v>408.8399963378906</x:v>
      </x:c>
      <x:c r="M77" t="n">
        <x:v>149.79683069541952</x:v>
      </x:c>
      <x:c r="N77" t="n">
        <x:v>314.314930159338</x:v>
      </x:c>
      <x:c r="O77" t="n">
        <x:v>0.35951239366900684</x:v>
      </x:c>
      <x:c r="P77" t="n">
        <x:v>0.7543558323824112</x:v>
      </x:c>
      <x:c r="Q77" t="n">
        <x:v>186.0200042724609</x:v>
      </x:c>
      <x:c r="R77" t="n">
        <x:v>119.78281203513382</x:v>
      </x:c>
      <x:c r="S77" t="n">
        <x:v>109.82749014125113</x:v>
      </x:c>
      <x:c r="T77" t="n">
        <x:v>109.34749014125113</x:v>
      </x:c>
      <x:c r="U77" t="n">
        <x:f>YEAR(C77)</x:f>
        <x:v>2021</x:v>
      </x:c>
      <x:c r="V77" t="n">
        <x:f>YEAR(D77)</x:f>
        <x:v>2021</x:v>
      </x:c>
      <x:c r="W77" t="n">
        <x:f>N77-M77-O77-P77</x:f>
        <x:v>163.4042312378671</x:v>
      </x:c>
      <x:c r="X77" t="str">
        <x:f>IF(T77&gt;1,"Ganador",IF(T77&lt;0,"Perdedor","Empate"))</x:f>
        <x:v>Ganador</x:v>
      </x:c>
    </x:row>
    <x:row r="78">
      <x:c r="A78" t="str">
        <x:v>IT</x:v>
      </x:c>
      <x:c r="B78" t="n">
        <x:v>44407</x:v>
      </x:c>
      <x:c r="C78" t="n">
        <x:v>44410</x:v>
      </x:c>
      <x:c r="D78" t="n">
        <x:v>44501</x:v>
      </x:c>
      <x:c r="E78" t="n">
        <x:v>91</x:v>
      </x:c>
      <x:c r="F78" t="str">
        <x:v>enter_or_hold</x:v>
      </x:c>
      <x:c r="G78" t="str">
        <x:v>left_top_n</x:v>
      </x:c>
      <x:c r="H78" t="n">
        <x:v>5</x:v>
      </x:c>
      <x:c r="I78" t="n">
        <x:v>48.38358375664071</x:v>
      </x:c>
      <x:c r="J78" t="n">
        <x:v>10.287750803332573</x:v>
      </x:c>
      <x:c r="K78" t="n">
        <x:v>264.9700012207031</x:v>
      </x:c>
      <x:c r="L78" t="n">
        <x:v>328.3999938964844</x:v>
      </x:c>
      <x:c r="M78" t="n">
        <x:v>2725.945342917322</x:v>
      </x:c>
      <x:c r="N78" t="n">
        <x:v>3378.497301022969</x:v>
      </x:c>
      <x:c r="O78" t="n">
        <x:v>6.542268823001572</x:v>
      </x:c>
      <x:c r="P78" t="n">
        <x:v>8.108393522455126</x:v>
      </x:c>
      <x:c r="Q78" t="n">
        <x:v>264.9700012207031</x:v>
      </x:c>
      <x:c r="R78" t="n">
        <x:v>23.938556207707485</x:v>
      </x:c>
      <x:c r="S78" t="n">
        <x:v>23.938556207707485</x:v>
      </x:c>
      <x:c r="T78" t="n">
        <x:v>23.458556207707485</x:v>
      </x:c>
      <x:c r="U78" t="n">
        <x:f>YEAR(C78)</x:f>
        <x:v>2021</x:v>
      </x:c>
      <x:c r="V78" t="n">
        <x:f>YEAR(D78)</x:f>
        <x:v>2021</x:v>
      </x:c>
      <x:c r="W78" t="n">
        <x:f>N78-M78-O78-P78</x:f>
        <x:v>637.9012957601907</x:v>
      </x:c>
      <x:c r="X78" t="str">
        <x:f>IF(T78&gt;1,"Ganador",IF(T78&lt;0,"Perdedor","Empate"))</x:f>
        <x:v>Ganador</x:v>
      </x:c>
    </x:row>
    <x:row r="79">
      <x:c r="A79" t="str">
        <x:v>CRL</x:v>
      </x:c>
      <x:c r="B79" t="n">
        <x:v>44463</x:v>
      </x:c>
      <x:c r="C79" t="n">
        <x:v>44466</x:v>
      </x:c>
      <x:c r="D79" t="n">
        <x:v>44501</x:v>
      </x:c>
      <x:c r="E79" t="n">
        <x:v>35</x:v>
      </x:c>
      <x:c r="F79" t="str">
        <x:v>enter_or_hold</x:v>
      </x:c>
      <x:c r="G79" t="str">
        <x:v>left_top_n</x:v>
      </x:c>
      <x:c r="H79" t="n">
        <x:v>5</x:v>
      </x:c>
      <x:c r="I79" t="n">
        <x:v>44.71670286024241</x:v>
      </x:c>
      <x:c r="J79" t="n">
        <x:v>7.475920795406185</x:v>
      </x:c>
      <x:c r="K79" t="n">
        <x:v>432.4700012207031</x:v>
      </x:c>
      <x:c r="L79" t="n">
        <x:v>440.2699890136719</x:v>
      </x:c>
      <x:c r="M79" t="n">
        <x:v>3233.1114755151925</x:v>
      </x:c>
      <x:c r="N79" t="n">
        <x:v>3291.423566460562</x:v>
      </x:c>
      <x:c r="O79" t="n">
        <x:v>7.759467541236462</x:v>
      </x:c>
      <x:c r="P79" t="n">
        <x:v>7.899416559505348</x:v>
      </x:c>
      <x:c r="Q79" t="n">
        <x:v>432.4700012207031</x:v>
      </x:c>
      <x:c r="R79" t="n">
        <x:v>1.8035904851093187</x:v>
      </x:c>
      <x:c r="S79" t="n">
        <x:v>1.8035904851093187</x:v>
      </x:c>
      <x:c r="T79" t="n">
        <x:v>1.3235904851093188</x:v>
      </x:c>
      <x:c r="U79" t="n">
        <x:f>YEAR(C79)</x:f>
        <x:v>2021</x:v>
      </x:c>
      <x:c r="V79" t="n">
        <x:f>YEAR(D79)</x:f>
        <x:v>2021</x:v>
      </x:c>
      <x:c r="W79" t="n">
        <x:f>N79-M79-O79-P79</x:f>
        <x:v>42.65320684462781</x:v>
      </x:c>
      <x:c r="X79" t="str">
        <x:f>IF(T79&gt;1,"Ganador",IF(T79&lt;0,"Perdedor","Empate"))</x:f>
        <x:v>Ganador</x:v>
      </x:c>
    </x:row>
    <x:row r="80">
      <x:c r="A80" t="str">
        <x:v>EPAM</x:v>
      </x:c>
      <x:c r="B80" t="n">
        <x:v>44463</x:v>
      </x:c>
      <x:c r="C80" t="n">
        <x:v>44466</x:v>
      </x:c>
      <x:c r="D80" t="n">
        <x:v>44501</x:v>
      </x:c>
      <x:c r="E80" t="n">
        <x:v>35</x:v>
      </x:c>
      <x:c r="F80" t="str">
        <x:v>enter_or_hold</x:v>
      </x:c>
      <x:c r="G80" t="str">
        <x:v>left_top_n</x:v>
      </x:c>
      <x:c r="H80" t="n">
        <x:v>6</x:v>
      </x:c>
      <x:c r="I80" t="n">
        <x:v>43.13405002703965</x:v>
      </x:c>
      <x:c r="J80" t="n">
        <x:v>5.409888139985815</x:v>
      </x:c>
      <x:c r="K80" t="n">
        <x:v>597.6300048828125</x:v>
      </x:c>
      <x:c r="L80" t="n">
        <x:v>659.6500244140625</x:v>
      </x:c>
      <x:c r="M80" t="n">
        <x:v>3233.1114755151925</x:v>
      </x:c>
      <x:c r="N80" t="n">
        <x:v>3568.63284361899</x:v>
      </x:c>
      <x:c r="O80" t="n">
        <x:v>7.759467541236462</x:v>
      </x:c>
      <x:c r="P80" t="n">
        <x:v>8.564718824685576</x:v>
      </x:c>
      <x:c r="Q80" t="n">
        <x:v>597.6300048828125</x:v>
      </x:c>
      <x:c r="R80" t="n">
        <x:v>10.377661600744315</x:v>
      </x:c>
      <x:c r="S80" t="n">
        <x:v>10.377661600744315</x:v>
      </x:c>
      <x:c r="T80" t="n">
        <x:v>9.897661600744314</x:v>
      </x:c>
      <x:c r="U80" t="n">
        <x:f>YEAR(C80)</x:f>
        <x:v>2021</x:v>
      </x:c>
      <x:c r="V80" t="n">
        <x:f>YEAR(D80)</x:f>
        <x:v>2021</x:v>
      </x:c>
      <x:c r="W80" t="n">
        <x:f>N80-M80-O80-P80</x:f>
        <x:v>319.19718173787555</x:v>
      </x:c>
      <x:c r="X80" t="str">
        <x:f>IF(T80&gt;1,"Ganador",IF(T80&lt;0,"Perdedor","Empate"))</x:f>
        <x:v>Ganador</x:v>
      </x:c>
    </x:row>
    <x:row r="81">
      <x:c r="A81" t="str">
        <x:v>DVN</x:v>
      </x:c>
      <x:c r="B81" t="n">
        <x:v>44435</x:v>
      </x:c>
      <x:c r="C81" t="n">
        <x:v>44438</x:v>
      </x:c>
      <x:c r="D81" t="n">
        <x:v>44501</x:v>
      </x:c>
      <x:c r="E81" t="n">
        <x:v>63</x:v>
      </x:c>
      <x:c r="F81" t="str">
        <x:v>enter_or_hold</x:v>
      </x:c>
      <x:c r="G81" t="str">
        <x:v>rebalance_trim</x:v>
      </x:c>
      <x:c r="H81" t="n">
        <x:v>6</x:v>
      </x:c>
      <x:c r="I81" t="n">
        <x:v>51.498462747782405</x:v>
      </x:c>
      <x:c r="J81" t="n">
        <x:v>12.161007084528155</x:v>
      </x:c>
      <x:c r="K81" t="n">
        <x:v>29.780000686645508</x:v>
      </x:c>
      <x:c r="L81" t="n">
        <x:v>41.9900016784668</x:v>
      </x:c>
      <x:c r="M81" t="n">
        <x:v>362.15479932754937</x:v>
      </x:c>
      <x:c r="N81" t="n">
        <x:v>510.6407078911838</x:v>
      </x:c>
      <x:c r="O81" t="n">
        <x:v>0.8691715183861185</x:v>
      </x:c>
      <x:c r="P81" t="n">
        <x:v>1.2255376989388411</x:v>
      </x:c>
      <x:c r="Q81" t="n">
        <x:v>29.780000686645508</x:v>
      </x:c>
      <x:c r="R81" t="n">
        <x:v>41.00067397680323</x:v>
      </x:c>
      <x:c r="S81" t="n">
        <x:v>41.00067397680323</x:v>
      </x:c>
      <x:c r="T81" t="n">
        <x:v>40.52067397680323</x:v>
      </x:c>
      <x:c r="U81" t="n">
        <x:f>YEAR(C81)</x:f>
        <x:v>2021</x:v>
      </x:c>
      <x:c r="V81" t="n">
        <x:f>YEAR(D81)</x:f>
        <x:v>2021</x:v>
      </x:c>
      <x:c r="W81" t="n">
        <x:f>N81-M81-O81-P81</x:f>
        <x:v>146.3911993463095</x:v>
      </x:c>
      <x:c r="X81" t="str">
        <x:f>IF(T81&gt;1,"Ganador",IF(T81&lt;0,"Perdedor","Empate"))</x:f>
        <x:v>Ganador</x:v>
      </x:c>
    </x:row>
    <x:row r="82">
      <x:c r="A82" t="str">
        <x:v>FTNT</x:v>
      </x:c>
      <x:c r="B82" t="n">
        <x:v>44407</x:v>
      </x:c>
      <x:c r="C82" t="n">
        <x:v>44410</x:v>
      </x:c>
      <x:c r="D82" t="n">
        <x:v>44501</x:v>
      </x:c>
      <x:c r="E82" t="n">
        <x:v>91</x:v>
      </x:c>
      <x:c r="F82" t="str">
        <x:v>enter_or_hold</x:v>
      </x:c>
      <x:c r="G82" t="str">
        <x:v>rebalance_trim</x:v>
      </x:c>
      <x:c r="H82" t="n">
        <x:v>3</x:v>
      </x:c>
      <x:c r="I82" t="n">
        <x:v>57.39134390642487</x:v>
      </x:c>
      <x:c r="J82" t="n">
        <x:v>1.7915811723836104</x:v>
      </x:c>
      <x:c r="K82" t="n">
        <x:v>57.15299843632694</x:v>
      </x:c>
      <x:c r="L82" t="n">
        <x:v>64.8219985961914</x:v>
      </x:c>
      <x:c r="M82" t="n">
        <x:v>102.39423594379326</x:v>
      </x:c>
      <x:c r="N82" t="n">
        <x:v>116.13387224121334</x:v>
      </x:c>
      <x:c r="O82" t="n">
        <x:v>0.24574616626510382</x:v>
      </x:c>
      <x:c r="P82" t="n">
        <x:v>0.278721293378912</x:v>
      </x:c>
      <x:c r="Q82" t="n">
        <x:v>56.92399978637695</x:v>
      </x:c>
      <x:c r="R82" t="n">
        <x:v>13.874637831940628</x:v>
      </x:c>
      <x:c r="S82" t="n">
        <x:v>13.418368886469455</x:v>
      </x:c>
      <x:c r="T82" t="n">
        <x:v>12.938368886469455</x:v>
      </x:c>
      <x:c r="U82" t="n">
        <x:f>YEAR(C82)</x:f>
        <x:v>2021</x:v>
      </x:c>
      <x:c r="V82" t="n">
        <x:f>YEAR(D82)</x:f>
        <x:v>2021</x:v>
      </x:c>
      <x:c r="W82" t="n">
        <x:f>N82-M82-O82-P82</x:f>
        <x:v>13.215168837776062</x:v>
      </x:c>
      <x:c r="X82" t="str">
        <x:f>IF(T82&gt;1,"Ganador",IF(T82&lt;0,"Perdedor","Empate"))</x:f>
        <x:v>Ganador</x:v>
      </x:c>
    </x:row>
    <x:row r="83">
      <x:c r="A83" t="str">
        <x:v>MRNA</x:v>
      </x:c>
      <x:c r="B83" t="n">
        <x:v>44316</x:v>
      </x:c>
      <x:c r="C83" t="n">
        <x:v>44319</x:v>
      </x:c>
      <x:c r="D83" t="n">
        <x:v>44529</x:v>
      </x:c>
      <x:c r="E83" t="n">
        <x:v>210</x:v>
      </x:c>
      <x:c r="F83" t="str">
        <x:v>enter_or_hold</x:v>
      </x:c>
      <x:c r="G83" t="str">
        <x:v>left_top_n</x:v>
      </x:c>
      <x:c r="H83" t="n">
        <x:v>3</x:v>
      </x:c>
      <x:c r="I83" t="n">
        <x:v>55.40576127196737</x:v>
      </x:c>
      <x:c r="J83" t="n">
        <x:v>10.01450288877163</x:v>
      </x:c>
      <x:c r="K83" t="n">
        <x:v>224.48174578938045</x:v>
      </x:c>
      <x:c r="L83" t="n">
        <x:v>368.510009765625</x:v>
      </x:c>
      <x:c r="M83" t="n">
        <x:v>2248.07309168425</x:v>
      </x:c>
      <x:c r="N83" t="n">
        <x:v>3690.4445573391135</x:v>
      </x:c>
      <x:c r="O83" t="n">
        <x:v>5.3953754200422</x:v>
      </x:c>
      <x:c r="P83" t="n">
        <x:v>8.857066937613872</x:v>
      </x:c>
      <x:c r="Q83" t="n">
        <x:v>186.0200042724609</x:v>
      </x:c>
      <x:c r="R83" t="n">
        <x:v>98.10235528533453</x:v>
      </x:c>
      <x:c r="S83" t="n">
        <x:v>64.16034563067714</x:v>
      </x:c>
      <x:c r="T83" t="n">
        <x:v>63.680345630677145</x:v>
      </x:c>
      <x:c r="U83" t="n">
        <x:f>YEAR(C83)</x:f>
        <x:v>2021</x:v>
      </x:c>
      <x:c r="V83" t="n">
        <x:f>YEAR(D83)</x:f>
        <x:v>2021</x:v>
      </x:c>
      <x:c r="W83" t="n">
        <x:f>N83-M83-O83-P83</x:f>
        <x:v>1428.1190232972076</x:v>
      </x:c>
      <x:c r="X83" t="str">
        <x:f>IF(T83&gt;1,"Ganador",IF(T83&lt;0,"Perdedor","Empate"))</x:f>
        <x:v>Ganador</x:v>
      </x:c>
    </x:row>
    <x:row r="84">
      <x:c r="A84" t="str">
        <x:v>FTNT</x:v>
      </x:c>
      <x:c r="B84" t="n">
        <x:v>44407</x:v>
      </x:c>
      <x:c r="C84" t="n">
        <x:v>44410</x:v>
      </x:c>
      <x:c r="D84" t="n">
        <x:v>44529</x:v>
      </x:c>
      <x:c r="E84" t="n">
        <x:v>119</x:v>
      </x:c>
      <x:c r="F84" t="str">
        <x:v>enter_or_hold</x:v>
      </x:c>
      <x:c r="G84" t="str">
        <x:v>left_top_n</x:v>
      </x:c>
      <x:c r="H84" t="n">
        <x:v>3</x:v>
      </x:c>
      <x:c r="I84" t="n">
        <x:v>57.39134390642487</x:v>
      </x:c>
      <x:c r="J84" t="n">
        <x:v>52.120590321296376</x:v>
      </x:c>
      <x:c r="K84" t="n">
        <x:v>57.15299843632694</x:v>
      </x:c>
      <x:c r="L84" t="n">
        <x:v>68.66000366210938</x:v>
      </x:c>
      <x:c r="M84" t="n">
        <x:v>2978.8480171334886</x:v>
      </x:c>
      <x:c r="N84" t="n">
        <x:v>3578.5999223315116</x:v>
      </x:c>
      <x:c r="O84" t="n">
        <x:v>7.149235241120373</x:v>
      </x:c>
      <x:c r="P84" t="n">
        <x:v>8.588639813595627</x:v>
      </x:c>
      <x:c r="Q84" t="n">
        <x:v>56.92399978637695</x:v>
      </x:c>
      <x:c r="R84" t="n">
        <x:v>20.61696985414767</x:v>
      </x:c>
      <x:c r="S84" t="n">
        <x:v>20.133685966803938</x:v>
      </x:c>
      <x:c r="T84" t="n">
        <x:v>19.653685966803938</x:v>
      </x:c>
      <x:c r="U84" t="n">
        <x:f>YEAR(C84)</x:f>
        <x:v>2021</x:v>
      </x:c>
      <x:c r="V84" t="n">
        <x:f>YEAR(D84)</x:f>
        <x:v>2021</x:v>
      </x:c>
      <x:c r="W84" t="n">
        <x:f>N84-M84-O84-P84</x:f>
        <x:v>584.0140301433071</x:v>
      </x:c>
      <x:c r="X84" t="str">
        <x:f>IF(T84&gt;1,"Ganador",IF(T84&lt;0,"Perdedor","Empate"))</x:f>
        <x:v>Ganador</x:v>
      </x:c>
    </x:row>
    <x:row r="85">
      <x:c r="A85" t="str">
        <x:v>TSLA</x:v>
      </x:c>
      <x:c r="B85" t="n">
        <x:v>44498</x:v>
      </x:c>
      <x:c r="C85" t="n">
        <x:v>44501</x:v>
      </x:c>
      <x:c r="D85" t="n">
        <x:v>44529</x:v>
      </x:c>
      <x:c r="E85" t="n">
        <x:v>28</x:v>
      </x:c>
      <x:c r="F85" t="str">
        <x:v>enter_or_hold</x:v>
      </x:c>
      <x:c r="G85" t="str">
        <x:v>left_top_n</x:v>
      </x:c>
      <x:c r="H85" t="n">
        <x:v>2</x:v>
      </x:c>
      <x:c r="I85" t="n">
        <x:v>59.74845753018288</x:v>
      </x:c>
      <x:c r="J85" t="n">
        <x:v>8.365282564336496</x:v>
      </x:c>
      <x:c r="K85" t="n">
        <x:v>402.86334228515625</x:v>
      </x:c>
      <x:c r="L85" t="n">
        <x:v>378.9966735839844</x:v>
      </x:c>
      <x:c r="M85" t="n">
        <x:v>3370.0656930283435</x:v>
      </x:c>
      <x:c r="N85" t="n">
        <x:v>3170.4142654736347</x:v>
      </x:c>
      <x:c r="O85" t="n">
        <x:v>8.088157663268024</x:v>
      </x:c>
      <x:c r="P85" t="n">
        <x:v>7.608994237136723</x:v>
      </x:c>
      <x:c r="Q85" t="n">
        <x:v>402.86334228515625</x:v>
      </x:c>
      <x:c r="R85" t="n">
        <x:v>-5.924259220457562</x:v>
      </x:c>
      <x:c r="S85" t="n">
        <x:v>-5.924259220457562</x:v>
      </x:c>
      <x:c r="T85" t="n">
        <x:v>-6.404259220457561</x:v>
      </x:c>
      <x:c r="U85" t="n">
        <x:f>YEAR(C85)</x:f>
        <x:v>2021</x:v>
      </x:c>
      <x:c r="V85" t="n">
        <x:f>YEAR(D85)</x:f>
        <x:v>2021</x:v>
      </x:c>
      <x:c r="W85" t="n">
        <x:f>N85-M85-O85-P85</x:f>
        <x:v>-215.34857945511354</x:v>
      </x:c>
      <x:c r="X85" t="str">
        <x:f>IF(T85&gt;1,"Ganador",IF(T85&lt;0,"Perdedor","Empate"))</x:f>
        <x:v>Perdedor</x:v>
      </x:c>
    </x:row>
    <x:row r="86">
      <x:c r="A86" t="str">
        <x:v>DDOG</x:v>
      </x:c>
      <x:c r="B86" t="n">
        <x:v>44498</x:v>
      </x:c>
      <x:c r="C86" t="n">
        <x:v>44501</x:v>
      </x:c>
      <x:c r="D86" t="n">
        <x:v>44529</x:v>
      </x:c>
      <x:c r="E86" t="n">
        <x:v>28</x:v>
      </x:c>
      <x:c r="F86" t="str">
        <x:v>enter_or_hold</x:v>
      </x:c>
      <x:c r="G86" t="str">
        <x:v>rebalance_trim</x:v>
      </x:c>
      <x:c r="H86" t="n">
        <x:v>5</x:v>
      </x:c>
      <x:c r="I86" t="n">
        <x:v>54.18668234694108</x:v>
      </x:c>
      <x:c r="J86" t="n">
        <x:v>0.329290840418285</x:v>
      </x:c>
      <x:c r="K86" t="n">
        <x:v>165.1999969482422</x:v>
      </x:c>
      <x:c r="L86" t="n">
        <x:v>182.9900054931641</x:v>
      </x:c>
      <x:c r="M86" t="n">
        <x:v>54.39884583218479</x:v>
      </x:c>
      <x:c r="N86" t="n">
        <x:v>60.25693269699059</x:v>
      </x:c>
      <x:c r="O86" t="n">
        <x:v>0.1305572299972435</x:v>
      </x:c>
      <x:c r="P86" t="n">
        <x:v>0.1446166384727774</x:v>
      </x:c>
      <x:c r="Q86" t="n">
        <x:v>165.1999969482422</x:v>
      </x:c>
      <x:c r="R86" t="n">
        <x:v>10.768770504575475</x:v>
      </x:c>
      <x:c r="S86" t="n">
        <x:v>10.768770504575475</x:v>
      </x:c>
      <x:c r="T86" t="n">
        <x:v>10.288770504575474</x:v>
      </x:c>
      <x:c r="U86" t="n">
        <x:f>YEAR(C86)</x:f>
        <x:v>2021</x:v>
      </x:c>
      <x:c r="V86" t="n">
        <x:f>YEAR(D86)</x:f>
        <x:v>2021</x:v>
      </x:c>
      <x:c r="W86" t="n">
        <x:f>N86-M86-O86-P86</x:f>
        <x:v>5.582912996335777</x:v>
      </x:c>
      <x:c r="X86" t="str">
        <x:f>IF(T86&gt;1,"Ganador",IF(T86&lt;0,"Perdedor","Empate"))</x:f>
        <x:v>Ganador</x:v>
      </x:c>
    </x:row>
    <x:row r="87">
      <x:c r="A87" t="str">
        <x:v>NVDA</x:v>
      </x:c>
      <x:c r="B87" t="n">
        <x:v>44498</x:v>
      </x:c>
      <x:c r="C87" t="n">
        <x:v>44501</x:v>
      </x:c>
      <x:c r="D87" t="n">
        <x:v>44529</x:v>
      </x:c>
      <x:c r="E87" t="n">
        <x:v>28</x:v>
      </x:c>
      <x:c r="F87" t="str">
        <x:v>enter_or_hold</x:v>
      </x:c>
      <x:c r="G87" t="str">
        <x:v>rebalance_trim</x:v>
      </x:c>
      <x:c r="H87" t="n">
        <x:v>6</x:v>
      </x:c>
      <x:c r="I87" t="n">
        <x:v>52.518066785504345</x:v>
      </x:c>
      <x:c r="J87" t="n">
        <x:v>20.44529616366376</x:v>
      </x:c>
      <x:c r="K87" t="n">
        <x:v>25.82699966430664</x:v>
      </x:c>
      <x:c r="L87" t="n">
        <x:v>33.375999450683594</x:v>
      </x:c>
      <x:c r="M87" t="n">
        <x:v>528.0406571555937</x:v>
      </x:c>
      <x:c r="N87" t="n">
        <x:v>682.382193527505</x:v>
      </x:c>
      <x:c r="O87" t="n">
        <x:v>1.267297577173425</x:v>
      </x:c>
      <x:c r="P87" t="n">
        <x:v>1.6377172644660118</x:v>
      </x:c>
      <x:c r="Q87" t="n">
        <x:v>25.82699966430664</x:v>
      </x:c>
      <x:c r="R87" t="n">
        <x:v>29.22910088084989</x:v>
      </x:c>
      <x:c r="S87" t="n">
        <x:v>29.22910088084989</x:v>
      </x:c>
      <x:c r="T87" t="n">
        <x:v>28.74910088084989</x:v>
      </x:c>
      <x:c r="U87" t="n">
        <x:f>YEAR(C87)</x:f>
        <x:v>2021</x:v>
      </x:c>
      <x:c r="V87" t="n">
        <x:f>YEAR(D87)</x:f>
        <x:v>2021</x:v>
      </x:c>
      <x:c r="W87" t="n">
        <x:f>N87-M87-O87-P87</x:f>
        <x:v>151.43652153027185</x:v>
      </x:c>
      <x:c r="X87" t="str">
        <x:f>IF(T87&gt;1,"Ganador",IF(T87&lt;0,"Perdedor","Empate"))</x:f>
        <x:v>Ganador</x:v>
      </x:c>
    </x:row>
    <x:row r="88">
      <x:c r="A88" t="str">
        <x:v>AMD</x:v>
      </x:c>
      <x:c r="B88" t="n">
        <x:v>44526</x:v>
      </x:c>
      <x:c r="C88" t="n">
        <x:v>44529</x:v>
      </x:c>
      <x:c r="D88" t="n">
        <x:v>44564</x:v>
      </x:c>
      <x:c r="E88" t="n">
        <x:v>35</x:v>
      </x:c>
      <x:c r="F88" t="str">
        <x:v>enter_or_hold</x:v>
      </x:c>
      <x:c r="G88" t="str">
        <x:v>left_top_n</x:v>
      </x:c>
      <x:c r="H88" t="n">
        <x:v>2</x:v>
      </x:c>
      <x:c r="I88" t="n">
        <x:v>59.794034803948136</x:v>
      </x:c>
      <x:c r="J88" t="n">
        <x:v>22.626387700562386</x:v>
      </x:c>
      <x:c r="K88" t="n">
        <x:v>161.91000366210938</x:v>
      </x:c>
      <x:c r="L88" t="n">
        <x:v>150.24000549316406</x:v>
      </x:c>
      <x:c r="M88" t="n">
        <x:v>3663.4385154583624</x:v>
      </x:c>
      <x:c r="N88" t="n">
        <x:v>3399.3886124229525</x:v>
      </x:c>
      <x:c r="O88" t="n">
        <x:v>8.79225243710007</x:v>
      </x:c>
      <x:c r="P88" t="n">
        <x:v>8.158532669815086</x:v>
      </x:c>
      <x:c r="Q88" t="n">
        <x:v>161.91000366210938</x:v>
      </x:c>
      <x:c r="R88" t="n">
        <x:v>-7.207706691983951</x:v>
      </x:c>
      <x:c r="S88" t="n">
        <x:v>-7.207706691983951</x:v>
      </x:c>
      <x:c r="T88" t="n">
        <x:v>-7.687706691983951</x:v>
      </x:c>
      <x:c r="U88" t="n">
        <x:f>YEAR(C88)</x:f>
        <x:v>2021</x:v>
      </x:c>
      <x:c r="V88" t="n">
        <x:f>YEAR(D88)</x:f>
        <x:v>2022</x:v>
      </x:c>
      <x:c r="W88" t="n">
        <x:f>N88-M88-O88-P88</x:f>
        <x:v>-281.00068814232503</x:v>
      </x:c>
      <x:c r="X88" t="str">
        <x:f>IF(T88&gt;1,"Ganador",IF(T88&lt;0,"Perdedor","Empate"))</x:f>
        <x:v>Perdedor</x:v>
      </x:c>
    </x:row>
    <x:row r="89">
      <x:c r="A89" t="str">
        <x:v>BLDR</x:v>
      </x:c>
      <x:c r="B89" t="n">
        <x:v>44526</x:v>
      </x:c>
      <x:c r="C89" t="n">
        <x:v>44529</x:v>
      </x:c>
      <x:c r="D89" t="n">
        <x:v>44564</x:v>
      </x:c>
      <x:c r="E89" t="n">
        <x:v>35</x:v>
      </x:c>
      <x:c r="F89" t="str">
        <x:v>enter_or_hold</x:v>
      </x:c>
      <x:c r="G89" t="str">
        <x:v>rebalance_trim</x:v>
      </x:c>
      <x:c r="H89" t="n">
        <x:v>6</x:v>
      </x:c>
      <x:c r="I89" t="n">
        <x:v>48.15128083892033</x:v>
      </x:c>
      <x:c r="J89" t="n">
        <x:v>6.839379995938167</x:v>
      </x:c>
      <x:c r="K89" t="n">
        <x:v>71.8499984741211</x:v>
      </x:c>
      <x:c r="L89" t="n">
        <x:v>83.48999786376953</x:v>
      </x:c>
      <x:c r="M89" t="n">
        <x:v>491.4094422720916</x:v>
      </x:c>
      <x:c r="N89" t="n">
        <x:v>571.0198212503856</x:v>
      </x:c>
      <x:c r="O89" t="n">
        <x:v>1.1793826614530198</x:v>
      </x:c>
      <x:c r="P89" t="n">
        <x:v>1.3704475710009252</x:v>
      </x:c>
      <x:c r="Q89" t="n">
        <x:v>71.8499984741211</x:v>
      </x:c>
      <x:c r="R89" t="n">
        <x:v>16.200417031102553</x:v>
      </x:c>
      <x:c r="S89" t="n">
        <x:v>16.200417031102553</x:v>
      </x:c>
      <x:c r="T89" t="n">
        <x:v>15.720417031102553</x:v>
      </x:c>
      <x:c r="U89" t="n">
        <x:f>YEAR(C89)</x:f>
        <x:v>2021</x:v>
      </x:c>
      <x:c r="V89" t="n">
        <x:f>YEAR(D89)</x:f>
        <x:v>2022</x:v>
      </x:c>
      <x:c r="W89" t="n">
        <x:f>N89-M89-O89-P89</x:f>
        <x:v>77.06054874584002</x:v>
      </x:c>
      <x:c r="X89" t="str">
        <x:f>IF(T89&gt;1,"Ganador",IF(T89&lt;0,"Perdedor","Empate"))</x:f>
        <x:v>Ganador</x:v>
      </x:c>
    </x:row>
    <x:row r="90">
      <x:c r="A90" t="str">
        <x:v>DVN</x:v>
      </x:c>
      <x:c r="B90" t="n">
        <x:v>44435</x:v>
      </x:c>
      <x:c r="C90" t="n">
        <x:v>44438</x:v>
      </x:c>
      <x:c r="D90" t="n">
        <x:v>44564</x:v>
      </x:c>
      <x:c r="E90" t="n">
        <x:v>126</x:v>
      </x:c>
      <x:c r="F90" t="str">
        <x:v>enter_or_hold</x:v>
      </x:c>
      <x:c r="G90" t="str">
        <x:v>rebalance_trim</x:v>
      </x:c>
      <x:c r="H90" t="n">
        <x:v>3</x:v>
      </x:c>
      <x:c r="I90" t="n">
        <x:v>59.23466605756404</x:v>
      </x:c>
      <x:c r="J90" t="n">
        <x:v>2.723950298936671</x:v>
      </x:c>
      <x:c r="K90" t="n">
        <x:v>30.312304904384472</x:v>
      </x:c>
      <x:c r="L90" t="n">
        <x:v>45.56999969482422</x:v>
      </x:c>
      <x:c r="M90" t="n">
        <x:v>82.56921200575758</x:v>
      </x:c>
      <x:c r="N90" t="n">
        <x:v>124.13041429126044</x:v>
      </x:c>
      <x:c r="O90" t="n">
        <x:v>0.19816610881381821</x:v>
      </x:c>
      <x:c r="P90" t="n">
        <x:v>0.297912994299025</x:v>
      </x:c>
      <x:c r="Q90" t="n">
        <x:v>29.780000686645508</x:v>
      </x:c>
      <x:c r="R90" t="n">
        <x:v>53.022157972143866</x:v>
      </x:c>
      <x:c r="S90" t="n">
        <x:v>50.33498718941964</x:v>
      </x:c>
      <x:c r="T90" t="n">
        <x:v>49.854987189419646</x:v>
      </x:c>
      <x:c r="U90" t="n">
        <x:f>YEAR(C90)</x:f>
        <x:v>2021</x:v>
      </x:c>
      <x:c r="V90" t="n">
        <x:f>YEAR(D90)</x:f>
        <x:v>2022</x:v>
      </x:c>
      <x:c r="W90" t="n">
        <x:f>N90-M90-O90-P90</x:f>
        <x:v>41.06512318239002</x:v>
      </x:c>
      <x:c r="X90" t="str">
        <x:f>IF(T90&gt;1,"Ganador",IF(T90&lt;0,"Perdedor","Empate"))</x:f>
        <x:v>Ganador</x:v>
      </x:c>
    </x:row>
    <x:row r="91">
      <x:c r="A91" t="str">
        <x:v>F</x:v>
      </x:c>
      <x:c r="B91" t="n">
        <x:v>44526</x:v>
      </x:c>
      <x:c r="C91" t="n">
        <x:v>44529</x:v>
      </x:c>
      <x:c r="D91" t="n">
        <x:v>44564</x:v>
      </x:c>
      <x:c r="E91" t="n">
        <x:v>35</x:v>
      </x:c>
      <x:c r="F91" t="str">
        <x:v>enter_or_hold</x:v>
      </x:c>
      <x:c r="G91" t="str">
        <x:v>rebalance_trim</x:v>
      </x:c>
      <x:c r="H91" t="n">
        <x:v>5</x:v>
      </x:c>
      <x:c r="I91" t="n">
        <x:v>49.00686262366105</x:v>
      </x:c>
      <x:c r="J91" t="n">
        <x:v>16.93348636204441</x:v>
      </x:c>
      <x:c r="K91" t="n">
        <x:v>19.670000076293945</x:v>
      </x:c>
      <x:c r="L91" t="n">
        <x:v>21.770000457763672</x:v>
      </x:c>
      <x:c r="M91" t="n">
        <x:v>333.081678033336</x:v>
      </x:c>
      <x:c r="N91" t="n">
        <x:v>368.6420058532417</x:v>
      </x:c>
      <x:c r="O91" t="n">
        <x:v>0.7993960272800064</x:v>
      </x:c>
      <x:c r="P91" t="n">
        <x:v>0.88474081404778</x:v>
      </x:c>
      <x:c r="Q91" t="n">
        <x:v>19.670000076293945</x:v>
      </x:c>
      <x:c r="R91" t="n">
        <x:v>10.676158481568198</x:v>
      </x:c>
      <x:c r="S91" t="n">
        <x:v>10.676158481568198</x:v>
      </x:c>
      <x:c r="T91" t="n">
        <x:v>10.196158481568197</x:v>
      </x:c>
      <x:c r="U91" t="n">
        <x:f>YEAR(C91)</x:f>
        <x:v>2021</x:v>
      </x:c>
      <x:c r="V91" t="n">
        <x:f>YEAR(D91)</x:f>
        <x:v>2022</x:v>
      </x:c>
      <x:c r="W91" t="n">
        <x:f>N91-M91-O91-P91</x:f>
        <x:v>33.87619097857791</x:v>
      </x:c>
      <x:c r="X91" t="str">
        <x:f>IF(T91&gt;1,"Ganador",IF(T91&lt;0,"Perdedor","Empate"))</x:f>
        <x:v>Ganador</x:v>
      </x:c>
    </x:row>
    <x:row r="92">
      <x:c r="A92" t="str">
        <x:v>DVN</x:v>
      </x:c>
      <x:c r="B92" t="n">
        <x:v>44435</x:v>
      </x:c>
      <x:c r="C92" t="n">
        <x:v>44438</x:v>
      </x:c>
      <x:c r="D92" t="n">
        <x:v>44592</x:v>
      </x:c>
      <x:c r="E92" t="n">
        <x:v>154</x:v>
      </x:c>
      <x:c r="F92" t="str">
        <x:v>enter_or_hold</x:v>
      </x:c>
      <x:c r="G92" t="str">
        <x:v>market_filter_failed</x:v>
      </x:c>
      <x:c r="H92" t="n">
        <x:v>3</x:v>
      </x:c>
      <x:c r="I92" t="n">
        <x:v>59.23466605756404</x:v>
      </x:c>
      <x:c r="J92" t="n">
        <x:v>80.88459591999745</x:v>
      </x:c>
      <x:c r="K92" t="n">
        <x:v>30.312304904384472</x:v>
      </x:c>
      <x:c r="L92" t="n">
        <x:v>50.56999969482422</x:v>
      </x:c>
      <x:c r="M92" t="n">
        <x:v>2451.7985335948947</x:v>
      </x:c>
      <x:c r="N92" t="n">
        <x:v>4090.3339909902516</x:v>
      </x:c>
      <x:c r="O92" t="n">
        <x:v>5.8843164806277475</x:v>
      </x:c>
      <x:c r="P92" t="n">
        <x:v>9.816801578376603</x:v>
      </x:c>
      <x:c r="Q92" t="n">
        <x:v>29.780000686645508</x:v>
      </x:c>
      <x:c r="R92" t="n">
        <x:v>69.81194939159872</x:v>
      </x:c>
      <x:c r="S92" t="n">
        <x:v>66.82993871412796</x:v>
      </x:c>
      <x:c r="T92" t="n">
        <x:v>66.34993871412796</x:v>
      </x:c>
      <x:c r="U92" t="n">
        <x:f>YEAR(C92)</x:f>
        <x:v>2021</x:v>
      </x:c>
      <x:c r="V92" t="n">
        <x:f>YEAR(D92)</x:f>
        <x:v>2022</x:v>
      </x:c>
      <x:c r="W92" t="n">
        <x:f>N92-M92-O92-P92</x:f>
        <x:v>1622.8343393363525</x:v>
      </x:c>
      <x:c r="X92" t="str">
        <x:f>IF(T92&gt;1,"Ganador",IF(T92&lt;0,"Perdedor","Empate"))</x:f>
        <x:v>Ganador</x:v>
      </x:c>
    </x:row>
    <x:row r="93">
      <x:c r="A93" t="str">
        <x:v>DDOG</x:v>
      </x:c>
      <x:c r="B93" t="n">
        <x:v>44498</x:v>
      </x:c>
      <x:c r="C93" t="n">
        <x:v>44501</x:v>
      </x:c>
      <x:c r="D93" t="n">
        <x:v>44592</x:v>
      </x:c>
      <x:c r="E93" t="n">
        <x:v>91</x:v>
      </x:c>
      <x:c r="F93" t="str">
        <x:v>enter_or_hold</x:v>
      </x:c>
      <x:c r="G93" t="str">
        <x:v>market_filter_failed</x:v>
      </x:c>
      <x:c r="H93" t="n">
        <x:v>5</x:v>
      </x:c>
      <x:c r="I93" t="n">
        <x:v>45.419888898277264</x:v>
      </x:c>
      <x:c r="J93" t="n">
        <x:v>22.48929116876093</x:v>
      </x:c>
      <x:c r="K93" t="n">
        <x:v>165.0526573256224</x:v>
      </x:c>
      <x:c r="L93" t="n">
        <x:v>146.11000061035156</x:v>
      </x:c>
      <x:c r="M93" t="n">
        <x:v>3711.9172687736436</x:v>
      </x:c>
      <x:c r="N93" t="n">
        <x:v>3285.9103463940332</x:v>
      </x:c>
      <x:c r="O93" t="n">
        <x:v>8.908601445056744</x:v>
      </x:c>
      <x:c r="P93" t="n">
        <x:v>7.8861848313456795</x:v>
      </x:c>
      <x:c r="Q93" t="n">
        <x:v>165.1999969482422</x:v>
      </x:c>
      <x:c r="R93" t="n">
        <x:v>-11.55568806933549</x:v>
      </x:c>
      <x:c r="S93" t="n">
        <x:v>-11.476735377789172</x:v>
      </x:c>
      <x:c r="T93" t="n">
        <x:v>-11.956735377789173</x:v>
      </x:c>
      <x:c r="U93" t="n">
        <x:f>YEAR(C93)</x:f>
        <x:v>2021</x:v>
      </x:c>
      <x:c r="V93" t="n">
        <x:f>YEAR(D93)</x:f>
        <x:v>2022</x:v>
      </x:c>
      <x:c r="W93" t="n">
        <x:f>N93-M93-O93-P93</x:f>
        <x:v>-442.8017086560128</x:v>
      </x:c>
      <x:c r="X93" t="str">
        <x:f>IF(T93&gt;1,"Ganador",IF(T93&lt;0,"Perdedor","Empate"))</x:f>
        <x:v>Perdedor</x:v>
      </x:c>
    </x:row>
    <x:row r="94">
      <x:c r="A94" t="str">
        <x:v>NVDA</x:v>
      </x:c>
      <x:c r="B94" t="n">
        <x:v>44498</x:v>
      </x:c>
      <x:c r="C94" t="n">
        <x:v>44501</x:v>
      </x:c>
      <x:c r="D94" t="n">
        <x:v>44592</x:v>
      </x:c>
      <x:c r="E94" t="n">
        <x:v>91</x:v>
      </x:c>
      <x:c r="F94" t="str">
        <x:v>enter_or_hold</x:v>
      </x:c>
      <x:c r="G94" t="str">
        <x:v>market_filter_failed</x:v>
      </x:c>
      <x:c r="H94" t="n">
        <x:v>4</x:v>
      </x:c>
      <x:c r="I94" t="n">
        <x:v>49.35823725087551</x:v>
      </x:c>
      <x:c r="J94" t="n">
        <x:v>122.3230057245509</x:v>
      </x:c>
      <x:c r="K94" t="n">
        <x:v>26.25814977728082</x:v>
      </x:c>
      <x:c r="L94" t="n">
        <x:v>24.48600006103516</x:v>
      </x:c>
      <x:c r="M94" t="n">
        <x:v>3211.9758055224365</x:v>
      </x:c>
      <x:c r="N94" t="n">
        <x:v>2995.2011256373576</x:v>
      </x:c>
      <x:c r="O94" t="n">
        <x:v>7.708741933253848</x:v>
      </x:c>
      <x:c r="P94" t="n">
        <x:v>7.188482701529658</x:v>
      </x:c>
      <x:c r="Q94" t="n">
        <x:v>25.82699966430664</x:v>
      </x:c>
      <x:c r="R94" t="n">
        <x:v>-5.192239209747484</x:v>
      </x:c>
      <x:c r="S94" t="n">
        <x:v>-6.748951206680099</x:v>
      </x:c>
      <x:c r="T94" t="n">
        <x:v>-7.228951206680099</x:v>
      </x:c>
      <x:c r="U94" t="n">
        <x:f>YEAR(C94)</x:f>
        <x:v>2021</x:v>
      </x:c>
      <x:c r="V94" t="n">
        <x:f>YEAR(D94)</x:f>
        <x:v>2022</x:v>
      </x:c>
      <x:c r="W94" t="n">
        <x:f>N94-M94-O94-P94</x:f>
        <x:v>-231.6719045198625</x:v>
      </x:c>
      <x:c r="X94" t="str">
        <x:f>IF(T94&gt;1,"Ganador",IF(T94&lt;0,"Perdedor","Empate"))</x:f>
        <x:v>Perdedor</x:v>
      </x:c>
    </x:row>
    <x:row r="95">
      <x:c r="A95" t="str">
        <x:v>BLDR</x:v>
      </x:c>
      <x:c r="B95" t="n">
        <x:v>44526</x:v>
      </x:c>
      <x:c r="C95" t="n">
        <x:v>44529</x:v>
      </x:c>
      <x:c r="D95" t="n">
        <x:v>44592</x:v>
      </x:c>
      <x:c r="E95" t="n">
        <x:v>63</x:v>
      </x:c>
      <x:c r="F95" t="str">
        <x:v>enter_or_hold</x:v>
      </x:c>
      <x:c r="G95" t="str">
        <x:v>market_filter_failed</x:v>
      </x:c>
      <x:c r="H95" t="n">
        <x:v>6</x:v>
      </x:c>
      <x:c r="I95" t="n">
        <x:v>48.15128083892033</x:v>
      </x:c>
      <x:c r="J95" t="n">
        <x:v>44.14793515032253</x:v>
      </x:c>
      <x:c r="K95" t="n">
        <x:v>71.8499984741211</x:v>
      </x:c>
      <x:c r="L95" t="n">
        <x:v>67.98999786376953</x:v>
      </x:c>
      <x:c r="M95" t="n">
        <x:v>3172.0290731862706</x:v>
      </x:c>
      <x:c r="N95" t="n">
        <x:v>3001.6180165602646</x:v>
      </x:c>
      <x:c r="O95" t="n">
        <x:v>7.61286977564705</x:v>
      </x:c>
      <x:c r="P95" t="n">
        <x:v>7.203883239744634</x:v>
      </x:c>
      <x:c r="Q95" t="n">
        <x:v>71.8499984741211</x:v>
      </x:c>
      <x:c r="R95" t="n">
        <x:v>-5.372304373453618</x:v>
      </x:c>
      <x:c r="S95" t="n">
        <x:v>-5.372304373453618</x:v>
      </x:c>
      <x:c r="T95" t="n">
        <x:v>-5.852304373453618</x:v>
      </x:c>
      <x:c r="U95" t="n">
        <x:f>YEAR(C95)</x:f>
        <x:v>2021</x:v>
      </x:c>
      <x:c r="V95" t="n">
        <x:f>YEAR(D95)</x:f>
        <x:v>2022</x:v>
      </x:c>
      <x:c r="W95" t="n">
        <x:f>N95-M95-O95-P95</x:f>
        <x:v>-185.22780964139773</x:v>
      </x:c>
      <x:c r="X95" t="str">
        <x:f>IF(T95&gt;1,"Ganador",IF(T95&lt;0,"Perdedor","Empate"))</x:f>
        <x:v>Perdedor</x:v>
      </x:c>
    </x:row>
    <x:row r="96">
      <x:c r="A96" t="str">
        <x:v>F</x:v>
      </x:c>
      <x:c r="B96" t="n">
        <x:v>44526</x:v>
      </x:c>
      <x:c r="C96" t="n">
        <x:v>44529</x:v>
      </x:c>
      <x:c r="D96" t="n">
        <x:v>44592</x:v>
      </x:c>
      <x:c r="E96" t="n">
        <x:v>63</x:v>
      </x:c>
      <x:c r="F96" t="str">
        <x:v>enter_or_hold</x:v>
      </x:c>
      <x:c r="G96" t="str">
        <x:v>market_filter_failed</x:v>
      </x:c>
      <x:c r="H96" t="n">
        <x:v>5</x:v>
      </x:c>
      <x:c r="I96" t="n">
        <x:v>49.00686262366105</x:v>
      </x:c>
      <x:c r="J96" t="n">
        <x:v>169.31148065620667</x:v>
      </x:c>
      <x:c r="K96" t="n">
        <x:v>19.670000076293945</x:v>
      </x:c>
      <x:c r="L96" t="n">
        <x:v>20.299999237060547</x:v>
      </x:c>
      <x:c r="M96" t="n">
        <x:v>3330.3568374250262</x:v>
      </x:c>
      <x:c r="N96" t="n">
        <x:v>3437.0229281465868</x:v>
      </x:c>
      <x:c r="O96" t="n">
        <x:v>7.992856409820063</x:v>
      </x:c>
      <x:c r="P96" t="n">
        <x:v>8.248855027551807</x:v>
      </x:c>
      <x:c r="Q96" t="n">
        <x:v>19.670000076293945</x:v>
      </x:c>
      <x:c r="R96" t="n">
        <x:v>3.202842696100805</x:v>
      </x:c>
      <x:c r="S96" t="n">
        <x:v>3.202842696100805</x:v>
      </x:c>
      <x:c r="T96" t="n">
        <x:v>2.722842696100805</x:v>
      </x:c>
      <x:c r="U96" t="n">
        <x:f>YEAR(C96)</x:f>
        <x:v>2021</x:v>
      </x:c>
      <x:c r="V96" t="n">
        <x:f>YEAR(D96)</x:f>
        <x:v>2022</x:v>
      </x:c>
      <x:c r="W96" t="n">
        <x:f>N96-M96-O96-P96</x:f>
        <x:v>90.42437928418865</x:v>
      </x:c>
      <x:c r="X96" t="str">
        <x:f>IF(T96&gt;1,"Ganador",IF(T96&lt;0,"Perdedor","Empate"))</x:f>
        <x:v>Ganador</x:v>
      </x:c>
    </x:row>
    <x:row r="97">
      <x:c r="A97" t="str">
        <x:v>ON</x:v>
      </x:c>
      <x:c r="B97" t="n">
        <x:v>44561</x:v>
      </x:c>
      <x:c r="C97" t="n">
        <x:v>44564</x:v>
      </x:c>
      <x:c r="D97" t="n">
        <x:v>44592</x:v>
      </x:c>
      <x:c r="E97" t="n">
        <x:v>28</x:v>
      </x:c>
      <x:c r="F97" t="str">
        <x:v>enter_or_hold</x:v>
      </x:c>
      <x:c r="G97" t="str">
        <x:v>market_filter_failed</x:v>
      </x:c>
      <x:c r="H97" t="n">
        <x:v>2</x:v>
      </x:c>
      <x:c r="I97" t="n">
        <x:v>51.901865329991125</x:v>
      </x:c>
      <x:c r="J97" t="n">
        <x:v>52.381470473799865</x:v>
      </x:c>
      <x:c r="K97" t="n">
        <x:v>70.16999816894531</x:v>
      </x:c>
      <x:c r="L97" t="n">
        <x:v>59</x:v>
      </x:c>
      <x:c r="M97" t="n">
        <x:v>3675.6076872331996</x:v>
      </x:c>
      <x:c r="N97" t="n">
        <x:v>3090.506757954192</x:v>
      </x:c>
      <x:c r="O97" t="n">
        <x:v>8.821458449359678</x:v>
      </x:c>
      <x:c r="P97" t="n">
        <x:v>7.41721621909006</x:v>
      </x:c>
      <x:c r="Q97" t="n">
        <x:v>70.16999816894531</x:v>
      </x:c>
      <x:c r="R97" t="n">
        <x:v>-15.91848148841587</x:v>
      </x:c>
      <x:c r="S97" t="n">
        <x:v>-15.91848148841587</x:v>
      </x:c>
      <x:c r="T97" t="n">
        <x:v>-16.398481488415868</x:v>
      </x:c>
      <x:c r="U97" t="n">
        <x:f>YEAR(C97)</x:f>
        <x:v>2022</x:v>
      </x:c>
      <x:c r="V97" t="n">
        <x:f>YEAR(D97)</x:f>
        <x:v>2022</x:v>
      </x:c>
      <x:c r="W97" t="n">
        <x:f>N97-M97-O97-P97</x:f>
        <x:v>-601.3396039474574</x:v>
      </x:c>
      <x:c r="X97" t="str">
        <x:f>IF(T97&gt;1,"Ganador",IF(T97&lt;0,"Perdedor","Empate"))</x:f>
        <x:v>Perdedor</x:v>
      </x:c>
    </x:row>
    <x:row r="98">
      <x:c r="A98" t="str">
        <x:v>COP</x:v>
      </x:c>
      <x:c r="B98" t="n">
        <x:v>44645</x:v>
      </x:c>
      <x:c r="C98" t="n">
        <x:v>44648</x:v>
      </x:c>
      <x:c r="D98" t="n">
        <x:v>44683</x:v>
      </x:c>
      <x:c r="E98" t="n">
        <x:v>35</x:v>
      </x:c>
      <x:c r="F98" t="str">
        <x:v>enter_or_hold</x:v>
      </x:c>
      <x:c r="G98" t="str">
        <x:v>market_filter_failed</x:v>
      </x:c>
      <x:c r="H98" t="n">
        <x:v>6</x:v>
      </x:c>
      <x:c r="I98" t="n">
        <x:v>55.50325771897617</x:v>
      </x:c>
      <x:c r="J98" t="n">
        <x:v>31.892591021620653</x:v>
      </x:c>
      <x:c r="K98" t="n">
        <x:v>103.5</x:v>
      </x:c>
      <x:c r="L98" t="n">
        <x:v>95.91999816894533</x:v>
      </x:c>
      <x:c r="M98" t="n">
        <x:v>3300.8831707377376</x:v>
      </x:c>
      <x:c r="N98" t="n">
        <x:v>3059.137272396775</x:v>
      </x:c>
      <x:c r="O98" t="n">
        <x:v>7.9221196097705695</x:v>
      </x:c>
      <x:c r="P98" t="n">
        <x:v>7.34192945375226</x:v>
      </x:c>
      <x:c r="Q98" t="n">
        <x:v>103.5</x:v>
      </x:c>
      <x:c r="R98" t="n">
        <x:v>-7.323673266719489</x:v>
      </x:c>
      <x:c r="S98" t="n">
        <x:v>-7.323673266719489</x:v>
      </x:c>
      <x:c r="T98" t="n">
        <x:v>-7.803673266719489</x:v>
      </x:c>
      <x:c r="U98" t="n">
        <x:f>YEAR(C98)</x:f>
        <x:v>2022</x:v>
      </x:c>
      <x:c r="V98" t="n">
        <x:f>YEAR(D98)</x:f>
        <x:v>2022</x:v>
      </x:c>
      <x:c r="W98" t="n">
        <x:f>N98-M98-O98-P98</x:f>
        <x:v>-257.0099474044852</x:v>
      </x:c>
      <x:c r="X98" t="str">
        <x:f>IF(T98&gt;1,"Ganador",IF(T98&lt;0,"Perdedor","Empate"))</x:f>
        <x:v>Perdedor</x:v>
      </x:c>
    </x:row>
    <x:row r="99">
      <x:c r="A99" t="str">
        <x:v>DVN</x:v>
      </x:c>
      <x:c r="B99" t="n">
        <x:v>44645</x:v>
      </x:c>
      <x:c r="C99" t="n">
        <x:v>44648</x:v>
      </x:c>
      <x:c r="D99" t="n">
        <x:v>44683</x:v>
      </x:c>
      <x:c r="E99" t="n">
        <x:v>35</x:v>
      </x:c>
      <x:c r="F99" t="str">
        <x:v>enter_or_hold</x:v>
      </x:c>
      <x:c r="G99" t="str">
        <x:v>market_filter_failed</x:v>
      </x:c>
      <x:c r="H99" t="n">
        <x:v>3</x:v>
      </x:c>
      <x:c r="I99" t="n">
        <x:v>68.33621664388659</x:v>
      </x:c>
      <x:c r="J99" t="n">
        <x:v>54.605179968193404</x:v>
      </x:c>
      <x:c r="K99" t="n">
        <x:v>60.45000076293945</x:v>
      </x:c>
      <x:c r="L99" t="n">
        <x:v>58.34999847412109</x:v>
      </x:c>
      <x:c r="M99" t="n">
        <x:v>3300.8831707377376</x:v>
      </x:c>
      <x:c r="N99" t="n">
        <x:v>3186.2121678231924</x:v>
      </x:c>
      <x:c r="O99" t="n">
        <x:v>7.9221196097705695</x:v>
      </x:c>
      <x:c r="P99" t="n">
        <x:v>7.646909202775661</x:v>
      </x:c>
      <x:c r="Q99" t="n">
        <x:v>60.45000076293945</x:v>
      </x:c>
      <x:c r="R99" t="n">
        <x:v>-3.473949151884592</x:v>
      </x:c>
      <x:c r="S99" t="n">
        <x:v>-3.473949151884592</x:v>
      </x:c>
      <x:c r="T99" t="n">
        <x:v>-3.953949151884592</x:v>
      </x:c>
      <x:c r="U99" t="n">
        <x:f>YEAR(C99)</x:f>
        <x:v>2022</x:v>
      </x:c>
      <x:c r="V99" t="n">
        <x:f>YEAR(D99)</x:f>
        <x:v>2022</x:v>
      </x:c>
      <x:c r="W99" t="n">
        <x:f>N99-M99-O99-P99</x:f>
        <x:v>-130.2400317270914</x:v>
      </x:c>
      <x:c r="X99" t="str">
        <x:f>IF(T99&gt;1,"Ganador",IF(T99&lt;0,"Perdedor","Empate"))</x:f>
        <x:v>Perdedor</x:v>
      </x:c>
    </x:row>
    <x:row r="100">
      <x:c r="A100" t="str">
        <x:v>EQT</x:v>
      </x:c>
      <x:c r="B100" t="n">
        <x:v>44645</x:v>
      </x:c>
      <x:c r="C100" t="n">
        <x:v>44648</x:v>
      </x:c>
      <x:c r="D100" t="n">
        <x:v>44683</x:v>
      </x:c>
      <x:c r="E100" t="n">
        <x:v>35</x:v>
      </x:c>
      <x:c r="F100" t="str">
        <x:v>enter_or_hold</x:v>
      </x:c>
      <x:c r="G100" t="str">
        <x:v>market_filter_failed</x:v>
      </x:c>
      <x:c r="H100" t="n">
        <x:v>4</x:v>
      </x:c>
      <x:c r="I100" t="n">
        <x:v>62.68512052962936</x:v>
      </x:c>
      <x:c r="J100" t="n">
        <x:v>94.58117554207212</x:v>
      </x:c>
      <x:c r="K100" t="n">
        <x:v>34.900001525878906</x:v>
      </x:c>
      <x:c r="L100" t="n">
        <x:v>39.45000076293945</x:v>
      </x:c>
      <x:c r="M100" t="n">
        <x:v>3300.8831707377376</x:v>
      </x:c>
      <x:c r="N100" t="n">
        <x:v>3731.2274472944555</x:v>
      </x:c>
      <x:c r="O100" t="n">
        <x:v>7.9221196097705695</x:v>
      </x:c>
      <x:c r="P100" t="n">
        <x:v>8.954945873506693</x:v>
      </x:c>
      <x:c r="Q100" t="n">
        <x:v>34.900001525878906</x:v>
      </x:c>
      <x:c r="R100" t="n">
        <x:v>13.037246527587264</x:v>
      </x:c>
      <x:c r="S100" t="n">
        <x:v>13.037246527587264</x:v>
      </x:c>
      <x:c r="T100" t="n">
        <x:v>12.557246527587264</x:v>
      </x:c>
      <x:c r="U100" t="n">
        <x:f>YEAR(C100)</x:f>
        <x:v>2022</x:v>
      </x:c>
      <x:c r="V100" t="n">
        <x:f>YEAR(D100)</x:f>
        <x:v>2022</x:v>
      </x:c>
      <x:c r="W100" t="n">
        <x:f>N100-M100-O100-P100</x:f>
        <x:v>413.46721107344064</x:v>
      </x:c>
      <x:c r="X100" t="str">
        <x:f>IF(T100&gt;1,"Ganador",IF(T100&lt;0,"Perdedor","Empate"))</x:f>
        <x:v>Ganador</x:v>
      </x:c>
    </x:row>
    <x:row r="101">
      <x:c r="A101" t="str">
        <x:v>HAL</x:v>
      </x:c>
      <x:c r="B101" t="n">
        <x:v>44645</x:v>
      </x:c>
      <x:c r="C101" t="n">
        <x:v>44648</x:v>
      </x:c>
      <x:c r="D101" t="n">
        <x:v>44683</x:v>
      </x:c>
      <x:c r="E101" t="n">
        <x:v>35</x:v>
      </x:c>
      <x:c r="F101" t="str">
        <x:v>enter_or_hold</x:v>
      </x:c>
      <x:c r="G101" t="str">
        <x:v>market_filter_failed</x:v>
      </x:c>
      <x:c r="H101" t="n">
        <x:v>5</x:v>
      </x:c>
      <x:c r="I101" t="n">
        <x:v>58.79545885243316</x:v>
      </x:c>
      <x:c r="J101" t="n">
        <x:v>88.44810283306421</x:v>
      </x:c>
      <x:c r="K101" t="n">
        <x:v>37.31999969482422</x:v>
      </x:c>
      <x:c r="L101" t="n">
        <x:v>35.959999084472656</x:v>
      </x:c>
      <x:c r="M101" t="n">
        <x:v>3300.8831707377376</x:v>
      </x:c>
      <x:c r="N101" t="n">
        <x:v>3180.5936969003324</x:v>
      </x:c>
      <x:c r="O101" t="n">
        <x:v>7.9221196097705695</x:v>
      </x:c>
      <x:c r="P101" t="n">
        <x:v>7.633424872560797</x:v>
      </x:c>
      <x:c r="Q101" t="n">
        <x:v>37.31999969482422</x:v>
      </x:c>
      <x:c r="R101" t="n">
        <x:v>-3.644160293335097</x:v>
      </x:c>
      <x:c r="S101" t="n">
        <x:v>-3.644160293335097</x:v>
      </x:c>
      <x:c r="T101" t="n">
        <x:v>-4.1241602933350965</x:v>
      </x:c>
      <x:c r="U101" t="n">
        <x:f>YEAR(C101)</x:f>
        <x:v>2022</x:v>
      </x:c>
      <x:c r="V101" t="n">
        <x:f>YEAR(D101)</x:f>
        <x:v>2022</x:v>
      </x:c>
      <x:c r="W101" t="n">
        <x:f>N101-M101-O101-P101</x:f>
        <x:v>-135.8450183197366</x:v>
      </x:c>
      <x:c r="X101" t="str">
        <x:f>IF(T101&gt;1,"Ganador",IF(T101&lt;0,"Perdedor","Empate"))</x:f>
        <x:v>Perdedor</x:v>
      </x:c>
    </x:row>
    <x:row r="102">
      <x:c r="A102" t="str">
        <x:v>MOS</x:v>
      </x:c>
      <x:c r="B102" t="n">
        <x:v>44645</x:v>
      </x:c>
      <x:c r="C102" t="n">
        <x:v>44648</x:v>
      </x:c>
      <x:c r="D102" t="n">
        <x:v>44683</x:v>
      </x:c>
      <x:c r="E102" t="n">
        <x:v>35</x:v>
      </x:c>
      <x:c r="F102" t="str">
        <x:v>enter_or_hold</x:v>
      </x:c>
      <x:c r="G102" t="str">
        <x:v>market_filter_failed</x:v>
      </x:c>
      <x:c r="H102" t="n">
        <x:v>1</x:v>
      </x:c>
      <x:c r="I102" t="n">
        <x:v>85.81753225425113</x:v>
      </x:c>
      <x:c r="J102" t="n">
        <x:v>48.56382391431111</x:v>
      </x:c>
      <x:c r="K102" t="n">
        <x:v>67.97000122070312</x:v>
      </x:c>
      <x:c r="L102" t="n">
        <x:v>62.400001525878906</x:v>
      </x:c>
      <x:c r="M102" t="n">
        <x:v>3300.8831707377376</x:v>
      </x:c>
      <x:c r="N102" t="n">
        <x:v>3030.3826863555278</x:v>
      </x:c>
      <x:c r="O102" t="n">
        <x:v>7.9221196097705695</x:v>
      </x:c>
      <x:c r="P102" t="n">
        <x:v>7.272918447253266</x:v>
      </x:c>
      <x:c r="Q102" t="n">
        <x:v>67.97000122070312</x:v>
      </x:c>
      <x:c r="R102" t="n">
        <x:v>-8.1947912237607</x:v>
      </x:c>
      <x:c r="S102" t="n">
        <x:v>-8.1947912237607</x:v>
      </x:c>
      <x:c r="T102" t="n">
        <x:v>-8.6747912237607</x:v>
      </x:c>
      <x:c r="U102" t="n">
        <x:f>YEAR(C102)</x:f>
        <x:v>2022</x:v>
      </x:c>
      <x:c r="V102" t="n">
        <x:f>YEAR(D102)</x:f>
        <x:v>2022</x:v>
      </x:c>
      <x:c r="W102" t="n">
        <x:f>N102-M102-O102-P102</x:f>
        <x:v>-285.6955224392337</x:v>
      </x:c>
      <x:c r="X102" t="str">
        <x:f>IF(T102&gt;1,"Ganador",IF(T102&lt;0,"Perdedor","Empate"))</x:f>
        <x:v>Perdedor</x:v>
      </x:c>
    </x:row>
    <x:row r="103">
      <x:c r="A103" t="str">
        <x:v>OXY</x:v>
      </x:c>
      <x:c r="B103" t="n">
        <x:v>44645</x:v>
      </x:c>
      <x:c r="C103" t="n">
        <x:v>44648</x:v>
      </x:c>
      <x:c r="D103" t="n">
        <x:v>44683</x:v>
      </x:c>
      <x:c r="E103" t="n">
        <x:v>35</x:v>
      </x:c>
      <x:c r="F103" t="str">
        <x:v>enter_or_hold</x:v>
      </x:c>
      <x:c r="G103" t="str">
        <x:v>market_filter_failed</x:v>
      </x:c>
      <x:c r="H103" t="n">
        <x:v>2</x:v>
      </x:c>
      <x:c r="I103" t="n">
        <x:v>83.8366407373593</x:v>
      </x:c>
      <x:c r="J103" t="n">
        <x:v>58.27830519611568</x:v>
      </x:c>
      <x:c r="K103" t="n">
        <x:v>56.63999938964844</x:v>
      </x:c>
      <x:c r="L103" t="n">
        <x:v>58.29999923706055</x:v>
      </x:c>
      <x:c r="M103" t="n">
        <x:v>3300.8831707377376</x:v>
      </x:c>
      <x:c r="N103" t="n">
        <x:v>3397.625148470726</x:v>
      </x:c>
      <x:c r="O103" t="n">
        <x:v>7.9221196097705695</x:v>
      </x:c>
      <x:c r="P103" t="n">
        <x:v>8.154300356329742</x:v>
      </x:c>
      <x:c r="Q103" t="n">
        <x:v>56.63999938964844</x:v>
      </x:c>
      <x:c r="R103" t="n">
        <x:v>2.930790722634602</x:v>
      </x:c>
      <x:c r="S103" t="n">
        <x:v>2.930790722634602</x:v>
      </x:c>
      <x:c r="T103" t="n">
        <x:v>2.450790722634602</x:v>
      </x:c>
      <x:c r="U103" t="n">
        <x:f>YEAR(C103)</x:f>
        <x:v>2022</x:v>
      </x:c>
      <x:c r="V103" t="n">
        <x:f>YEAR(D103)</x:f>
        <x:v>2022</x:v>
      </x:c>
      <x:c r="W103" t="n">
        <x:f>N103-M103-O103-P103</x:f>
        <x:v>80.66555776688797</x:v>
      </x:c>
      <x:c r="X103" t="str">
        <x:f>IF(T103&gt;1,"Ganador",IF(T103&lt;0,"Perdedor","Empate"))</x:f>
        <x:v>Ganador</x:v>
      </x:c>
    </x:row>
    <x:row r="104">
      <x:c r="A104" t="str">
        <x:v>MCK</x:v>
      </x:c>
      <x:c r="B104" t="n">
        <x:v>44771</x:v>
      </x:c>
      <x:c r="C104" t="n">
        <x:v>44774</x:v>
      </x:c>
      <x:c r="D104" t="n">
        <x:v>44802</x:v>
      </x:c>
      <x:c r="E104" t="n">
        <x:v>28</x:v>
      </x:c>
      <x:c r="F104" t="str">
        <x:v>enter_or_hold</x:v>
      </x:c>
      <x:c r="G104" t="str">
        <x:v>left_top_n</x:v>
      </x:c>
      <x:c r="H104" t="n">
        <x:v>6</x:v>
      </x:c>
      <x:c r="I104" t="n">
        <x:v>28.846402285247287</x:v>
      </x:c>
      <x:c r="J104" t="n">
        <x:v>9.487079161823505</x:v>
      </x:c>
      <x:c r="K104" t="n">
        <x:v>342.4200134277344</x:v>
      </x:c>
      <x:c r="L104" t="n">
        <x:v>363.0199890136719</x:v>
      </x:c>
      <x:c r="M104" t="n">
        <x:v>3248.565773981584</x:v>
      </x:c>
      <x:c r="N104" t="n">
        <x:v>3443.999373097004</x:v>
      </x:c>
      <x:c r="O104" t="n">
        <x:v>7.7965578575558006</x:v>
      </x:c>
      <x:c r="P104" t="n">
        <x:v>8.265598495432808</x:v>
      </x:c>
      <x:c r="Q104" t="n">
        <x:v>342.4200134277344</x:v>
      </x:c>
      <x:c r="R104" t="n">
        <x:v>6.015996372327992</x:v>
      </x:c>
      <x:c r="S104" t="n">
        <x:v>6.015996372327992</x:v>
      </x:c>
      <x:c r="T104" t="n">
        <x:v>5.5359963723279915</x:v>
      </x:c>
      <x:c r="U104" t="n">
        <x:f>YEAR(C104)</x:f>
        <x:v>2022</x:v>
      </x:c>
      <x:c r="V104" t="n">
        <x:f>YEAR(D104)</x:f>
        <x:v>2022</x:v>
      </x:c>
      <x:c r="W104" t="n">
        <x:f>N104-M104-O104-P104</x:f>
        <x:v>179.37144276243168</x:v>
      </x:c>
      <x:c r="X104" t="str">
        <x:f>IF(T104&gt;1,"Ganador",IF(T104&lt;0,"Perdedor","Empate"))</x:f>
        <x:v>Ganador</x:v>
      </x:c>
    </x:row>
    <x:row r="105">
      <x:c r="A105" t="str">
        <x:v>TPL</x:v>
      </x:c>
      <x:c r="B105" t="n">
        <x:v>44771</x:v>
      </x:c>
      <x:c r="C105" t="n">
        <x:v>44774</x:v>
      </x:c>
      <x:c r="D105" t="n">
        <x:v>44802</x:v>
      </x:c>
      <x:c r="E105" t="n">
        <x:v>28</x:v>
      </x:c>
      <x:c r="F105" t="str">
        <x:v>enter_or_hold</x:v>
      </x:c>
      <x:c r="G105" t="str">
        <x:v>left_top_n</x:v>
      </x:c>
      <x:c r="H105" t="n">
        <x:v>3</x:v>
      </x:c>
      <x:c r="I105" t="n">
        <x:v>36.55711892004663</x:v>
      </x:c>
      <x:c r="J105" t="n">
        <x:v>16.04723120211372</x:v>
      </x:c>
      <x:c r="K105" t="n">
        <x:v>202.43777465820312</x:v>
      </x:c>
      <x:c r="L105" t="n">
        <x:v>205.80999755859372</x:v>
      </x:c>
      <x:c r="M105" t="n">
        <x:v>3248.565773981584</x:v>
      </x:c>
      <x:c r="N105" t="n">
        <x:v>3302.680614529214</x:v>
      </x:c>
      <x:c r="O105" t="n">
        <x:v>7.7965578575558006</x:v>
      </x:c>
      <x:c r="P105" t="n">
        <x:v>7.926433474870112</x:v>
      </x:c>
      <x:c r="Q105" t="n">
        <x:v>202.43777465820312</x:v>
      </x:c>
      <x:c r="R105" t="n">
        <x:v>1.665807138062192</x:v>
      </x:c>
      <x:c r="S105" t="n">
        <x:v>1.665807138062192</x:v>
      </x:c>
      <x:c r="T105" t="n">
        <x:v>1.185807138062192</x:v>
      </x:c>
      <x:c r="U105" t="n">
        <x:f>YEAR(C105)</x:f>
        <x:v>2022</x:v>
      </x:c>
      <x:c r="V105" t="n">
        <x:f>YEAR(D105)</x:f>
        <x:v>2022</x:v>
      </x:c>
      <x:c r="W105" t="n">
        <x:f>N105-M105-O105-P105</x:f>
        <x:v>38.39184921520423</x:v>
      </x:c>
      <x:c r="X105" t="str">
        <x:f>IF(T105&gt;1,"Ganador",IF(T105&lt;0,"Perdedor","Empate"))</x:f>
        <x:v>Ganador</x:v>
      </x:c>
    </x:row>
    <x:row r="106">
      <x:c r="A106" t="str">
        <x:v>XOM</x:v>
      </x:c>
      <x:c r="B106" t="n">
        <x:v>44771</x:v>
      </x:c>
      <x:c r="C106" t="n">
        <x:v>44774</x:v>
      </x:c>
      <x:c r="D106" t="n">
        <x:v>44802</x:v>
      </x:c>
      <x:c r="E106" t="n">
        <x:v>28</x:v>
      </x:c>
      <x:c r="F106" t="str">
        <x:v>enter_or_hold</x:v>
      </x:c>
      <x:c r="G106" t="str">
        <x:v>left_top_n</x:v>
      </x:c>
      <x:c r="H106" t="n">
        <x:v>4</x:v>
      </x:c>
      <x:c r="I106" t="n">
        <x:v>30.38504910468396</x:v>
      </x:c>
      <x:c r="J106" t="n">
        <x:v>34.38363313461061</x:v>
      </x:c>
      <x:c r="K106" t="n">
        <x:v>94.4800033569336</x:v>
      </x:c>
      <x:c r="L106" t="n">
        <x:v>100.12000274658205</x:v>
      </x:c>
      <x:c r="M106" t="n">
        <x:v>3248.565773981584</x:v>
      </x:c>
      <x:c r="N106" t="n">
        <x:v>3442.4894438746837</x:v>
      </x:c>
      <x:c r="O106" t="n">
        <x:v>7.7965578575558006</x:v>
      </x:c>
      <x:c r="P106" t="n">
        <x:v>8.26197466529924</x:v>
      </x:c>
      <x:c r="Q106" t="n">
        <x:v>94.4800033569336</x:v>
      </x:c>
      <x:c r="R106" t="n">
        <x:v>5.969516500059013</x:v>
      </x:c>
      <x:c r="S106" t="n">
        <x:v>5.969516500059013</x:v>
      </x:c>
      <x:c r="T106" t="n">
        <x:v>5.489516500059013</x:v>
      </x:c>
      <x:c r="U106" t="n">
        <x:f>YEAR(C106)</x:f>
        <x:v>2022</x:v>
      </x:c>
      <x:c r="V106" t="n">
        <x:f>YEAR(D106)</x:f>
        <x:v>2022</x:v>
      </x:c>
      <x:c r="W106" t="n">
        <x:f>N106-M106-O106-P106</x:f>
        <x:v>177.8651373702449</x:v>
      </x:c>
      <x:c r="X106" t="str">
        <x:f>IF(T106&gt;1,"Ganador",IF(T106&lt;0,"Perdedor","Empate"))</x:f>
        <x:v>Ganador</x:v>
      </x:c>
    </x:row>
    <x:row r="107">
      <x:c r="A107" t="str">
        <x:v>EQT</x:v>
      </x:c>
      <x:c r="B107" t="n">
        <x:v>44771</x:v>
      </x:c>
      <x:c r="C107" t="n">
        <x:v>44774</x:v>
      </x:c>
      <x:c r="D107" t="n">
        <x:v>44802</x:v>
      </x:c>
      <x:c r="E107" t="n">
        <x:v>28</x:v>
      </x:c>
      <x:c r="F107" t="str">
        <x:v>enter_or_hold</x:v>
      </x:c>
      <x:c r="G107" t="str">
        <x:v>rebalance_trim</x:v>
      </x:c>
      <x:c r="H107" t="n">
        <x:v>1</x:v>
      </x:c>
      <x:c r="I107" t="n">
        <x:v>57.05798786133751</x:v>
      </x:c>
      <x:c r="J107" t="n">
        <x:v>4.042565059604919</x:v>
      </x:c>
      <x:c r="K107" t="n">
        <x:v>42.310001373291016</x:v>
      </x:c>
      <x:c r="L107" t="n">
        <x:v>50.0099983215332</x:v>
      </x:c>
      <x:c r="M107" t="n">
        <x:v>171.0409332235024</x:v>
      </x:c>
      <x:c r="N107" t="n">
        <x:v>202.16867184553078</x:v>
      </x:c>
      <x:c r="O107" t="n">
        <x:v>0.4104982397364057</x:v>
      </x:c>
      <x:c r="P107" t="n">
        <x:v>0.4852048124292738</x:v>
      </x:c>
      <x:c r="Q107" t="n">
        <x:v>42.310001373291016</x:v>
      </x:c>
      <x:c r="R107" t="n">
        <x:v>18.198999523320648</x:v>
      </x:c>
      <x:c r="S107" t="n">
        <x:v>18.198999523320648</x:v>
      </x:c>
      <x:c r="T107" t="n">
        <x:v>17.718999523320647</x:v>
      </x:c>
      <x:c r="U107" t="n">
        <x:f>YEAR(C107)</x:f>
        <x:v>2022</x:v>
      </x:c>
      <x:c r="V107" t="n">
        <x:f>YEAR(D107)</x:f>
        <x:v>2022</x:v>
      </x:c>
      <x:c r="W107" t="n">
        <x:f>N107-M107-O107-P107</x:f>
        <x:v>30.232035569862695</x:v>
      </x:c>
      <x:c r="X107" t="str">
        <x:f>IF(T107&gt;1,"Ganador",IF(T107&lt;0,"Perdedor","Empate"))</x:f>
        <x:v>Ganador</x:v>
      </x:c>
    </x:row>
    <x:row r="108">
      <x:c r="A108" t="str">
        <x:v>OXY</x:v>
      </x:c>
      <x:c r="B108" t="n">
        <x:v>44771</x:v>
      </x:c>
      <x:c r="C108" t="n">
        <x:v>44774</x:v>
      </x:c>
      <x:c r="D108" t="n">
        <x:v>44802</x:v>
      </x:c>
      <x:c r="E108" t="n">
        <x:v>28</x:v>
      </x:c>
      <x:c r="F108" t="str">
        <x:v>enter_or_hold</x:v>
      </x:c>
      <x:c r="G108" t="str">
        <x:v>rebalance_trim</x:v>
      </x:c>
      <x:c r="H108" t="n">
        <x:v>2</x:v>
      </x:c>
      <x:c r="I108" t="n">
        <x:v>50.0206224925192</x:v>
      </x:c>
      <x:c r="J108" t="n">
        <x:v>1.467888642826002</x:v>
      </x:c>
      <x:c r="K108" t="n">
        <x:v>65.2300033569336</x:v>
      </x:c>
      <x:c r="L108" t="n">
        <x:v>75.26000213623047</x:v>
      </x:c>
      <x:c r="M108" t="n">
        <x:v>95.75038109914482</x:v>
      </x:c>
      <x:c r="N108" t="n">
        <x:v>110.47330239483335</x:v>
      </x:c>
      <x:c r="O108" t="n">
        <x:v>0.22980091463794755</x:v>
      </x:c>
      <x:c r="P108" t="n">
        <x:v>0.26513592574760003</x:v>
      </x:c>
      <x:c r="Q108" t="n">
        <x:v>65.2300033569336</x:v>
      </x:c>
      <x:c r="R108" t="n">
        <x:v>15.376357907592752</x:v>
      </x:c>
      <x:c r="S108" t="n">
        <x:v>15.376357907592752</x:v>
      </x:c>
      <x:c r="T108" t="n">
        <x:v>14.896357907592751</x:v>
      </x:c>
      <x:c r="U108" t="n">
        <x:f>YEAR(C108)</x:f>
        <x:v>2022</x:v>
      </x:c>
      <x:c r="V108" t="n">
        <x:f>YEAR(D108)</x:f>
        <x:v>2022</x:v>
      </x:c>
      <x:c r="W108" t="n">
        <x:f>N108-M108-O108-P108</x:f>
        <x:v>14.22798445530299</x:v>
      </x:c>
      <x:c r="X108" t="str">
        <x:f>IF(T108&gt;1,"Ganador",IF(T108&lt;0,"Perdedor","Empate"))</x:f>
        <x:v>Ganador</x:v>
      </x:c>
    </x:row>
    <x:row r="109">
      <x:c r="A109" t="str">
        <x:v>SMCI</x:v>
      </x:c>
      <x:c r="B109" t="n">
        <x:v>44771</x:v>
      </x:c>
      <x:c r="C109" t="n">
        <x:v>44774</x:v>
      </x:c>
      <x:c r="D109" t="n">
        <x:v>44802</x:v>
      </x:c>
      <x:c r="E109" t="n">
        <x:v>28</x:v>
      </x:c>
      <x:c r="F109" t="str">
        <x:v>enter_or_hold</x:v>
      </x:c>
      <x:c r="G109" t="str">
        <x:v>rebalance_trim</x:v>
      </x:c>
      <x:c r="H109" t="n">
        <x:v>5</x:v>
      </x:c>
      <x:c r="I109" t="n">
        <x:v>29.42428952782592</x:v>
      </x:c>
      <x:c r="J109" t="n">
        <x:v>62.87226523715029</x:v>
      </x:c>
      <x:c r="K109" t="n">
        <x:v>5.52400016784668</x:v>
      </x:c>
      <x:c r="L109" t="n">
        <x:v>6.926000118255615</x:v>
      </x:c>
      <x:c r="M109" t="n">
        <x:v>347.3064037229192</x:v>
      </x:c>
      <x:c r="N109" t="n">
        <x:v>435.4533164675013</x:v>
      </x:c>
      <x:c r="O109" t="n">
        <x:v>0.833535368935006</x:v>
      </x:c>
      <x:c r="P109" t="n">
        <x:v>1.045087959522003</x:v>
      </x:c>
      <x:c r="Q109" t="n">
        <x:v>5.52400016784668</x:v>
      </x:c>
      <x:c r="R109" t="n">
        <x:v>25.38015763593744</x:v>
      </x:c>
      <x:c r="S109" t="n">
        <x:v>25.38015763593744</x:v>
      </x:c>
      <x:c r="T109" t="n">
        <x:v>24.90015763593744</x:v>
      </x:c>
      <x:c r="U109" t="n">
        <x:f>YEAR(C109)</x:f>
        <x:v>2022</x:v>
      </x:c>
      <x:c r="V109" t="n">
        <x:f>YEAR(D109)</x:f>
        <x:v>2022</x:v>
      </x:c>
      <x:c r="W109" t="n">
        <x:f>N109-M109-O109-P109</x:f>
        <x:v>86.26828941612509</x:v>
      </x:c>
      <x:c r="X109" t="str">
        <x:f>IF(T109&gt;1,"Ganador",IF(T109&lt;0,"Perdedor","Empate"))</x:f>
        <x:v>Ganador</x:v>
      </x:c>
    </x:row>
    <x:row r="110">
      <x:c r="A110" t="str">
        <x:v>EQT</x:v>
      </x:c>
      <x:c r="B110" t="n">
        <x:v>44771</x:v>
      </x:c>
      <x:c r="C110" t="n">
        <x:v>44774</x:v>
      </x:c>
      <x:c r="D110" t="n">
        <x:v>44837</x:v>
      </x:c>
      <x:c r="E110" t="n">
        <x:v>63</x:v>
      </x:c>
      <x:c r="F110" t="str">
        <x:v>enter_or_hold</x:v>
      </x:c>
      <x:c r="G110" t="str">
        <x:v>market_filter_failed</x:v>
      </x:c>
      <x:c r="H110" t="n">
        <x:v>1</x:v>
      </x:c>
      <x:c r="I110" t="n">
        <x:v>57.05798786133751</x:v>
      </x:c>
      <x:c r="J110" t="n">
        <x:v>72.7375263736301</x:v>
      </x:c>
      <x:c r="K110" t="n">
        <x:v>42.310001373291016</x:v>
      </x:c>
      <x:c r="L110" t="n">
        <x:v>41.75</x:v>
      </x:c>
      <x:c r="M110" t="n">
        <x:v>3077.524840758081</x:v>
      </x:c>
      <x:c r="N110" t="n">
        <x:v>3036.7917260990566</x:v>
      </x:c>
      <x:c r="O110" t="n">
        <x:v>7.386059617819395</x:v>
      </x:c>
      <x:c r="P110" t="n">
        <x:v>7.288300142637735</x:v>
      </x:c>
      <x:c r="Q110" t="n">
        <x:v>42.310001373291016</x:v>
      </x:c>
      <x:c r="R110" t="n">
        <x:v>-1.323567372050538</x:v>
      </x:c>
      <x:c r="S110" t="n">
        <x:v>-1.323567372050538</x:v>
      </x:c>
      <x:c r="T110" t="n">
        <x:v>-1.803567372050538</x:v>
      </x:c>
      <x:c r="U110" t="n">
        <x:f>YEAR(C110)</x:f>
        <x:v>2022</x:v>
      </x:c>
      <x:c r="V110" t="n">
        <x:f>YEAR(D110)</x:f>
        <x:v>2022</x:v>
      </x:c>
      <x:c r="W110" t="n">
        <x:f>N110-M110-O110-P110</x:f>
        <x:v>-55.40747441948166</x:v>
      </x:c>
      <x:c r="X110" t="str">
        <x:f>IF(T110&gt;1,"Ganador",IF(T110&lt;0,"Perdedor","Empate"))</x:f>
        <x:v>Perdedor</x:v>
      </x:c>
    </x:row>
    <x:row r="111">
      <x:c r="A111" t="str">
        <x:v>OXY</x:v>
      </x:c>
      <x:c r="B111" t="n">
        <x:v>44771</x:v>
      </x:c>
      <x:c r="C111" t="n">
        <x:v>44774</x:v>
      </x:c>
      <x:c r="D111" t="n">
        <x:v>44837</x:v>
      </x:c>
      <x:c r="E111" t="n">
        <x:v>63</x:v>
      </x:c>
      <x:c r="F111" t="str">
        <x:v>enter_or_hold</x:v>
      </x:c>
      <x:c r="G111" t="str">
        <x:v>market_filter_failed</x:v>
      </x:c>
      <x:c r="H111" t="n">
        <x:v>2</x:v>
      </x:c>
      <x:c r="I111" t="n">
        <x:v>50.0206224925192</x:v>
      </x:c>
      <x:c r="J111" t="n">
        <x:v>48.333822330660844</x:v>
      </x:c>
      <x:c r="K111" t="n">
        <x:v>65.2300033569336</x:v>
      </x:c>
      <x:c r="L111" t="n">
        <x:v>64.05999755859375</x:v>
      </x:c>
      <x:c r="M111" t="n">
        <x:v>3152.815392882439</x:v>
      </x:c>
      <x:c r="N111" t="n">
        <x:v>3096.264540499638</x:v>
      </x:c>
      <x:c r="O111" t="n">
        <x:v>7.566756942917853</x:v>
      </x:c>
      <x:c r="P111" t="n">
        <x:v>7.4310348971991305</x:v>
      </x:c>
      <x:c r="Q111" t="n">
        <x:v>65.2300033569336</x:v>
      </x:c>
      <x:c r="R111" t="n">
        <x:v>-1.7936620238046874</x:v>
      </x:c>
      <x:c r="S111" t="n">
        <x:v>-1.7936620238046874</x:v>
      </x:c>
      <x:c r="T111" t="n">
        <x:v>-2.2736620238046874</x:v>
      </x:c>
      <x:c r="U111" t="n">
        <x:f>YEAR(C111)</x:f>
        <x:v>2022</x:v>
      </x:c>
      <x:c r="V111" t="n">
        <x:f>YEAR(D111)</x:f>
        <x:v>2022</x:v>
      </x:c>
      <x:c r="W111" t="n">
        <x:f>N111-M111-O111-P111</x:f>
        <x:v>-71.54864422291814</x:v>
      </x:c>
      <x:c r="X111" t="str">
        <x:f>IF(T111&gt;1,"Ganador",IF(T111&lt;0,"Perdedor","Empate"))</x:f>
        <x:v>Perdedor</x:v>
      </x:c>
    </x:row>
    <x:row r="112">
      <x:c r="A112" t="str">
        <x:v>SMCI</x:v>
      </x:c>
      <x:c r="B112" t="n">
        <x:v>44771</x:v>
      </x:c>
      <x:c r="C112" t="n">
        <x:v>44774</x:v>
      </x:c>
      <x:c r="D112" t="n">
        <x:v>44837</x:v>
      </x:c>
      <x:c r="E112" t="n">
        <x:v>63</x:v>
      </x:c>
      <x:c r="F112" t="str">
        <x:v>enter_or_hold</x:v>
      </x:c>
      <x:c r="G112" t="str">
        <x:v>market_filter_failed</x:v>
      </x:c>
      <x:c r="H112" t="n">
        <x:v>5</x:v>
      </x:c>
      <x:c r="I112" t="n">
        <x:v>29.42428952782592</x:v>
      </x:c>
      <x:c r="J112" t="n">
        <x:v>525.2098627994086</x:v>
      </x:c>
      <x:c r="K112" t="n">
        <x:v>5.52400016784668</x:v>
      </x:c>
      <x:c r="L112" t="n">
        <x:v>5.706999778747559</x:v>
      </x:c>
      <x:c r="M112" t="n">
        <x:v>2901.2593702586646</x:v>
      </x:c>
      <x:c r="N112" t="n">
        <x:v>2997.3725707922604</x:v>
      </x:c>
      <x:c r="O112" t="n">
        <x:v>6.963022488620794</x:v>
      </x:c>
      <x:c r="P112" t="n">
        <x:v>7.193694169901424</x:v>
      </x:c>
      <x:c r="Q112" t="n">
        <x:v>5.52400016784668</x:v>
      </x:c>
      <x:c r="R112" t="n">
        <x:v>3.3128096549680963</x:v>
      </x:c>
      <x:c r="S112" t="n">
        <x:v>3.3128096549680963</x:v>
      </x:c>
      <x:c r="T112" t="n">
        <x:v>2.8328096549680963</x:v>
      </x:c>
      <x:c r="U112" t="n">
        <x:f>YEAR(C112)</x:f>
        <x:v>2022</x:v>
      </x:c>
      <x:c r="V112" t="n">
        <x:f>YEAR(D112)</x:f>
        <x:v>2022</x:v>
      </x:c>
      <x:c r="W112" t="n">
        <x:f>N112-M112-O112-P112</x:f>
        <x:v>81.95648387507356</x:v>
      </x:c>
      <x:c r="X112" t="str">
        <x:f>IF(T112&gt;1,"Ganador",IF(T112&lt;0,"Perdedor","Empate"))</x:f>
        <x:v>Ganador</x:v>
      </x:c>
    </x:row>
    <x:row r="113">
      <x:c r="A113" t="str">
        <x:v>DVN</x:v>
      </x:c>
      <x:c r="B113" t="n">
        <x:v>44799</x:v>
      </x:c>
      <x:c r="C113" t="n">
        <x:v>44802</x:v>
      </x:c>
      <x:c r="D113" t="n">
        <x:v>44837</x:v>
      </x:c>
      <x:c r="E113" t="n">
        <x:v>35</x:v>
      </x:c>
      <x:c r="F113" t="str">
        <x:v>enter_or_hold</x:v>
      </x:c>
      <x:c r="G113" t="str">
        <x:v>market_filter_failed</x:v>
      </x:c>
      <x:c r="H113" t="n">
        <x:v>5</x:v>
      </x:c>
      <x:c r="I113" t="n">
        <x:v>37.97422997475963</x:v>
      </x:c>
      <x:c r="J113" t="n">
        <x:v>48.938457138617295</x:v>
      </x:c>
      <x:c r="K113" t="n">
        <x:v>74.13999938964844</x:v>
      </x:c>
      <x:c r="L113" t="n">
        <x:v>65.33000183105469</x:v>
      </x:c>
      <x:c r="M113" t="n">
        <x:v>3628.2971823874227</x:v>
      </x:c>
      <x:c r="N113" t="n">
        <x:v>3197.1494944748592</x:v>
      </x:c>
      <x:c r="O113" t="n">
        <x:v>8.707913237729814</x:v>
      </x:c>
      <x:c r="P113" t="n">
        <x:v>7.673158786739662</x:v>
      </x:c>
      <x:c r="Q113" t="n">
        <x:v>74.13999938964844</x:v>
      </x:c>
      <x:c r="R113" t="n">
        <x:v>-11.882921002321744</x:v>
      </x:c>
      <x:c r="S113" t="n">
        <x:v>-11.882921002321744</x:v>
      </x:c>
      <x:c r="T113" t="n">
        <x:v>-12.362921002321745</x:v>
      </x:c>
      <x:c r="U113" t="n">
        <x:f>YEAR(C113)</x:f>
        <x:v>2022</x:v>
      </x:c>
      <x:c r="V113" t="n">
        <x:f>YEAR(D113)</x:f>
        <x:v>2022</x:v>
      </x:c>
      <x:c r="W113" t="n">
        <x:f>N113-M113-O113-P113</x:f>
        <x:v>-447.52875993703293</x:v>
      </x:c>
      <x:c r="X113" t="str">
        <x:f>IF(T113&gt;1,"Ganador",IF(T113&lt;0,"Perdedor","Empate"))</x:f>
        <x:v>Perdedor</x:v>
      </x:c>
    </x:row>
    <x:row r="114">
      <x:c r="A114" t="str">
        <x:v>EXE</x:v>
      </x:c>
      <x:c r="B114" t="n">
        <x:v>44799</x:v>
      </x:c>
      <x:c r="C114" t="n">
        <x:v>44802</x:v>
      </x:c>
      <x:c r="D114" t="n">
        <x:v>44837</x:v>
      </x:c>
      <x:c r="E114" t="n">
        <x:v>35</x:v>
      </x:c>
      <x:c r="F114" t="str">
        <x:v>enter_or_hold</x:v>
      </x:c>
      <x:c r="G114" t="str">
        <x:v>market_filter_failed</x:v>
      </x:c>
      <x:c r="H114" t="n">
        <x:v>6</x:v>
      </x:c>
      <x:c r="I114" t="n">
        <x:v>34.67888084118411</x:v>
      </x:c>
      <x:c r="J114" t="n">
        <x:v>34.96480003625262</x:v>
      </x:c>
      <x:c r="K114" t="n">
        <x:v>103.7699966430664</x:v>
      </x:c>
      <x:c r="L114" t="n">
        <x:v>98.93000030517578</x:v>
      </x:c>
      <x:c r="M114" t="n">
        <x:v>3628.2971823874227</x:v>
      </x:c>
      <x:c r="N114" t="n">
        <x:v>3459.0676782568817</x:v>
      </x:c>
      <x:c r="O114" t="n">
        <x:v>8.707913237729814</x:v>
      </x:c>
      <x:c r="P114" t="n">
        <x:v>8.301762427816515</x:v>
      </x:c>
      <x:c r="Q114" t="n">
        <x:v>103.7699966430664</x:v>
      </x:c>
      <x:c r="R114" t="n">
        <x:v>-4.664157747386821</x:v>
      </x:c>
      <x:c r="S114" t="n">
        <x:v>-4.664157747386821</x:v>
      </x:c>
      <x:c r="T114" t="n">
        <x:v>-5.144157747386821</x:v>
      </x:c>
      <x:c r="U114" t="n">
        <x:f>YEAR(C114)</x:f>
        <x:v>2022</x:v>
      </x:c>
      <x:c r="V114" t="n">
        <x:f>YEAR(D114)</x:f>
        <x:v>2022</x:v>
      </x:c>
      <x:c r="W114" t="n">
        <x:f>N114-M114-O114-P114</x:f>
        <x:v>-186.2391797960874</x:v>
      </x:c>
      <x:c r="X114" t="str">
        <x:f>IF(T114&gt;1,"Ganador",IF(T114&lt;0,"Perdedor","Empate"))</x:f>
        <x:v>Perdedor</x:v>
      </x:c>
    </x:row>
    <x:row r="115">
      <x:c r="A115" t="str">
        <x:v>FSLR</x:v>
      </x:c>
      <x:c r="B115" t="n">
        <x:v>44799</x:v>
      </x:c>
      <x:c r="C115" t="n">
        <x:v>44802</x:v>
      </x:c>
      <x:c r="D115" t="n">
        <x:v>44837</x:v>
      </x:c>
      <x:c r="E115" t="n">
        <x:v>35</x:v>
      </x:c>
      <x:c r="F115" t="str">
        <x:v>enter_or_hold</x:v>
      </x:c>
      <x:c r="G115" t="str">
        <x:v>market_filter_failed</x:v>
      </x:c>
      <x:c r="H115" t="n">
        <x:v>4</x:v>
      </x:c>
      <x:c r="I115" t="n">
        <x:v>40.83943075391103</x:v>
      </x:c>
      <x:c r="J115" t="n">
        <x:v>29.815901960676257</x:v>
      </x:c>
      <x:c r="K115" t="n">
        <x:v>121.69000244140624</x:v>
      </x:c>
      <x:c r="L115" t="n">
        <x:v>136.6199951171875</x:v>
      </x:c>
      <x:c r="M115" t="n">
        <x:v>3628.2971823874227</x:v>
      </x:c>
      <x:c r="N115" t="n">
        <x:v>4073.4483802821314</x:v>
      </x:c>
      <x:c r="O115" t="n">
        <x:v>8.707913237729814</x:v>
      </x:c>
      <x:c r="P115" t="n">
        <x:v>9.776276112677115</x:v>
      </x:c>
      <x:c r="Q115" t="n">
        <x:v>121.69000244140624</x:v>
      </x:c>
      <x:c r="R115" t="n">
        <x:v>12.268873675937385</x:v>
      </x:c>
      <x:c r="S115" t="n">
        <x:v>12.268873675937385</x:v>
      </x:c>
      <x:c r="T115" t="n">
        <x:v>11.788873675937385</x:v>
      </x:c>
      <x:c r="U115" t="n">
        <x:f>YEAR(C115)</x:f>
        <x:v>2022</x:v>
      </x:c>
      <x:c r="V115" t="n">
        <x:f>YEAR(D115)</x:f>
        <x:v>2022</x:v>
      </x:c>
      <x:c r="W115" t="n">
        <x:f>N115-M115-O115-P115</x:f>
        <x:v>426.6670085443018</x:v>
      </x:c>
      <x:c r="X115" t="str">
        <x:f>IF(T115&gt;1,"Ganador",IF(T115&lt;0,"Perdedor","Empate"))</x:f>
        <x:v>Ganador</x:v>
      </x:c>
    </x:row>
    <x:row r="116">
      <x:c r="A116" t="str">
        <x:v>CAH</x:v>
      </x:c>
      <x:c r="B116" t="n">
        <x:v>44862</x:v>
      </x:c>
      <x:c r="C116" t="n">
        <x:v>44865</x:v>
      </x:c>
      <x:c r="D116" t="n">
        <x:v>44893</x:v>
      </x:c>
      <x:c r="E116" t="n">
        <x:v>28</x:v>
      </x:c>
      <x:c r="F116" t="str">
        <x:v>enter_or_hold</x:v>
      </x:c>
      <x:c r="G116" t="str">
        <x:v>left_top_n</x:v>
      </x:c>
      <x:c r="H116" t="n">
        <x:v>5</x:v>
      </x:c>
      <x:c r="I116" t="n">
        <x:v>33.534846484557335</x:v>
      </x:c>
      <x:c r="J116" t="n">
        <x:v>43.40139170067947</x:v>
      </x:c>
      <x:c r="K116" t="n">
        <x:v>75.9000015258789</x:v>
      </x:c>
      <x:c r="L116" t="n">
        <x:v>78.45999908447266</x:v>
      </x:c>
      <x:c r="M116" t="n">
        <x:v>3294.16569630684</x:v>
      </x:c>
      <x:c r="N116" t="n">
        <x:v>3405.2731531001505</x:v>
      </x:c>
      <x:c r="O116" t="n">
        <x:v>7.905997671136415</x:v>
      </x:c>
      <x:c r="P116" t="n">
        <x:v>8.17265556744036</x:v>
      </x:c>
      <x:c r="Q116" t="n">
        <x:v>75.9000015258789</x:v>
      </x:c>
      <x:c r="R116" t="n">
        <x:v>3.372855740616676</x:v>
      </x:c>
      <x:c r="S116" t="n">
        <x:v>3.372855740616676</x:v>
      </x:c>
      <x:c r="T116" t="n">
        <x:v>2.892855740616676</x:v>
      </x:c>
      <x:c r="U116" t="n">
        <x:f>YEAR(C116)</x:f>
        <x:v>2022</x:v>
      </x:c>
      <x:c r="V116" t="n">
        <x:f>YEAR(D116)</x:f>
        <x:v>2022</x:v>
      </x:c>
      <x:c r="W116" t="n">
        <x:f>N116-M116-O116-P116</x:f>
        <x:v>95.0288035547338</x:v>
      </x:c>
      <x:c r="X116" t="str">
        <x:f>IF(T116&gt;1,"Ganador",IF(T116&lt;0,"Perdedor","Empate"))</x:f>
        <x:v>Ganador</x:v>
      </x:c>
    </x:row>
    <x:row r="117">
      <x:c r="A117" t="str">
        <x:v>COP</x:v>
      </x:c>
      <x:c r="B117" t="n">
        <x:v>44862</x:v>
      </x:c>
      <x:c r="C117" t="n">
        <x:v>44865</x:v>
      </x:c>
      <x:c r="D117" t="n">
        <x:v>44893</x:v>
      </x:c>
      <x:c r="E117" t="n">
        <x:v>28</x:v>
      </x:c>
      <x:c r="F117" t="str">
        <x:v>enter_or_hold</x:v>
      </x:c>
      <x:c r="G117" t="str">
        <x:v>left_top_n</x:v>
      </x:c>
      <x:c r="H117" t="n">
        <x:v>6</x:v>
      </x:c>
      <x:c r="I117" t="n">
        <x:v>32.564613143604795</x:v>
      </x:c>
      <x:c r="J117" t="n">
        <x:v>26.12551187232391</x:v>
      </x:c>
      <x:c r="K117" t="n">
        <x:v>126.08999633789062</x:v>
      </x:c>
      <x:c r="L117" t="n">
        <x:v>123.83999633789062</x:v>
      </x:c>
      <x:c r="M117" t="n">
        <x:v>3294.16569630684</x:v>
      </x:c>
      <x:c r="N117" t="n">
        <x:v>3235.383294594111</x:v>
      </x:c>
      <x:c r="O117" t="n">
        <x:v>7.905997671136415</x:v>
      </x:c>
      <x:c r="P117" t="n">
        <x:v>7.764919907025865</x:v>
      </x:c>
      <x:c r="Q117" t="n">
        <x:v>126.08999633789062</x:v>
      </x:c>
      <x:c r="R117" t="n">
        <x:v>-1.7844397377651977</x:v>
      </x:c>
      <x:c r="S117" t="n">
        <x:v>-1.7844397377651977</x:v>
      </x:c>
      <x:c r="T117" t="n">
        <x:v>-2.2644397377651977</x:v>
      </x:c>
      <x:c r="U117" t="n">
        <x:f>YEAR(C117)</x:f>
        <x:v>2022</x:v>
      </x:c>
      <x:c r="V117" t="n">
        <x:f>YEAR(D117)</x:f>
        <x:v>2022</x:v>
      </x:c>
      <x:c r="W117" t="n">
        <x:f>N117-M117-O117-P117</x:f>
        <x:v>-74.45331929089139</x:v>
      </x:c>
      <x:c r="X117" t="str">
        <x:f>IF(T117&gt;1,"Ganador",IF(T117&lt;0,"Perdedor","Empate"))</x:f>
        <x:v>Perdedor</x:v>
      </x:c>
    </x:row>
    <x:row r="118">
      <x:c r="A118" t="str">
        <x:v>OXY</x:v>
      </x:c>
      <x:c r="B118" t="n">
        <x:v>44862</x:v>
      </x:c>
      <x:c r="C118" t="n">
        <x:v>44865</x:v>
      </x:c>
      <x:c r="D118" t="n">
        <x:v>44893</x:v>
      </x:c>
      <x:c r="E118" t="n">
        <x:v>28</x:v>
      </x:c>
      <x:c r="F118" t="str">
        <x:v>enter_or_hold</x:v>
      </x:c>
      <x:c r="G118" t="str">
        <x:v>left_top_n</x:v>
      </x:c>
      <x:c r="H118" t="n">
        <x:v>4</x:v>
      </x:c>
      <x:c r="I118" t="n">
        <x:v>34.496953793216754</x:v>
      </x:c>
      <x:c r="J118" t="n">
        <x:v>45.37418409837948</x:v>
      </x:c>
      <x:c r="K118" t="n">
        <x:v>72.5999984741211</x:v>
      </x:c>
      <x:c r="L118" t="n">
        <x:v>68.2300033569336</x:v>
      </x:c>
      <x:c r="M118" t="n">
        <x:v>3294.16569630684</x:v>
      </x:c>
      <x:c r="N118" t="n">
        <x:v>3095.8807333505547</x:v>
      </x:c>
      <x:c r="O118" t="n">
        <x:v>7.905997671136415</x:v>
      </x:c>
      <x:c r="P118" t="n">
        <x:v>7.430113760041331</x:v>
      </x:c>
      <x:c r="Q118" t="n">
        <x:v>72.5999984741211</x:v>
      </x:c>
      <x:c r="R118" t="n">
        <x:v>-6.01927714743028</x:v>
      </x:c>
      <x:c r="S118" t="n">
        <x:v>-6.01927714743028</x:v>
      </x:c>
      <x:c r="T118" t="n">
        <x:v>-6.499277147430281</x:v>
      </x:c>
      <x:c r="U118" t="n">
        <x:f>YEAR(C118)</x:f>
        <x:v>2022</x:v>
      </x:c>
      <x:c r="V118" t="n">
        <x:f>YEAR(D118)</x:f>
        <x:v>2022</x:v>
      </x:c>
      <x:c r="W118" t="n">
        <x:f>N118-M118-O118-P118</x:f>
        <x:v>-213.62107438746295</x:v>
      </x:c>
      <x:c r="X118" t="str">
        <x:f>IF(T118&gt;1,"Ganador",IF(T118&lt;0,"Perdedor","Empate"))</x:f>
        <x:v>Perdedor</x:v>
      </x:c>
    </x:row>
    <x:row r="119">
      <x:c r="A119" t="str">
        <x:v>FSLR</x:v>
      </x:c>
      <x:c r="B119" t="n">
        <x:v>44862</x:v>
      </x:c>
      <x:c r="C119" t="n">
        <x:v>44865</x:v>
      </x:c>
      <x:c r="D119" t="n">
        <x:v>44893</x:v>
      </x:c>
      <x:c r="E119" t="n">
        <x:v>28</x:v>
      </x:c>
      <x:c r="F119" t="str">
        <x:v>enter_or_hold</x:v>
      </x:c>
      <x:c r="G119" t="str">
        <x:v>rebalance_trim</x:v>
      </x:c>
      <x:c r="H119" t="n">
        <x:v>2</x:v>
      </x:c>
      <x:c r="I119" t="n">
        <x:v>45.28155424406712</x:v>
      </x:c>
      <x:c r="J119" t="n">
        <x:v>1.0737152074922376</x:v>
      </x:c>
      <x:c r="K119" t="n">
        <x:v>145.57000732421875</x:v>
      </x:c>
      <x:c r="L119" t="n">
        <x:v>165.6199951171875</x:v>
      </x:c>
      <x:c r="M119" t="n">
        <x:v>156.30073061877007</x:v>
      </x:c>
      <x:c r="N119" t="n">
        <x:v>177.82870742211435</x:v>
      </x:c>
      <x:c r="O119" t="n">
        <x:v>0.37512175348504817</x:v>
      </x:c>
      <x:c r="P119" t="n">
        <x:v>0.4267888978130744</x:v>
      </x:c>
      <x:c r="Q119" t="n">
        <x:v>145.57000732421875</x:v>
      </x:c>
      <x:c r="R119" t="n">
        <x:v>13.773433251475154</x:v>
      </x:c>
      <x:c r="S119" t="n">
        <x:v>13.773433251475154</x:v>
      </x:c>
      <x:c r="T119" t="n">
        <x:v>13.293433251475154</x:v>
      </x:c>
      <x:c r="U119" t="n">
        <x:f>YEAR(C119)</x:f>
        <x:v>2022</x:v>
      </x:c>
      <x:c r="V119" t="n">
        <x:f>YEAR(D119)</x:f>
        <x:v>2022</x:v>
      </x:c>
      <x:c r="W119" t="n">
        <x:f>N119-M119-O119-P119</x:f>
        <x:v>20.72606615204615</x:v>
      </x:c>
      <x:c r="X119" t="str">
        <x:f>IF(T119&gt;1,"Ganador",IF(T119&lt;0,"Perdedor","Empate"))</x:f>
        <x:v>Ganador</x:v>
      </x:c>
    </x:row>
    <x:row r="120">
      <x:c r="A120" t="str">
        <x:v>SMCI</x:v>
      </x:c>
      <x:c r="B120" t="n">
        <x:v>44862</x:v>
      </x:c>
      <x:c r="C120" t="n">
        <x:v>44865</x:v>
      </x:c>
      <x:c r="D120" t="n">
        <x:v>44893</x:v>
      </x:c>
      <x:c r="E120" t="n">
        <x:v>28</x:v>
      </x:c>
      <x:c r="F120" t="str">
        <x:v>enter_or_hold</x:v>
      </x:c>
      <x:c r="G120" t="str">
        <x:v>rebalance_trim</x:v>
      </x:c>
      <x:c r="H120" t="n">
        <x:v>3</x:v>
      </x:c>
      <x:c r="I120" t="n">
        <x:v>42.57489417466842</x:v>
      </x:c>
      <x:c r="J120" t="n">
        <x:v>87.41559816263567</x:v>
      </x:c>
      <x:c r="K120" t="n">
        <x:v>6.959000110626221</x:v>
      </x:c>
      <x:c r="L120" t="n">
        <x:v>9.25</x:v>
      </x:c>
      <x:c r="M120" t="n">
        <x:v>608.3251572842389</x:v>
      </x:c>
      <x:c r="N120" t="n">
        <x:v>808.59428300438</x:v>
      </x:c>
      <x:c r="O120" t="n">
        <x:v>1.4599803774821731</x:v>
      </x:c>
      <x:c r="P120" t="n">
        <x:v>1.940626279210512</x:v>
      </x:c>
      <x:c r="Q120" t="n">
        <x:v>6.959000110626221</x:v>
      </x:c>
      <x:c r="R120" t="n">
        <x:v>32.92139463937469</x:v>
      </x:c>
      <x:c r="S120" t="n">
        <x:v>32.92139463937469</x:v>
      </x:c>
      <x:c r="T120" t="n">
        <x:v>32.44139463937469</x:v>
      </x:c>
      <x:c r="U120" t="n">
        <x:f>YEAR(C120)</x:f>
        <x:v>2022</x:v>
      </x:c>
      <x:c r="V120" t="n">
        <x:f>YEAR(D120)</x:f>
        <x:v>2022</x:v>
      </x:c>
      <x:c r="W120" t="n">
        <x:f>N120-M120-O120-P120</x:f>
        <x:v>196.86851906344845</x:v>
      </x:c>
      <x:c r="X120" t="str">
        <x:f>IF(T120&gt;1,"Ganador",IF(T120&lt;0,"Perdedor","Empate"))</x:f>
        <x:v>Ganador</x:v>
      </x:c>
    </x:row>
    <x:row r="121">
      <x:c r="A121" t="str">
        <x:v>TPL</x:v>
      </x:c>
      <x:c r="B121" t="n">
        <x:v>44862</x:v>
      </x:c>
      <x:c r="C121" t="n">
        <x:v>44865</x:v>
      </x:c>
      <x:c r="D121" t="n">
        <x:v>44893</x:v>
      </x:c>
      <x:c r="E121" t="n">
        <x:v>28</x:v>
      </x:c>
      <x:c r="F121" t="str">
        <x:v>enter_or_hold</x:v>
      </x:c>
      <x:c r="G121" t="str">
        <x:v>rebalance_trim</x:v>
      </x:c>
      <x:c r="H121" t="n">
        <x:v>1</x:v>
      </x:c>
      <x:c r="I121" t="n">
        <x:v>56.440433926257526</x:v>
      </x:c>
      <x:c r="J121" t="n">
        <x:v>0.03801527760447847</x:v>
      </x:c>
      <x:c r="K121" t="n">
        <x:v>255.9855499267578</x:v>
      </x:c>
      <x:c r="L121" t="n">
        <x:v>278.2466735839844</x:v>
      </x:c>
      <x:c r="M121" t="n">
        <x:v>9.731361743200782</x:v>
      </x:c>
      <x:c r="N121" t="n">
        <x:v>10.577624538817872</x:v>
      </x:c>
      <x:c r="O121" t="n">
        <x:v>0.023355268183681874</x:v>
      </x:c>
      <x:c r="P121" t="n">
        <x:v>0.025386298893162892</x:v>
      </x:c>
      <x:c r="Q121" t="n">
        <x:v>255.9855499267578</x:v>
      </x:c>
      <x:c r="R121" t="n">
        <x:v>8.696242293205959</x:v>
      </x:c>
      <x:c r="S121" t="n">
        <x:v>8.696242293205959</x:v>
      </x:c>
      <x:c r="T121" t="n">
        <x:v>8.216242293205958</x:v>
      </x:c>
      <x:c r="U121" t="n">
        <x:f>YEAR(C121)</x:f>
        <x:v>2022</x:v>
      </x:c>
      <x:c r="V121" t="n">
        <x:f>YEAR(D121)</x:f>
        <x:v>2022</x:v>
      </x:c>
      <x:c r="W121" t="n">
        <x:f>N121-M121-O121-P121</x:f>
        <x:v>0.7975212285402451</x:v>
      </x:c>
      <x:c r="X121" t="str">
        <x:f>IF(T121&gt;1,"Ganador",IF(T121&lt;0,"Perdedor","Empate"))</x:f>
        <x:v>Ganador</x:v>
      </x:c>
    </x:row>
    <x:row r="122">
      <x:c r="A122" t="str">
        <x:v>FSLR</x:v>
      </x:c>
      <x:c r="B122" t="n">
        <x:v>44862</x:v>
      </x:c>
      <x:c r="C122" t="n">
        <x:v>44865</x:v>
      </x:c>
      <x:c r="D122" t="n">
        <x:v>44929</x:v>
      </x:c>
      <x:c r="E122" t="n">
        <x:v>64</x:v>
      </x:c>
      <x:c r="F122" t="str">
        <x:v>enter_or_hold</x:v>
      </x:c>
      <x:c r="G122" t="str">
        <x:v>market_filter_failed</x:v>
      </x:c>
      <x:c r="H122" t="n">
        <x:v>2</x:v>
      </x:c>
      <x:c r="I122" t="n">
        <x:v>45.28155424406712</x:v>
      </x:c>
      <x:c r="J122" t="n">
        <x:v>21.555710708314415</x:v>
      </x:c>
      <x:c r="K122" t="n">
        <x:v>145.57000732421875</x:v>
      </x:c>
      <x:c r="L122" t="n">
        <x:v>145.94000244140625</x:v>
      </x:c>
      <x:c r="M122" t="n">
        <x:v>3137.86496568807</x:v>
      </x:c>
      <x:c r="N122" t="n">
        <x:v>3145.8404733976527</x:v>
      </x:c>
      <x:c r="O122" t="n">
        <x:v>7.530875917651366</x:v>
      </x:c>
      <x:c r="P122" t="n">
        <x:v>7.5500171361543655</x:v>
      </x:c>
      <x:c r="Q122" t="n">
        <x:v>145.57000732421875</x:v>
      </x:c>
      <x:c r="R122" t="n">
        <x:v>0.25416988292337184</x:v>
      </x:c>
      <x:c r="S122" t="n">
        <x:v>0.25416988292337184</x:v>
      </x:c>
      <x:c r="T122" t="n">
        <x:v>-0.22583011707662815</x:v>
      </x:c>
      <x:c r="U122" t="n">
        <x:f>YEAR(C122)</x:f>
        <x:v>2022</x:v>
      </x:c>
      <x:c r="V122" t="n">
        <x:f>YEAR(D122)</x:f>
        <x:v>2023</x:v>
      </x:c>
      <x:c r="W122" t="n">
        <x:f>N122-M122-O122-P122</x:f>
        <x:v>-7.105385344222861</x:v>
      </x:c>
      <x:c r="X122" t="str">
        <x:f>IF(T122&gt;1,"Ganador",IF(T122&lt;0,"Perdedor","Empate"))</x:f>
        <x:v>Perdedor</x:v>
      </x:c>
    </x:row>
    <x:row r="123">
      <x:c r="A123" t="str">
        <x:v>SMCI</x:v>
      </x:c>
      <x:c r="B123" t="n">
        <x:v>44862</x:v>
      </x:c>
      <x:c r="C123" t="n">
        <x:v>44865</x:v>
      </x:c>
      <x:c r="D123" t="n">
        <x:v>44929</x:v>
      </x:c>
      <x:c r="E123" t="n">
        <x:v>64</x:v>
      </x:c>
      <x:c r="F123" t="str">
        <x:v>enter_or_hold</x:v>
      </x:c>
      <x:c r="G123" t="str">
        <x:v>market_filter_failed</x:v>
      </x:c>
      <x:c r="H123" t="n">
        <x:v>3</x:v>
      </x:c>
      <x:c r="I123" t="n">
        <x:v>42.57489417466842</x:v>
      </x:c>
      <x:c r="J123" t="n">
        <x:v>385.9520759198422</x:v>
      </x:c>
      <x:c r="K123" t="n">
        <x:v>6.959000110626221</x:v>
      </x:c>
      <x:c r="L123" t="n">
        <x:v>8.38599967956543</x:v>
      </x:c>
      <x:c r="M123" t="n">
        <x:v>2685.8405390226008</x:v>
      </x:c>
      <x:c r="N123" t="n">
        <x:v>3236.593984991409</x:v>
      </x:c>
      <x:c r="O123" t="n">
        <x:v>6.446017293654242</x:v>
      </x:c>
      <x:c r="P123" t="n">
        <x:v>7.767825563979381</x:v>
      </x:c>
      <x:c r="Q123" t="n">
        <x:v>6.959000110626221</x:v>
      </x:c>
      <x:c r="R123" t="n">
        <x:v>20.50581328142553</x:v>
      </x:c>
      <x:c r="S123" t="n">
        <x:v>20.50581328142553</x:v>
      </x:c>
      <x:c r="T123" t="n">
        <x:v>20.02581328142553</x:v>
      </x:c>
      <x:c r="U123" t="n">
        <x:f>YEAR(C123)</x:f>
        <x:v>2022</x:v>
      </x:c>
      <x:c r="V123" t="n">
        <x:f>YEAR(D123)</x:f>
        <x:v>2023</x:v>
      </x:c>
      <x:c r="W123" t="n">
        <x:f>N123-M123-O123-P123</x:f>
        <x:v>536.5396031111745</x:v>
      </x:c>
      <x:c r="X123" t="str">
        <x:f>IF(T123&gt;1,"Ganador",IF(T123&lt;0,"Perdedor","Empate"))</x:f>
        <x:v>Ganador</x:v>
      </x:c>
    </x:row>
    <x:row r="124">
      <x:c r="A124" t="str">
        <x:v>TPL</x:v>
      </x:c>
      <x:c r="B124" t="n">
        <x:v>44862</x:v>
      </x:c>
      <x:c r="C124" t="n">
        <x:v>44865</x:v>
      </x:c>
      <x:c r="D124" t="n">
        <x:v>44929</x:v>
      </x:c>
      <x:c r="E124" t="n">
        <x:v>64</x:v>
      </x:c>
      <x:c r="F124" t="str">
        <x:v>enter_or_hold</x:v>
      </x:c>
      <x:c r="G124" t="str">
        <x:v>market_filter_failed</x:v>
      </x:c>
      <x:c r="H124" t="n">
        <x:v>1</x:v>
      </x:c>
      <x:c r="I124" t="n">
        <x:v>56.440433926257526</x:v>
      </x:c>
      <x:c r="J124" t="n">
        <x:v>12.830545847229956</x:v>
      </x:c>
      <x:c r="K124" t="n">
        <x:v>255.9855499267578</x:v>
      </x:c>
      <x:c r="L124" t="n">
        <x:v>233.6233367919922</x:v>
      </x:c>
      <x:c r="M124" t="n">
        <x:v>3284.434334563639</x:v>
      </x:c>
      <x:c r="N124" t="n">
        <x:v>2997.514933692501</x:v>
      </x:c>
      <x:c r="O124" t="n">
        <x:v>7.882642402952733</x:v>
      </x:c>
      <x:c r="P124" t="n">
        <x:v>7.194035840862002</x:v>
      </x:c>
      <x:c r="Q124" t="n">
        <x:v>255.9855499267578</x:v>
      </x:c>
      <x:c r="R124" t="n">
        <x:v>-8.73573259942363</x:v>
      </x:c>
      <x:c r="S124" t="n">
        <x:v>-8.73573259942363</x:v>
      </x:c>
      <x:c r="T124" t="n">
        <x:v>-9.21573259942363</x:v>
      </x:c>
      <x:c r="U124" t="n">
        <x:f>YEAR(C124)</x:f>
        <x:v>2022</x:v>
      </x:c>
      <x:c r="V124" t="n">
        <x:f>YEAR(D124)</x:f>
        <x:v>2023</x:v>
      </x:c>
      <x:c r="W124" t="n">
        <x:f>N124-M124-O124-P124</x:f>
        <x:v>-301.99607911495264</x:v>
      </x:c>
      <x:c r="X124" t="str">
        <x:f>IF(T124&gt;1,"Ganador",IF(T124&lt;0,"Perdedor","Empate"))</x:f>
        <x:v>Perdedor</x:v>
      </x:c>
    </x:row>
    <x:row r="125">
      <x:c r="A125" t="str">
        <x:v>AXON</x:v>
      </x:c>
      <x:c r="B125" t="n">
        <x:v>44890</x:v>
      </x:c>
      <x:c r="C125" t="n">
        <x:v>44893</x:v>
      </x:c>
      <x:c r="D125" t="n">
        <x:v>44929</x:v>
      </x:c>
      <x:c r="E125" t="n">
        <x:v>36</x:v>
      </x:c>
      <x:c r="F125" t="str">
        <x:v>enter_or_hold</x:v>
      </x:c>
      <x:c r="G125" t="str">
        <x:v>market_filter_failed</x:v>
      </x:c>
      <x:c r="H125" t="n">
        <x:v>4</x:v>
      </x:c>
      <x:c r="I125" t="n">
        <x:v>48.36750350239984</x:v>
      </x:c>
      <x:c r="J125" t="n">
        <x:v>19.358015343974515</x:v>
      </x:c>
      <x:c r="K125" t="n">
        <x:v>183.94000244140625</x:v>
      </x:c>
      <x:c r="L125" t="n">
        <x:v>168.24000549316406</x:v>
      </x:c>
      <x:c r="M125" t="n">
        <x:v>3560.7133896314517</x:v>
      </x:c>
      <x:c r="N125" t="n">
        <x:v>3256.7926078070263</x:v>
      </x:c>
      <x:c r="O125" t="n">
        <x:v>8.545712135115483</x:v>
      </x:c>
      <x:c r="P125" t="n">
        <x:v>7.8163022587368625</x:v>
      </x:c>
      <x:c r="Q125" t="n">
        <x:v>183.94000244140625</x:v>
      </x:c>
      <x:c r="R125" t="n">
        <x:v>-8.535390203250316</x:v>
      </x:c>
      <x:c r="S125" t="n">
        <x:v>-8.535390203250316</x:v>
      </x:c>
      <x:c r="T125" t="n">
        <x:v>-9.015390203250316</x:v>
      </x:c>
      <x:c r="U125" t="n">
        <x:f>YEAR(C125)</x:f>
        <x:v>2022</x:v>
      </x:c>
      <x:c r="V125" t="n">
        <x:f>YEAR(D125)</x:f>
        <x:v>2023</x:v>
      </x:c>
      <x:c r="W125" t="n">
        <x:f>N125-M125-O125-P125</x:f>
        <x:v>-320.2827962182777</x:v>
      </x:c>
      <x:c r="X125" t="str">
        <x:f>IF(T125&gt;1,"Ganador",IF(T125&lt;0,"Perdedor","Empate"))</x:f>
        <x:v>Perdedor</x:v>
      </x:c>
    </x:row>
    <x:row r="126">
      <x:c r="A126" t="str">
        <x:v>BIIB</x:v>
      </x:c>
      <x:c r="B126" t="n">
        <x:v>44890</x:v>
      </x:c>
      <x:c r="C126" t="n">
        <x:v>44893</x:v>
      </x:c>
      <x:c r="D126" t="n">
        <x:v>44929</x:v>
      </x:c>
      <x:c r="E126" t="n">
        <x:v>36</x:v>
      </x:c>
      <x:c r="F126" t="str">
        <x:v>enter_or_hold</x:v>
      </x:c>
      <x:c r="G126" t="str">
        <x:v>market_filter_failed</x:v>
      </x:c>
      <x:c r="H126" t="n">
        <x:v>6</x:v>
      </x:c>
      <x:c r="I126" t="n">
        <x:v>35.774356069158195</x:v>
      </x:c>
      <x:c r="J126" t="n">
        <x:v>12.198401726908486</x:v>
      </x:c>
      <x:c r="K126" t="n">
        <x:v>291.8999938964844</x:v>
      </x:c>
      <x:c r="L126" t="n">
        <x:v>272.6300048828125</x:v>
      </x:c>
      <x:c r="M126" t="n">
        <x:v>3560.7133896314517</x:v>
      </x:c>
      <x:c r="N126" t="n">
        <x:v>3325.650322369569</x:v>
      </x:c>
      <x:c r="O126" t="n">
        <x:v>8.545712135115483</x:v>
      </x:c>
      <x:c r="P126" t="n">
        <x:v>7.981560773686965</x:v>
      </x:c>
      <x:c r="Q126" t="n">
        <x:v>291.8999938964844</x:v>
      </x:c>
      <x:c r="R126" t="n">
        <x:v>-6.601572256457644</x:v>
      </x:c>
      <x:c r="S126" t="n">
        <x:v>-6.601572256457644</x:v>
      </x:c>
      <x:c r="T126" t="n">
        <x:v>-7.081572256457644</x:v>
      </x:c>
      <x:c r="U126" t="n">
        <x:f>YEAR(C126)</x:f>
        <x:v>2022</x:v>
      </x:c>
      <x:c r="V126" t="n">
        <x:f>YEAR(D126)</x:f>
        <x:v>2023</x:v>
      </x:c>
      <x:c r="W126" t="n">
        <x:f>N126-M126-O126-P126</x:f>
        <x:v>-251.59034017068512</x:v>
      </x:c>
      <x:c r="X126" t="str">
        <x:f>IF(T126&gt;1,"Ganador",IF(T126&lt;0,"Perdedor","Empate"))</x:f>
        <x:v>Perdedor</x:v>
      </x:c>
    </x:row>
    <x:row r="127">
      <x:c r="A127" t="str">
        <x:v>STLD</x:v>
      </x:c>
      <x:c r="B127" t="n">
        <x:v>44890</x:v>
      </x:c>
      <x:c r="C127" t="n">
        <x:v>44893</x:v>
      </x:c>
      <x:c r="D127" t="n">
        <x:v>44929</x:v>
      </x:c>
      <x:c r="E127" t="n">
        <x:v>36</x:v>
      </x:c>
      <x:c r="F127" t="str">
        <x:v>enter_or_hold</x:v>
      </x:c>
      <x:c r="G127" t="str">
        <x:v>market_filter_failed</x:v>
      </x:c>
      <x:c r="H127" t="n">
        <x:v>5</x:v>
      </x:c>
      <x:c r="I127" t="n">
        <x:v>36.71028636347573</x:v>
      </x:c>
      <x:c r="J127" t="n">
        <x:v>34.610356577484794</x:v>
      </x:c>
      <x:c r="K127" t="n">
        <x:v>102.87999725341795</x:v>
      </x:c>
      <x:c r="L127" t="n">
        <x:v>95.16999816894533</x:v>
      </x:c>
      <x:c r="M127" t="n">
        <x:v>3560.7133896314517</x:v>
      </x:c>
      <x:c r="N127" t="n">
        <x:v>3293.8675721057725</x:v>
      </x:c>
      <x:c r="O127" t="n">
        <x:v>8.545712135115483</x:v>
      </x:c>
      <x:c r="P127" t="n">
        <x:v>7.905282173053854</x:v>
      </x:c>
      <x:c r="Q127" t="n">
        <x:v>102.87999725341795</x:v>
      </x:c>
      <x:c r="R127" t="n">
        <x:v>-7.494167272848051</x:v>
      </x:c>
      <x:c r="S127" t="n">
        <x:v>-7.494167272848051</x:v>
      </x:c>
      <x:c r="T127" t="n">
        <x:v>-7.974167272848051</x:v>
      </x:c>
      <x:c r="U127" t="n">
        <x:f>YEAR(C127)</x:f>
        <x:v>2022</x:v>
      </x:c>
      <x:c r="V127" t="n">
        <x:f>YEAR(D127)</x:f>
        <x:v>2023</x:v>
      </x:c>
      <x:c r="W127" t="n">
        <x:f>N127-M127-O127-P127</x:f>
        <x:v>-283.29681183384855</x:v>
      </x:c>
      <x:c r="X127" t="str">
        <x:f>IF(T127&gt;1,"Ganador",IF(T127&lt;0,"Perdedor","Empate"))</x:f>
        <x:v>Perdedor</x:v>
      </x:c>
    </x:row>
    <x:row r="128">
      <x:c r="A128" t="str">
        <x:v>AXON</x:v>
      </x:c>
      <x:c r="B128" t="n">
        <x:v>44953</x:v>
      </x:c>
      <x:c r="C128" t="n">
        <x:v>44956</x:v>
      </x:c>
      <x:c r="D128" t="n">
        <x:v>44984</x:v>
      </x:c>
      <x:c r="E128" t="n">
        <x:v>28</x:v>
      </x:c>
      <x:c r="F128" t="str">
        <x:v>enter_or_hold</x:v>
      </x:c>
      <x:c r="G128" t="str">
        <x:v>market_filter_failed</x:v>
      </x:c>
      <x:c r="H128" t="n">
        <x:v>3</x:v>
      </x:c>
      <x:c r="I128" t="n">
        <x:v>44.8874270656674</x:v>
      </x:c>
      <x:c r="J128" t="n">
        <x:v>16.682379675339405</x:v>
      </x:c>
      <x:c r="K128" t="n">
        <x:v>191.4600067138672</x:v>
      </x:c>
      <x:c r="L128" t="n">
        <x:v>194.97000122070312</x:v>
      </x:c>
      <x:c r="M128" t="n">
        <x:v>3194.0085246437643</x:v>
      </x:c>
      <x:c r="N128" t="n">
        <x:v>3252.5635856651566</x:v>
      </x:c>
      <x:c r="O128" t="n">
        <x:v>7.665620459145034</x:v>
      </x:c>
      <x:c r="P128" t="n">
        <x:v>7.806152605596375</x:v>
      </x:c>
      <x:c r="Q128" t="n">
        <x:v>191.4600067138672</x:v>
      </x:c>
      <x:c r="R128" t="n">
        <x:v>1.8332781697232292</x:v>
      </x:c>
      <x:c r="S128" t="n">
        <x:v>1.8332781697232292</x:v>
      </x:c>
      <x:c r="T128" t="n">
        <x:v>1.3532781697232292</x:v>
      </x:c>
      <x:c r="U128" t="n">
        <x:f>YEAR(C128)</x:f>
        <x:v>2023</x:v>
      </x:c>
      <x:c r="V128" t="n">
        <x:f>YEAR(D128)</x:f>
        <x:v>2023</x:v>
      </x:c>
      <x:c r="W128" t="n">
        <x:f>N128-M128-O128-P128</x:f>
        <x:v>43.08328795665084</x:v>
      </x:c>
      <x:c r="X128" t="str">
        <x:f>IF(T128&gt;1,"Ganador",IF(T128&lt;0,"Perdedor","Empate"))</x:f>
        <x:v>Ganador</x:v>
      </x:c>
    </x:row>
    <x:row r="129">
      <x:c r="A129" t="str">
        <x:v>FICO</x:v>
      </x:c>
      <x:c r="B129" t="n">
        <x:v>44953</x:v>
      </x:c>
      <x:c r="C129" t="n">
        <x:v>44956</x:v>
      </x:c>
      <x:c r="D129" t="n">
        <x:v>44984</x:v>
      </x:c>
      <x:c r="E129" t="n">
        <x:v>28</x:v>
      </x:c>
      <x:c r="F129" t="str">
        <x:v>enter_or_hold</x:v>
      </x:c>
      <x:c r="G129" t="str">
        <x:v>market_filter_failed</x:v>
      </x:c>
      <x:c r="H129" t="n">
        <x:v>5</x:v>
      </x:c>
      <x:c r="I129" t="n">
        <x:v>38.033929152495325</x:v>
      </x:c>
      <x:c r="J129" t="n">
        <x:v>4.957484912468102</x:v>
      </x:c>
      <x:c r="K129" t="n">
        <x:v>644.280029296875</x:v>
      </x:c>
      <x:c r="L129" t="n">
        <x:v>670.4099731445312</x:v>
      </x:c>
      <x:c r="M129" t="n">
        <x:v>3194.0085246437643</x:v>
      </x:c>
      <x:c r="N129" t="n">
        <x:v>3323.547327032159</x:v>
      </x:c>
      <x:c r="O129" t="n">
        <x:v>7.665620459145034</x:v>
      </x:c>
      <x:c r="P129" t="n">
        <x:v>7.976513584877181</x:v>
      </x:c>
      <x:c r="Q129" t="n">
        <x:v>644.280029296875</x:v>
      </x:c>
      <x:c r="R129" t="n">
        <x:v>4.055681172699521</x:v>
      </x:c>
      <x:c r="S129" t="n">
        <x:v>4.055681172699521</x:v>
      </x:c>
      <x:c r="T129" t="n">
        <x:v>3.5756811726995212</x:v>
      </x:c>
      <x:c r="U129" t="n">
        <x:f>YEAR(C129)</x:f>
        <x:v>2023</x:v>
      </x:c>
      <x:c r="V129" t="n">
        <x:f>YEAR(D129)</x:f>
        <x:v>2023</x:v>
      </x:c>
      <x:c r="W129" t="n">
        <x:f>N129-M129-O129-P129</x:f>
        <x:v>113.89666834437253</x:v>
      </x:c>
      <x:c r="X129" t="str">
        <x:f>IF(T129&gt;1,"Ganador",IF(T129&lt;0,"Perdedor","Empate"))</x:f>
        <x:v>Ganador</x:v>
      </x:c>
    </x:row>
    <x:row r="130">
      <x:c r="A130" t="str">
        <x:v>FSLR</x:v>
      </x:c>
      <x:c r="B130" t="n">
        <x:v>44953</x:v>
      </x:c>
      <x:c r="C130" t="n">
        <x:v>44956</x:v>
      </x:c>
      <x:c r="D130" t="n">
        <x:v>44984</x:v>
      </x:c>
      <x:c r="E130" t="n">
        <x:v>28</x:v>
      </x:c>
      <x:c r="F130" t="str">
        <x:v>enter_or_hold</x:v>
      </x:c>
      <x:c r="G130" t="str">
        <x:v>market_filter_failed</x:v>
      </x:c>
      <x:c r="H130" t="n">
        <x:v>1</x:v>
      </x:c>
      <x:c r="I130" t="n">
        <x:v>65.55835742838447</x:v>
      </x:c>
      <x:c r="J130" t="n">
        <x:v>18.70247422106765</x:v>
      </x:c>
      <x:c r="K130" t="n">
        <x:v>170.77999877929688</x:v>
      </x:c>
      <x:c r="L130" t="n">
        <x:v>166.11000061035156</x:v>
      </x:c>
      <x:c r="M130" t="n">
        <x:v>3194.0085246437643</x:v>
      </x:c>
      <x:c r="N130" t="n">
        <x:v>3106.6680042766316</x:v>
      </x:c>
      <x:c r="O130" t="n">
        <x:v>7.665620459145034</x:v>
      </x:c>
      <x:c r="P130" t="n">
        <x:v>7.456003210263915</x:v>
      </x:c>
      <x:c r="Q130" t="n">
        <x:v>170.77999877929688</x:v>
      </x:c>
      <x:c r="R130" t="n">
        <x:v>-2.7345111853411264</x:v>
      </x:c>
      <x:c r="S130" t="n">
        <x:v>-2.7345111853411264</x:v>
      </x:c>
      <x:c r="T130" t="n">
        <x:v>-3.2145111853411263</x:v>
      </x:c>
      <x:c r="U130" t="n">
        <x:f>YEAR(C130)</x:f>
        <x:v>2023</x:v>
      </x:c>
      <x:c r="V130" t="n">
        <x:f>YEAR(D130)</x:f>
        <x:v>2023</x:v>
      </x:c>
      <x:c r="W130" t="n">
        <x:f>N130-M130-O130-P130</x:f>
        <x:v>-102.46214403654169</x:v>
      </x:c>
      <x:c r="X130" t="str">
        <x:f>IF(T130&gt;1,"Ganador",IF(T130&lt;0,"Perdedor","Empate"))</x:f>
        <x:v>Perdedor</x:v>
      </x:c>
    </x:row>
    <x:row r="131">
      <x:c r="A131" t="str">
        <x:v>LVS</x:v>
      </x:c>
      <x:c r="B131" t="n">
        <x:v>44953</x:v>
      </x:c>
      <x:c r="C131" t="n">
        <x:v>44956</x:v>
      </x:c>
      <x:c r="D131" t="n">
        <x:v>44984</x:v>
      </x:c>
      <x:c r="E131" t="n">
        <x:v>28</x:v>
      </x:c>
      <x:c r="F131" t="str">
        <x:v>enter_or_hold</x:v>
      </x:c>
      <x:c r="G131" t="str">
        <x:v>market_filter_failed</x:v>
      </x:c>
      <x:c r="H131" t="n">
        <x:v>2</x:v>
      </x:c>
      <x:c r="I131" t="n">
        <x:v>46.43126417984573</x:v>
      </x:c>
      <x:c r="J131" t="n">
        <x:v>55.18328378890218</x:v>
      </x:c>
      <x:c r="K131" t="n">
        <x:v>57.880001068115234</x:v>
      </x:c>
      <x:c r="L131" t="n">
        <x:v>56.02000045776367</x:v>
      </x:c>
      <x:c r="M131" t="n">
        <x:v>3194.0085246437643</x:v>
      </x:c>
      <x:c r="N131" t="n">
        <x:v>3091.3675831152027</x:v>
      </x:c>
      <x:c r="O131" t="n">
        <x:v>7.665620459145034</x:v>
      </x:c>
      <x:c r="P131" t="n">
        <x:v>7.419282199476486</x:v>
      </x:c>
      <x:c r="Q131" t="n">
        <x:v>57.880001068115234</x:v>
      </x:c>
      <x:c r="R131" t="n">
        <x:v>-3.2135462612771004</x:v>
      </x:c>
      <x:c r="S131" t="n">
        <x:v>-3.2135462612771004</x:v>
      </x:c>
      <x:c r="T131" t="n">
        <x:v>-3.6935462612771004</x:v>
      </x:c>
      <x:c r="U131" t="n">
        <x:f>YEAR(C131)</x:f>
        <x:v>2023</x:v>
      </x:c>
      <x:c r="V131" t="n">
        <x:f>YEAR(D131)</x:f>
        <x:v>2023</x:v>
      </x:c>
      <x:c r="W131" t="n">
        <x:f>N131-M131-O131-P131</x:f>
        <x:v>-117.72584418718311</x:v>
      </x:c>
      <x:c r="X131" t="str">
        <x:f>IF(T131&gt;1,"Ganador",IF(T131&lt;0,"Perdedor","Empate"))</x:f>
        <x:v>Perdedor</x:v>
      </x:c>
    </x:row>
    <x:row r="132">
      <x:c r="A132" t="str">
        <x:v>STLD</x:v>
      </x:c>
      <x:c r="B132" t="n">
        <x:v>44953</x:v>
      </x:c>
      <x:c r="C132" t="n">
        <x:v>44956</x:v>
      </x:c>
      <x:c r="D132" t="n">
        <x:v>44984</x:v>
      </x:c>
      <x:c r="E132" t="n">
        <x:v>28</x:v>
      </x:c>
      <x:c r="F132" t="str">
        <x:v>enter_or_hold</x:v>
      </x:c>
      <x:c r="G132" t="str">
        <x:v>market_filter_failed</x:v>
      </x:c>
      <x:c r="H132" t="n">
        <x:v>4</x:v>
      </x:c>
      <x:c r="I132" t="n">
        <x:v>41.257032902913934</x:v>
      </x:c>
      <x:c r="J132" t="n">
        <x:v>26.820124467730235</x:v>
      </x:c>
      <x:c r="K132" t="n">
        <x:v>119.08999633789062</x:v>
      </x:c>
      <x:c r="L132" t="n">
        <x:v>121.33999633789062</x:v>
      </x:c>
      <x:c r="M132" t="n">
        <x:v>3194.0085246437643</x:v>
      </x:c>
      <x:c r="N132" t="n">
        <x:v>3254.3538046961576</x:v>
      </x:c>
      <x:c r="O132" t="n">
        <x:v>7.665620459145034</x:v>
      </x:c>
      <x:c r="P132" t="n">
        <x:v>7.810449131270778</x:v>
      </x:c>
      <x:c r="Q132" t="n">
        <x:v>119.08999633789062</x:v>
      </x:c>
      <x:c r="R132" t="n">
        <x:v>1.8893274575440655</x:v>
      </x:c>
      <x:c r="S132" t="n">
        <x:v>1.8893274575440655</x:v>
      </x:c>
      <x:c r="T132" t="n">
        <x:v>1.4093274575440655</x:v>
      </x:c>
      <x:c r="U132" t="n">
        <x:f>YEAR(C132)</x:f>
        <x:v>2023</x:v>
      </x:c>
      <x:c r="V132" t="n">
        <x:f>YEAR(D132)</x:f>
        <x:v>2023</x:v>
      </x:c>
      <x:c r="W132" t="n">
        <x:f>N132-M132-O132-P132</x:f>
        <x:v>44.86921046197745</x:v>
      </x:c>
      <x:c r="X132" t="str">
        <x:f>IF(T132&gt;1,"Ganador",IF(T132&lt;0,"Perdedor","Empate"))</x:f>
        <x:v>Ganador</x:v>
      </x:c>
    </x:row>
    <x:row r="133">
      <x:c r="A133" t="str">
        <x:v>URI</x:v>
      </x:c>
      <x:c r="B133" t="n">
        <x:v>44953</x:v>
      </x:c>
      <x:c r="C133" t="n">
        <x:v>44956</x:v>
      </x:c>
      <x:c r="D133" t="n">
        <x:v>44984</x:v>
      </x:c>
      <x:c r="E133" t="n">
        <x:v>28</x:v>
      </x:c>
      <x:c r="F133" t="str">
        <x:v>enter_or_hold</x:v>
      </x:c>
      <x:c r="G133" t="str">
        <x:v>market_filter_failed</x:v>
      </x:c>
      <x:c r="H133" t="n">
        <x:v>6</x:v>
      </x:c>
      <x:c r="I133" t="n">
        <x:v>37.66834301673785</x:v>
      </x:c>
      <x:c r="J133" t="n">
        <x:v>7.4445470376437894</x:v>
      </x:c>
      <x:c r="K133" t="n">
        <x:v>429.0400085449219</x:v>
      </x:c>
      <x:c r="L133" t="n">
        <x:v>463.260009765625</x:v>
      </x:c>
      <x:c r="M133" t="n">
        <x:v>3194.0085246437643</x:v>
      </x:c>
      <x:c r="N133" t="n">
        <x:v>3448.7609333595165</x:v>
      </x:c>
      <x:c r="O133" t="n">
        <x:v>7.665620459145034</x:v>
      </x:c>
      <x:c r="P133" t="n">
        <x:v>8.277026240062838</x:v>
      </x:c>
      <x:c r="Q133" t="n">
        <x:v>429.0400085449219</x:v>
      </x:c>
      <x:c r="R133" t="n">
        <x:v>7.9759464243811085</x:v>
      </x:c>
      <x:c r="S133" t="n">
        <x:v>7.9759464243811085</x:v>
      </x:c>
      <x:c r="T133" t="n">
        <x:v>7.495946424381108</x:v>
      </x:c>
      <x:c r="U133" t="n">
        <x:f>YEAR(C133)</x:f>
        <x:v>2023</x:v>
      </x:c>
      <x:c r="V133" t="n">
        <x:f>YEAR(D133)</x:f>
        <x:v>2023</x:v>
      </x:c>
      <x:c r="W133" t="n">
        <x:f>N133-M133-O133-P133</x:f>
        <x:v>238.80976201654428</x:v>
      </x:c>
      <x:c r="X133" t="str">
        <x:f>IF(T133&gt;1,"Ganador",IF(T133&lt;0,"Perdedor","Empate"))</x:f>
        <x:v>Ganador</x:v>
      </x:c>
    </x:row>
    <x:row r="134">
      <x:c r="A134" t="str">
        <x:v>AXON</x:v>
      </x:c>
      <x:c r="B134" t="n">
        <x:v>45016</x:v>
      </x:c>
      <x:c r="C134" t="n">
        <x:v>45019</x:v>
      </x:c>
      <x:c r="D134" t="n">
        <x:v>45047</x:v>
      </x:c>
      <x:c r="E134" t="n">
        <x:v>28</x:v>
      </x:c>
      <x:c r="F134" t="str">
        <x:v>enter_or_hold</x:v>
      </x:c>
      <x:c r="G134" t="str">
        <x:v>left_top_n</x:v>
      </x:c>
      <x:c r="H134" t="n">
        <x:v>4</x:v>
      </x:c>
      <x:c r="I134" t="n">
        <x:v>55.56309897841128</x:v>
      </x:c>
      <x:c r="J134" t="n">
        <x:v>14.207598015936629</x:v>
      </x:c>
      <x:c r="K134" t="n">
        <x:v>227.38999938964844</x:v>
      </x:c>
      <x:c r="L134" t="n">
        <x:v>216</x:v>
      </x:c>
      <x:c r="M134" t="n">
        <x:v>3230.6657041722005</x:v>
      </x:c>
      <x:c r="N134" t="n">
        <x:v>3068.841171442312</x:v>
      </x:c>
      <x:c r="O134" t="n">
        <x:v>7.75359769001328</x:v>
      </x:c>
      <x:c r="P134" t="n">
        <x:v>7.365218811461548</x:v>
      </x:c>
      <x:c r="Q134" t="n">
        <x:v>227.38999938964844</x:v>
      </x:c>
      <x:c r="R134" t="n">
        <x:v>-5.009015093109214</x:v>
      </x:c>
      <x:c r="S134" t="n">
        <x:v>-5.009015093109214</x:v>
      </x:c>
      <x:c r="T134" t="n">
        <x:v>-5.489015093109215</x:v>
      </x:c>
      <x:c r="U134" t="n">
        <x:f>YEAR(C134)</x:f>
        <x:v>2023</x:v>
      </x:c>
      <x:c r="V134" t="n">
        <x:f>YEAR(D134)</x:f>
        <x:v>2023</x:v>
      </x:c>
      <x:c r="W134" t="n">
        <x:f>N134-M134-O134-P134</x:f>
        <x:v>-176.94334923136353</x:v>
      </x:c>
      <x:c r="X134" t="str">
        <x:f>IF(T134&gt;1,"Ganador",IF(T134&lt;0,"Perdedor","Empate"))</x:f>
        <x:v>Perdedor</x:v>
      </x:c>
    </x:row>
    <x:row r="135">
      <x:c r="A135" t="str">
        <x:v>FICO</x:v>
      </x:c>
      <x:c r="B135" t="n">
        <x:v>45016</x:v>
      </x:c>
      <x:c r="C135" t="n">
        <x:v>45019</x:v>
      </x:c>
      <x:c r="D135" t="n">
        <x:v>45047</x:v>
      </x:c>
      <x:c r="E135" t="n">
        <x:v>28</x:v>
      </x:c>
      <x:c r="F135" t="str">
        <x:v>enter_or_hold</x:v>
      </x:c>
      <x:c r="G135" t="str">
        <x:v>left_top_n</x:v>
      </x:c>
      <x:c r="H135" t="n">
        <x:v>6</x:v>
      </x:c>
      <x:c r="I135" t="n">
        <x:v>36.94329101732114</x:v>
      </x:c>
      <x:c r="J135" t="n">
        <x:v>4.683209988406588</x:v>
      </x:c>
      <x:c r="K135" t="n">
        <x:v>689.8400268554688</x:v>
      </x:c>
      <x:c r="L135" t="n">
        <x:v>745.989990234375</x:v>
      </x:c>
      <x:c r="M135" t="n">
        <x:v>3230.6657041722005</x:v>
      </x:c>
      <x:c r="N135" t="n">
        <x:v>3493.6277735169583</x:v>
      </x:c>
      <x:c r="O135" t="n">
        <x:v>7.75359769001328</x:v>
      </x:c>
      <x:c r="P135" t="n">
        <x:v>8.384706656440699</x:v>
      </x:c>
      <x:c r="Q135" t="n">
        <x:v>689.8400268554688</x:v>
      </x:c>
      <x:c r="R135" t="n">
        <x:v>8.139562970107338</x:v>
      </x:c>
      <x:c r="S135" t="n">
        <x:v>8.139562970107338</x:v>
      </x:c>
      <x:c r="T135" t="n">
        <x:v>7.659562970107338</x:v>
      </x:c>
      <x:c r="U135" t="n">
        <x:f>YEAR(C135)</x:f>
        <x:v>2023</x:v>
      </x:c>
      <x:c r="V135" t="n">
        <x:f>YEAR(D135)</x:f>
        <x:v>2023</x:v>
      </x:c>
      <x:c r="W135" t="n">
        <x:f>N135-M135-O135-P135</x:f>
        <x:v>246.82376499830377</x:v>
      </x:c>
      <x:c r="X135" t="str">
        <x:f>IF(T135&gt;1,"Ganador",IF(T135&lt;0,"Perdedor","Empate"))</x:f>
        <x:v>Ganador</x:v>
      </x:c>
    </x:row>
    <x:row r="136">
      <x:c r="A136" t="str">
        <x:v>FSLR</x:v>
      </x:c>
      <x:c r="B136" t="n">
        <x:v>45016</x:v>
      </x:c>
      <x:c r="C136" t="n">
        <x:v>45019</x:v>
      </x:c>
      <x:c r="D136" t="n">
        <x:v>45047</x:v>
      </x:c>
      <x:c r="E136" t="n">
        <x:v>28</x:v>
      </x:c>
      <x:c r="F136" t="str">
        <x:v>enter_or_hold</x:v>
      </x:c>
      <x:c r="G136" t="str">
        <x:v>left_top_n</x:v>
      </x:c>
      <x:c r="H136" t="n">
        <x:v>1</x:v>
      </x:c>
      <x:c r="I136" t="n">
        <x:v>69.58581093215577</x:v>
      </x:c>
      <x:c r="J136" t="n">
        <x:v>15.495542323625324</x:v>
      </x:c>
      <x:c r="K136" t="n">
        <x:v>208.4900054931641</x:v>
      </x:c>
      <x:c r="L136" t="n">
        <x:v>180.8500061035156</x:v>
      </x:c>
      <x:c r="M136" t="n">
        <x:v>3230.6657041722005</x:v>
      </x:c>
      <x:c r="N136" t="n">
        <x:v>2802.368923804924</x:v>
      </x:c>
      <x:c r="O136" t="n">
        <x:v>7.75359769001328</x:v>
      </x:c>
      <x:c r="P136" t="n">
        <x:v>6.7256854171318174</x:v>
      </x:c>
      <x:c r="Q136" t="n">
        <x:v>208.4900054931641</x:v>
      </x:c>
      <x:c r="R136" t="n">
        <x:v>-13.257229920575131</x:v>
      </x:c>
      <x:c r="S136" t="n">
        <x:v>-13.257229920575131</x:v>
      </x:c>
      <x:c r="T136" t="n">
        <x:v>-13.737229920575132</x:v>
      </x:c>
      <x:c r="U136" t="n">
        <x:f>YEAR(C136)</x:f>
        <x:v>2023</x:v>
      </x:c>
      <x:c r="V136" t="n">
        <x:f>YEAR(D136)</x:f>
        <x:v>2023</x:v>
      </x:c>
      <x:c r="W136" t="n">
        <x:f>N136-M136-O136-P136</x:f>
        <x:v>-442.7760634744215</x:v>
      </x:c>
      <x:c r="X136" t="str">
        <x:f>IF(T136&gt;1,"Ganador",IF(T136&lt;0,"Perdedor","Empate"))</x:f>
        <x:v>Perdedor</x:v>
      </x:c>
    </x:row>
    <x:row r="137">
      <x:c r="A137" t="str">
        <x:v>GE</x:v>
      </x:c>
      <x:c r="B137" t="n">
        <x:v>45016</x:v>
      </x:c>
      <x:c r="C137" t="n">
        <x:v>45019</x:v>
      </x:c>
      <x:c r="D137" t="n">
        <x:v>45047</x:v>
      </x:c>
      <x:c r="E137" t="n">
        <x:v>28</x:v>
      </x:c>
      <x:c r="F137" t="str">
        <x:v>enter_or_hold</x:v>
      </x:c>
      <x:c r="G137" t="str">
        <x:v>rebalance_trim</x:v>
      </x:c>
      <x:c r="H137" t="n">
        <x:v>5</x:v>
      </x:c>
      <x:c r="I137" t="n">
        <x:v>46.29621668828159</x:v>
      </x:c>
      <x:c r="J137" t="n">
        <x:v>2.4119108870418073</x:v>
      </x:c>
      <x:c r="K137" t="n">
        <x:v>77.35035705566406</x:v>
      </x:c>
      <x:c r="L137" t="n">
        <x:v>80.75019836425781</x:v>
      </x:c>
      <x:c r="M137" t="n">
        <x:v>186.56216829912722</x:v>
      </x:c>
      <x:c r="N137" t="n">
        <x:v>194.76228256553895</x:v>
      </x:c>
      <x:c r="O137" t="n">
        <x:v>0.4477492039179053</x:v>
      </x:c>
      <x:c r="P137" t="n">
        <x:v>0.46742947815729347</x:v>
      </x:c>
      <x:c r="Q137" t="n">
        <x:v>77.35035705566406</x:v>
      </x:c>
      <x:c r="R137" t="n">
        <x:v>4.395378945887862</x:v>
      </x:c>
      <x:c r="S137" t="n">
        <x:v>4.395378945887862</x:v>
      </x:c>
      <x:c r="T137" t="n">
        <x:v>3.9153789458878623</x:v>
      </x:c>
      <x:c r="U137" t="n">
        <x:f>YEAR(C137)</x:f>
        <x:v>2023</x:v>
      </x:c>
      <x:c r="V137" t="n">
        <x:f>YEAR(D137)</x:f>
        <x:v>2023</x:v>
      </x:c>
      <x:c r="W137" t="n">
        <x:f>N137-M137-O137-P137</x:f>
        <x:v>7.284935584336532</x:v>
      </x:c>
      <x:c r="X137" t="str">
        <x:f>IF(T137&gt;1,"Ganador",IF(T137&lt;0,"Perdedor","Empate"))</x:f>
        <x:v>Ganador</x:v>
      </x:c>
    </x:row>
    <x:row r="138">
      <x:c r="A138" t="str">
        <x:v>NVDA</x:v>
      </x:c>
      <x:c r="B138" t="n">
        <x:v>45016</x:v>
      </x:c>
      <x:c r="C138" t="n">
        <x:v>45019</x:v>
      </x:c>
      <x:c r="D138" t="n">
        <x:v>45047</x:v>
      </x:c>
      <x:c r="E138" t="n">
        <x:v>28</x:v>
      </x:c>
      <x:c r="F138" t="str">
        <x:v>enter_or_hold</x:v>
      </x:c>
      <x:c r="G138" t="str">
        <x:v>rebalance_trim</x:v>
      </x:c>
      <x:c r="H138" t="n">
        <x:v>3</x:v>
      </x:c>
      <x:c r="I138" t="n">
        <x:v>57.25786156824635</x:v>
      </x:c>
      <x:c r="J138" t="n">
        <x:v>5.601303327616076</x:v>
      </x:c>
      <x:c r="K138" t="n">
        <x:v>27.96500015258789</x:v>
      </x:c>
      <x:c r="L138" t="n">
        <x:v>28.90999984741211</x:v>
      </x:c>
      <x:c r="M138" t="n">
        <x:v>156.64044841147464</x:v>
      </x:c>
      <x:c r="N138" t="n">
        <x:v>161.9336783466897</x:v>
      </x:c>
      <x:c r="O138" t="n">
        <x:v>0.3759370761875391</x:v>
      </x:c>
      <x:c r="P138" t="n">
        <x:v>0.38864082803205524</x:v>
      </x:c>
      <x:c r="Q138" t="n">
        <x:v>27.96500015258789</x:v>
      </x:c>
      <x:c r="R138" t="n">
        <x:v>3.3792229203216007</x:v>
      </x:c>
      <x:c r="S138" t="n">
        <x:v>3.3792229203216007</x:v>
      </x:c>
      <x:c r="T138" t="n">
        <x:v>2.8992229203216007</x:v>
      </x:c>
      <x:c r="U138" t="n">
        <x:f>YEAR(C138)</x:f>
        <x:v>2023</x:v>
      </x:c>
      <x:c r="V138" t="n">
        <x:f>YEAR(D138)</x:f>
        <x:v>2023</x:v>
      </x:c>
      <x:c r="W138" t="n">
        <x:f>N138-M138-O138-P138</x:f>
        <x:v>4.528652030995472</x:v>
      </x:c>
      <x:c r="X138" t="str">
        <x:f>IF(T138&gt;1,"Ganador",IF(T138&lt;0,"Perdedor","Empate"))</x:f>
        <x:v>Ganador</x:v>
      </x:c>
    </x:row>
    <x:row r="139">
      <x:c r="A139" t="str">
        <x:v>GE</x:v>
      </x:c>
      <x:c r="B139" t="n">
        <x:v>45016</x:v>
      </x:c>
      <x:c r="C139" t="n">
        <x:v>45019</x:v>
      </x:c>
      <x:c r="D139" t="n">
        <x:v>45076</x:v>
      </x:c>
      <x:c r="E139" t="n">
        <x:v>57</x:v>
      </x:c>
      <x:c r="F139" t="str">
        <x:v>enter_or_hold</x:v>
      </x:c>
      <x:c r="G139" t="str">
        <x:v>left_top_n</x:v>
      </x:c>
      <x:c r="H139" t="n">
        <x:v>5</x:v>
      </x:c>
      <x:c r="I139" t="n">
        <x:v>46.29621668828159</x:v>
      </x:c>
      <x:c r="J139" t="n">
        <x:v>39.354744460745394</x:v>
      </x:c>
      <x:c r="K139" t="n">
        <x:v>77.35035705566406</x:v>
      </x:c>
      <x:c r="L139" t="n">
        <x:v>81.72386169433594</x:v>
      </x:c>
      <x:c r="M139" t="n">
        <x:v>3044.1035358730733</x:v>
      </x:c>
      <x:c r="N139" t="n">
        <x:v>3216.22169332589</x:v>
      </x:c>
      <x:c r="O139" t="n">
        <x:v>7.305848486095375</x:v>
      </x:c>
      <x:c r="P139" t="n">
        <x:v>7.718932063982136</x:v>
      </x:c>
      <x:c r="Q139" t="n">
        <x:v>77.35035705566406</x:v>
      </x:c>
      <x:c r="R139" t="n">
        <x:v>5.654149256899421</x:v>
      </x:c>
      <x:c r="S139" t="n">
        <x:v>5.654149256899421</x:v>
      </x:c>
      <x:c r="T139" t="n">
        <x:v>5.174149256899421</x:v>
      </x:c>
      <x:c r="U139" t="n">
        <x:f>YEAR(C139)</x:f>
        <x:v>2023</x:v>
      </x:c>
      <x:c r="V139" t="n">
        <x:f>YEAR(D139)</x:f>
        <x:v>2023</x:v>
      </x:c>
      <x:c r="W139" t="n">
        <x:f>N139-M139-O139-P139</x:f>
        <x:v>157.09337690273932</x:v>
      </x:c>
      <x:c r="X139" t="str">
        <x:f>IF(T139&gt;1,"Ganador",IF(T139&lt;0,"Perdedor","Empate"))</x:f>
        <x:v>Ganador</x:v>
      </x:c>
    </x:row>
    <x:row r="140">
      <x:c r="A140" t="str">
        <x:v>LVS</x:v>
      </x:c>
      <x:c r="B140" t="n">
        <x:v>45044</x:v>
      </x:c>
      <x:c r="C140" t="n">
        <x:v>45047</x:v>
      </x:c>
      <x:c r="D140" t="n">
        <x:v>45076</x:v>
      </x:c>
      <x:c r="E140" t="n">
        <x:v>29</x:v>
      </x:c>
      <x:c r="F140" t="str">
        <x:v>enter_or_hold</x:v>
      </x:c>
      <x:c r="G140" t="str">
        <x:v>left_top_n</x:v>
      </x:c>
      <x:c r="H140" t="n">
        <x:v>6</x:v>
      </x:c>
      <x:c r="I140" t="n">
        <x:v>42.83993131375312</x:v>
      </x:c>
      <x:c r="J140" t="n">
        <x:v>48.875409698771946</x:v>
      </x:c>
      <x:c r="K140" t="n">
        <x:v>64.86000061035156</x:v>
      </x:c>
      <x:c r="L140" t="n">
        <x:v>55.02999877929688</x:v>
      </x:c>
      <x:c r="M140" t="n">
        <x:v>3170.059102893531</x:v>
      </x:c>
      <x:c r="N140" t="n">
        <x:v>2689.613736061055</x:v>
      </x:c>
      <x:c r="O140" t="n">
        <x:v>7.6081418469444735</x:v>
      </x:c>
      <x:c r="P140" t="n">
        <x:v>6.455072966546532</x:v>
      </x:c>
      <x:c r="Q140" t="n">
        <x:v>64.86000061035156</x:v>
      </x:c>
      <x:c r="R140" t="n">
        <x:v>-15.155722692802176</x:v>
      </x:c>
      <x:c r="S140" t="n">
        <x:v>-15.155722692802176</x:v>
      </x:c>
      <x:c r="T140" t="n">
        <x:v>-15.635722692802176</x:v>
      </x:c>
      <x:c r="U140" t="n">
        <x:f>YEAR(C140)</x:f>
        <x:v>2023</x:v>
      </x:c>
      <x:c r="V140" t="n">
        <x:f>YEAR(D140)</x:f>
        <x:v>2023</x:v>
      </x:c>
      <x:c r="W140" t="n">
        <x:f>N140-M140-O140-P140</x:f>
        <x:v>-494.5085816459669</x:v>
      </x:c>
      <x:c r="X140" t="str">
        <x:f>IF(T140&gt;1,"Ganador",IF(T140&lt;0,"Perdedor","Empate"))</x:f>
        <x:v>Perdedor</x:v>
      </x:c>
    </x:row>
    <x:row r="141">
      <x:c r="A141" t="str">
        <x:v>PHM</x:v>
      </x:c>
      <x:c r="B141" t="n">
        <x:v>45044</x:v>
      </x:c>
      <x:c r="C141" t="n">
        <x:v>45047</x:v>
      </x:c>
      <x:c r="D141" t="n">
        <x:v>45076</x:v>
      </x:c>
      <x:c r="E141" t="n">
        <x:v>29</x:v>
      </x:c>
      <x:c r="F141" t="str">
        <x:v>enter_or_hold</x:v>
      </x:c>
      <x:c r="G141" t="str">
        <x:v>left_top_n</x:v>
      </x:c>
      <x:c r="H141" t="n">
        <x:v>5</x:v>
      </x:c>
      <x:c r="I141" t="n">
        <x:v>43.70138961230701</x:v>
      </x:c>
      <x:c r="J141" t="n">
        <x:v>48.19183888296533</x:v>
      </x:c>
      <x:c r="K141" t="n">
        <x:v>65.77999877929688</x:v>
      </x:c>
      <x:c r="L141" t="n">
        <x:v>66.69000244140625</x:v>
      </x:c>
      <x:c r="M141" t="n">
        <x:v>3170.059102893531</x:v>
      </x:c>
      <x:c r="N141" t="n">
        <x:v>3213.9138527608143</x:v>
      </x:c>
      <x:c r="O141" t="n">
        <x:v>7.6081418469444735</x:v>
      </x:c>
      <x:c r="P141" t="n">
        <x:v>7.713393246625953</x:v>
      </x:c>
      <x:c r="Q141" t="n">
        <x:v>65.77999877929688</x:v>
      </x:c>
      <x:c r="R141" t="n">
        <x:v>1.383404802366428</x:v>
      </x:c>
      <x:c r="S141" t="n">
        <x:v>1.383404802366428</x:v>
      </x:c>
      <x:c r="T141" t="n">
        <x:v>0.9034048023664281</x:v>
      </x:c>
      <x:c r="U141" t="n">
        <x:f>YEAR(C141)</x:f>
        <x:v>2023</x:v>
      </x:c>
      <x:c r="V141" t="n">
        <x:f>YEAR(D141)</x:f>
        <x:v>2023</x:v>
      </x:c>
      <x:c r="W141" t="n">
        <x:f>N141-M141-O141-P141</x:f>
        <x:v>28.533214773712885</x:v>
      </x:c>
      <x:c r="X141" t="str">
        <x:f>IF(T141&gt;1,"Ganador",IF(T141&lt;0,"Perdedor","Empate"))</x:f>
        <x:v>Empate</x:v>
      </x:c>
    </x:row>
    <x:row r="142">
      <x:c r="A142" t="str">
        <x:v>NVDA</x:v>
      </x:c>
      <x:c r="B142" t="n">
        <x:v>45016</x:v>
      </x:c>
      <x:c r="C142" t="n">
        <x:v>45019</x:v>
      </x:c>
      <x:c r="D142" t="n">
        <x:v>45076</x:v>
      </x:c>
      <x:c r="E142" t="n">
        <x:v>57</x:v>
      </x:c>
      <x:c r="F142" t="str">
        <x:v>enter_or_hold</x:v>
      </x:c>
      <x:c r="G142" t="str">
        <x:v>rebalance_trim</x:v>
      </x:c>
      <x:c r="H142" t="n">
        <x:v>3</x:v>
      </x:c>
      <x:c r="I142" t="n">
        <x:v>57.25786156824635</x:v>
      </x:c>
      <x:c r="J142" t="n">
        <x:v>10.176719906508984</x:v>
      </x:c>
      <x:c r="K142" t="n">
        <x:v>27.96500015258789</x:v>
      </x:c>
      <x:c r="L142" t="n">
        <x:v>40.11100006103516</x:v>
      </x:c>
      <x:c r="M142" t="n">
        <x:v>284.5919737383679</x:v>
      </x:c>
      <x:c r="N142" t="n">
        <x:v>408.1984127911196</x:v>
      </x:c>
      <x:c r="O142" t="n">
        <x:v>0.683020736972083</x:v>
      </x:c>
      <x:c r="P142" t="n">
        <x:v>0.9796761906986869</x:v>
      </x:c>
      <x:c r="Q142" t="n">
        <x:v>27.96500015258789</x:v>
      </x:c>
      <x:c r="R142" t="n">
        <x:v>43.432861942335</x:v>
      </x:c>
      <x:c r="S142" t="n">
        <x:v>43.432861942335</x:v>
      </x:c>
      <x:c r="T142" t="n">
        <x:v>42.952861942335005</x:v>
      </x:c>
      <x:c r="U142" t="n">
        <x:f>YEAR(C142)</x:f>
        <x:v>2023</x:v>
      </x:c>
      <x:c r="V142" t="n">
        <x:f>YEAR(D142)</x:f>
        <x:v>2023</x:v>
      </x:c>
      <x:c r="W142" t="n">
        <x:f>N142-M142-O142-P142</x:f>
        <x:v>121.94374212508092</x:v>
      </x:c>
      <x:c r="X142" t="str">
        <x:f>IF(T142&gt;1,"Ganador",IF(T142&lt;0,"Perdedor","Empate"))</x:f>
        <x:v>Ganador</x:v>
      </x:c>
    </x:row>
    <x:row r="143">
      <x:c r="A143" t="str">
        <x:v>SMCI</x:v>
      </x:c>
      <x:c r="B143" t="n">
        <x:v>45016</x:v>
      </x:c>
      <x:c r="C143" t="n">
        <x:v>45019</x:v>
      </x:c>
      <x:c r="D143" t="n">
        <x:v>45076</x:v>
      </x:c>
      <x:c r="E143" t="n">
        <x:v>57</x:v>
      </x:c>
      <x:c r="F143" t="str">
        <x:v>enter_or_hold</x:v>
      </x:c>
      <x:c r="G143" t="str">
        <x:v>rebalance_trim</x:v>
      </x:c>
      <x:c r="H143" t="n">
        <x:v>4</x:v>
      </x:c>
      <x:c r="I143" t="n">
        <x:v>44.686513783044376</x:v>
      </x:c>
      <x:c r="J143" t="n">
        <x:v>131.38074274540526</x:v>
      </x:c>
      <x:c r="K143" t="n">
        <x:v>11.23252835931908</x:v>
      </x:c>
      <x:c r="L143" t="n">
        <x:v>23.40999984741211</x:v>
      </x:c>
      <x:c r="M143" t="n">
        <x:v>1475.737918756169</x:v>
      </x:c>
      <x:c r="N143" t="n">
        <x:v>3075.6231676228267</x:v>
      </x:c>
      <x:c r="O143" t="n">
        <x:v>3.541771005014805</x:v>
      </x:c>
      <x:c r="P143" t="n">
        <x:v>7.381495602294783</x:v>
      </x:c>
      <x:c r="Q143" t="n">
        <x:v>11.272000312805176</x:v>
      </x:c>
      <x:c r="R143" t="n">
        <x:v>107.68274660902884</x:v>
      </x:c>
      <x:c r="S143" t="n">
        <x:v>108.41255947499992</x:v>
      </x:c>
      <x:c r="T143" t="n">
        <x:v>107.93255947499992</x:v>
      </x:c>
      <x:c r="U143" t="n">
        <x:f>YEAR(C143)</x:f>
        <x:v>2023</x:v>
      </x:c>
      <x:c r="V143" t="n">
        <x:f>YEAR(D143)</x:f>
        <x:v>2023</x:v>
      </x:c>
      <x:c r="W143" t="n">
        <x:f>N143-M143-O143-P143</x:f>
        <x:v>1588.9619822593481</x:v>
      </x:c>
      <x:c r="X143" t="str">
        <x:f>IF(T143&gt;1,"Ganador",IF(T143&lt;0,"Perdedor","Empate"))</x:f>
        <x:v>Ganador</x:v>
      </x:c>
    </x:row>
    <x:row r="144">
      <x:c r="A144" t="str">
        <x:v>META</x:v>
      </x:c>
      <x:c r="B144" t="n">
        <x:v>45044</x:v>
      </x:c>
      <x:c r="C144" t="n">
        <x:v>45047</x:v>
      </x:c>
      <x:c r="D144" t="n">
        <x:v>45110</x:v>
      </x:c>
      <x:c r="E144" t="n">
        <x:v>63</x:v>
      </x:c>
      <x:c r="F144" t="str">
        <x:v>enter_or_hold</x:v>
      </x:c>
      <x:c r="G144" t="str">
        <x:v>left_top_n</x:v>
      </x:c>
      <x:c r="H144" t="n">
        <x:v>5</x:v>
      </x:c>
      <x:c r="I144" t="n">
        <x:v>58.946062954741166</x:v>
      </x:c>
      <x:c r="J144" t="n">
        <x:v>15.229546457303428</x:v>
      </x:c>
      <x:c r="K144" t="n">
        <x:v>245.96576088643127</x:v>
      </x:c>
      <x:c r="L144" t="n">
        <x:v>286.0199890136719</x:v>
      </x:c>
      <x:c r="M144" t="n">
        <x:v>3745.9469823258914</x:v>
      </x:c>
      <x:c r="N144" t="n">
        <x:v>4355.954710401132</x:v>
      </x:c>
      <x:c r="O144" t="n">
        <x:v>8.990272757582138</x:v>
      </x:c>
      <x:c r="P144" t="n">
        <x:v>10.454291304962716</x:v>
      </x:c>
      <x:c r="Q144" t="n">
        <x:v>243.17999267578125</x:v>
      </x:c>
      <x:c r="R144" t="n">
        <x:v>17.61657933554053</x:v>
      </x:c>
      <x:c r="S144" t="n">
        <x:v>16.284473083932482</x:v>
      </x:c>
      <x:c r="T144" t="n">
        <x:v>15.804473083932482</x:v>
      </x:c>
      <x:c r="U144" t="n">
        <x:f>YEAR(C144)</x:f>
        <x:v>2023</x:v>
      </x:c>
      <x:c r="V144" t="n">
        <x:f>YEAR(D144)</x:f>
        <x:v>2023</x:v>
      </x:c>
      <x:c r="W144" t="n">
        <x:f>N144-M144-O144-P144</x:f>
        <x:v>590.5631640126954</x:v>
      </x:c>
      <x:c r="X144" t="str">
        <x:f>IF(T144&gt;1,"Ganador",IF(T144&lt;0,"Perdedor","Empate"))</x:f>
        <x:v>Ganador</x:v>
      </x:c>
    </x:row>
    <x:row r="145">
      <x:c r="A145" t="str">
        <x:v>AMD</x:v>
      </x:c>
      <x:c r="B145" t="n">
        <x:v>45072</x:v>
      </x:c>
      <x:c r="C145" t="n">
        <x:v>45076</x:v>
      </x:c>
      <x:c r="D145" t="n">
        <x:v>45110</x:v>
      </x:c>
      <x:c r="E145" t="n">
        <x:v>34</x:v>
      </x:c>
      <x:c r="F145" t="str">
        <x:v>enter_or_hold</x:v>
      </x:c>
      <x:c r="G145" t="str">
        <x:v>left_top_n</x:v>
      </x:c>
      <x:c r="H145" t="n">
        <x:v>6</x:v>
      </x:c>
      <x:c r="I145" t="n">
        <x:v>55.44103332806252</x:v>
      </x:c>
      <x:c r="J145" t="n">
        <x:v>31.844099436395393</x:v>
      </x:c>
      <x:c r="K145" t="n">
        <x:v>125.2699966430664</x:v>
      </x:c>
      <x:c r="L145" t="n">
        <x:v>115.81999969482422</x:v>
      </x:c>
      <x:c r="M145" t="n">
        <x:v>3989.1102294987236</x:v>
      </x:c>
      <x:c r="N145" t="n">
        <x:v>3688.1835870052664</x:v>
      </x:c>
      <x:c r="O145" t="n">
        <x:v>9.573864550796936</x:v>
      </x:c>
      <x:c r="P145" t="n">
        <x:v>8.85164060881264</x:v>
      </x:c>
      <x:c r="Q145" t="n">
        <x:v>125.2699966430664</x:v>
      </x:c>
      <x:c r="R145" t="n">
        <x:v>-7.543703361921694</x:v>
      </x:c>
      <x:c r="S145" t="n">
        <x:v>-7.543703361921694</x:v>
      </x:c>
      <x:c r="T145" t="n">
        <x:v>-8.023703361921694</x:v>
      </x:c>
      <x:c r="U145" t="n">
        <x:f>YEAR(C145)</x:f>
        <x:v>2023</x:v>
      </x:c>
      <x:c r="V145" t="n">
        <x:f>YEAR(D145)</x:f>
        <x:v>2023</x:v>
      </x:c>
      <x:c r="W145" t="n">
        <x:f>N145-M145-O145-P145</x:f>
        <x:v>-319.35214765306677</x:v>
      </x:c>
      <x:c r="X145" t="str">
        <x:f>IF(T145&gt;1,"Ganador",IF(T145&lt;0,"Perdedor","Empate"))</x:f>
        <x:v>Perdedor</x:v>
      </x:c>
    </x:row>
    <x:row r="146">
      <x:c r="A146" t="str">
        <x:v>BLDR</x:v>
      </x:c>
      <x:c r="B146" t="n">
        <x:v>45072</x:v>
      </x:c>
      <x:c r="C146" t="n">
        <x:v>45076</x:v>
      </x:c>
      <x:c r="D146" t="n">
        <x:v>45110</x:v>
      </x:c>
      <x:c r="E146" t="n">
        <x:v>34</x:v>
      </x:c>
      <x:c r="F146" t="str">
        <x:v>enter_or_hold</x:v>
      </x:c>
      <x:c r="G146" t="str">
        <x:v>rebalance_trim</x:v>
      </x:c>
      <x:c r="H146" t="n">
        <x:v>4</x:v>
      </x:c>
      <x:c r="I146" t="n">
        <x:v>58.9753931521732</x:v>
      </x:c>
      <x:c r="J146" t="n">
        <x:v>2.916061257615998</x:v>
      </x:c>
      <x:c r="K146" t="n">
        <x:v>117.66999816894533</x:v>
      </x:c>
      <x:c r="L146" t="n">
        <x:v>136.3300018310547</x:v>
      </x:c>
      <x:c r="M146" t="n">
        <x:v>343.1329228442069</x:v>
      </x:c>
      <x:c r="N146" t="n">
        <x:v>397.54663659025664</x:v>
      </x:c>
      <x:c r="O146" t="n">
        <x:v>0.8235190148260965</x:v>
      </x:c>
      <x:c r="P146" t="n">
        <x:v>0.9541119278166158</x:v>
      </x:c>
      <x:c r="Q146" t="n">
        <x:v>117.66999816894533</x:v>
      </x:c>
      <x:c r="R146" t="n">
        <x:v>15.857911066946873</x:v>
      </x:c>
      <x:c r="S146" t="n">
        <x:v>15.857911066946873</x:v>
      </x:c>
      <x:c r="T146" t="n">
        <x:v>15.377911066946872</x:v>
      </x:c>
      <x:c r="U146" t="n">
        <x:f>YEAR(C146)</x:f>
        <x:v>2023</x:v>
      </x:c>
      <x:c r="V146" t="n">
        <x:f>YEAR(D146)</x:f>
        <x:v>2023</x:v>
      </x:c>
      <x:c r="W146" t="n">
        <x:f>N146-M146-O146-P146</x:f>
        <x:v>52.63608280340701</x:v>
      </x:c>
      <x:c r="X146" t="str">
        <x:f>IF(T146&gt;1,"Ganador",IF(T146&lt;0,"Perdedor","Empate"))</x:f>
        <x:v>Ganador</x:v>
      </x:c>
    </x:row>
    <x:row r="147">
      <x:c r="A147" t="str">
        <x:v>NVDA</x:v>
      </x:c>
      <x:c r="B147" t="n">
        <x:v>45016</x:v>
      </x:c>
      <x:c r="C147" t="n">
        <x:v>45019</x:v>
      </x:c>
      <x:c r="D147" t="n">
        <x:v>45110</x:v>
      </x:c>
      <x:c r="E147" t="n">
        <x:v>91</x:v>
      </x:c>
      <x:c r="F147" t="str">
        <x:v>enter_or_hold</x:v>
      </x:c>
      <x:c r="G147" t="str">
        <x:v>rebalance_trim</x:v>
      </x:c>
      <x:c r="H147" t="n">
        <x:v>3</x:v>
      </x:c>
      <x:c r="I147" t="n">
        <x:v>57.25786156824635</x:v>
      </x:c>
      <x:c r="J147" t="n">
        <x:v>0.15157956130859773</x:v>
      </x:c>
      <x:c r="K147" t="n">
        <x:v>27.96500015258789</x:v>
      </x:c>
      <x:c r="L147" t="n">
        <x:v>42.41299819946289</x:v>
      </x:c>
      <x:c r="M147" t="n">
        <x:v>4.238922455124142</x:v>
      </x:c>
      <x:c r="N147" t="n">
        <x:v>6.42894366085693</x:v>
      </x:c>
      <x:c r="O147" t="n">
        <x:v>0.010173413892297936</x:v>
      </x:c>
      <x:c r="P147" t="n">
        <x:v>0.015429464786056632</x:v>
      </x:c>
      <x:c r="Q147" t="n">
        <x:v>27.96500015258789</x:v>
      </x:c>
      <x:c r="R147" t="n">
        <x:v>51.66457345982878</x:v>
      </x:c>
      <x:c r="S147" t="n">
        <x:v>51.66457345982878</x:v>
      </x:c>
      <x:c r="T147" t="n">
        <x:v>51.18457345982878</x:v>
      </x:c>
      <x:c r="U147" t="n">
        <x:f>YEAR(C147)</x:f>
        <x:v>2023</x:v>
      </x:c>
      <x:c r="V147" t="n">
        <x:f>YEAR(D147)</x:f>
        <x:v>2023</x:v>
      </x:c>
      <x:c r="W147" t="n">
        <x:f>N147-M147-O147-P147</x:f>
        <x:v>2.1644183270544346</x:v>
      </x:c>
      <x:c r="X147" t="str">
        <x:f>IF(T147&gt;1,"Ganador",IF(T147&lt;0,"Perdedor","Empate"))</x:f>
        <x:v>Ganador</x:v>
      </x:c>
    </x:row>
    <x:row r="148">
      <x:c r="A148" t="str">
        <x:v>SMCI</x:v>
      </x:c>
      <x:c r="B148" t="n">
        <x:v>45016</x:v>
      </x:c>
      <x:c r="C148" t="n">
        <x:v>45019</x:v>
      </x:c>
      <x:c r="D148" t="n">
        <x:v>45110</x:v>
      </x:c>
      <x:c r="E148" t="n">
        <x:v>91</x:v>
      </x:c>
      <x:c r="F148" t="str">
        <x:v>enter_or_hold</x:v>
      </x:c>
      <x:c r="G148" t="str">
        <x:v>rebalance_trim</x:v>
      </x:c>
      <x:c r="H148" t="n">
        <x:v>4</x:v>
      </x:c>
      <x:c r="I148" t="n">
        <x:v>44.686513783044376</x:v>
      </x:c>
      <x:c r="J148" t="n">
        <x:v>1.3997777212427094</x:v>
      </x:c>
      <x:c r="K148" t="n">
        <x:v>11.23252835931908</x:v>
      </x:c>
      <x:c r="L148" t="n">
        <x:v>24.920000076293945</x:v>
      </x:c>
      <x:c r="M148" t="n">
        <x:v>15.72304295060177</x:v>
      </x:c>
      <x:c r="N148" t="n">
        <x:v>34.882460920162885</x:v>
      </x:c>
      <x:c r="O148" t="n">
        <x:v>0.03773530308144424</x:v>
      </x:c>
      <x:c r="P148" t="n">
        <x:v>0.08371790620839091</x:v>
      </x:c>
      <x:c r="Q148" t="n">
        <x:v>11.272000312805176</x:v>
      </x:c>
      <x:c r="R148" t="n">
        <x:v>121.07877381785039</x:v>
      </x:c>
      <x:c r="S148" t="n">
        <x:v>121.8556613357583</x:v>
      </x:c>
      <x:c r="T148" t="n">
        <x:v>121.3756613357583</x:v>
      </x:c>
      <x:c r="U148" t="n">
        <x:f>YEAR(C148)</x:f>
        <x:v>2023</x:v>
      </x:c>
      <x:c r="V148" t="n">
        <x:f>YEAR(D148)</x:f>
        <x:v>2023</x:v>
      </x:c>
      <x:c r="W148" t="n">
        <x:f>N148-M148-O148-P148</x:f>
        <x:v>19.03796476027128</x:v>
      </x:c>
      <x:c r="X148" t="str">
        <x:f>IF(T148&gt;1,"Ganador",IF(T148&lt;0,"Perdedor","Empate"))</x:f>
        <x:v>Ganador</x:v>
      </x:c>
    </x:row>
    <x:row r="149">
      <x:c r="A149" t="str">
        <x:v>BLDR</x:v>
      </x:c>
      <x:c r="B149" t="n">
        <x:v>45072</x:v>
      </x:c>
      <x:c r="C149" t="n">
        <x:v>45076</x:v>
      </x:c>
      <x:c r="D149" t="n">
        <x:v>45138</x:v>
      </x:c>
      <x:c r="E149" t="n">
        <x:v>62</x:v>
      </x:c>
      <x:c r="F149" t="str">
        <x:v>enter_or_hold</x:v>
      </x:c>
      <x:c r="G149" t="str">
        <x:v>left_top_n</x:v>
      </x:c>
      <x:c r="H149" t="n">
        <x:v>4</x:v>
      </x:c>
      <x:c r="I149" t="n">
        <x:v>58.9753931521732</x:v>
      </x:c>
      <x:c r="J149" t="n">
        <x:v>30.984765559525083</x:v>
      </x:c>
      <x:c r="K149" t="n">
        <x:v>117.66999816894533</x:v>
      </x:c>
      <x:c r="L149" t="n">
        <x:v>144.42999267578125</x:v>
      </x:c>
      <x:c r="M149" t="n">
        <x:v>3645.9773066545167</x:v>
      </x:c>
      <x:c r="N149" t="n">
        <x:v>4475.129462823007</x:v>
      </x:c>
      <x:c r="O149" t="n">
        <x:v>8.750345535970839</x:v>
      </x:c>
      <x:c r="P149" t="n">
        <x:v>10.740310710775216</x:v>
      </x:c>
      <x:c r="Q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:v>
      </x:c>
      <x:c r="U149" t="n">
        <x:f>YEAR(C149)</x:f>
        <x:v>2023</x:v>
      </x:c>
      <x:c r="V149" t="n">
        <x:f>YEAR(D149)</x:f>
        <x:v>2023</x:v>
      </x:c>
      <x:c r="W149" t="n">
        <x:f>N149-M149-O149-P149</x:f>
        <x:v>809.6614999217443</x:v>
      </x:c>
      <x:c r="X149" t="str">
        <x:f>IF(T149&gt;1,"Ganador",IF(T149&lt;0,"Perdedor","Empate"))</x:f>
        <x:v>Ganador</x:v>
      </x:c>
    </x:row>
    <x:row r="150">
      <x:c r="A150" t="str">
        <x:v>RCL</x:v>
      </x:c>
      <x:c r="B150" t="n">
        <x:v>45107</x:v>
      </x:c>
      <x:c r="C150" t="n">
        <x:v>45110</x:v>
      </x:c>
      <x:c r="D150" t="n">
        <x:v>45138</x:v>
      </x:c>
      <x:c r="E150" t="n">
        <x:v>28</x:v>
      </x:c>
      <x:c r="F150" t="str">
        <x:v>enter_or_hold</x:v>
      </x:c>
      <x:c r="G150" t="str">
        <x:v>left_top_n</x:v>
      </x:c>
      <x:c r="H150" t="n">
        <x:v>4</x:v>
      </x:c>
      <x:c r="I150" t="n">
        <x:v>73.47714181753975</x:v>
      </x:c>
      <x:c r="J150" t="n">
        <x:v>40.82947907105758</x:v>
      </x:c>
      <x:c r="K150" t="n">
        <x:v>103.1999969482422</x:v>
      </x:c>
      <x:c r="L150" t="n">
        <x:v>109.11000061035156</x:v>
      </x:c>
      <x:c r="M150" t="n">
        <x:v>4213.602115531461</x:v>
      </x:c>
      <x:c r="N150" t="n">
        <x:v>4454.904486363429</x:v>
      </x:c>
      <x:c r="O150" t="n">
        <x:v>10.112645077275506</x:v>
      </x:c>
      <x:c r="P150" t="n">
        <x:v>10.691770767272228</x:v>
      </x:c>
      <x:c r="Q150" t="n">
        <x:v>103.1999969482422</x:v>
      </x:c>
      <x:c r="R150" t="n">
        <x:v>5.726747903949447</x:v>
      </x:c>
      <x:c r="S150" t="n">
        <x:v>5.726747903949447</x:v>
      </x:c>
      <x:c r="T150" t="n">
        <x:v>5.246747903949448</x:v>
      </x:c>
      <x:c r="U150" t="n">
        <x:f>YEAR(C150)</x:f>
        <x:v>2023</x:v>
      </x:c>
      <x:c r="V150" t="n">
        <x:f>YEAR(D150)</x:f>
        <x:v>2023</x:v>
      </x:c>
      <x:c r="W150" t="n">
        <x:f>N150-M150-O150-P150</x:f>
        <x:v>220.49795498742014</x:v>
      </x:c>
      <x:c r="X150" t="str">
        <x:f>IF(T150&gt;1,"Ganador",IF(T150&lt;0,"Perdedor","Empate"))</x:f>
        <x:v>Ganador</x:v>
      </x:c>
    </x:row>
    <x:row r="151">
      <x:c r="A151" t="str">
        <x:v>PLTR</x:v>
      </x:c>
      <x:c r="B151" t="n">
        <x:v>45072</x:v>
      </x:c>
      <x:c r="C151" t="n">
        <x:v>45076</x:v>
      </x:c>
      <x:c r="D151" t="n">
        <x:v>45138</x:v>
      </x:c>
      <x:c r="E151" t="n">
        <x:v>62</x:v>
      </x:c>
      <x:c r="F151" t="str">
        <x:v>enter_or_hold</x:v>
      </x:c>
      <x:c r="G151" t="str">
        <x:v>rebalance_trim</x:v>
      </x:c>
      <x:c r="H151" t="n">
        <x:v>6</x:v>
      </x:c>
      <x:c r="I151" t="n">
        <x:v>71.29963773645447</x:v>
      </x:c>
      <x:c r="J151" t="n">
        <x:v>30.665969175959077</x:v>
      </x:c>
      <x:c r="K151" t="n">
        <x:v>14.712909333731329</x:v>
      </x:c>
      <x:c r="L151" t="n">
        <x:v>19.84000015258789</x:v>
      </x:c>
      <x:c r="M151" t="n">
        <x:v>451.1856241168855</x:v>
      </x:c>
      <x:c r="N151" t="n">
        <x:v>608.4128331302836</x:v>
      </x:c>
      <x:c r="O151" t="n">
        <x:v>1.082845497880525</x:v>
      </x:c>
      <x:c r="P151" t="n">
        <x:v>1.4601907995126806</x:v>
      </x:c>
      <x:c r="Q151" t="n">
        <x:v>14.710000038146973</x:v>
      </x:c>
      <x:c r="R151" t="n">
        <x:v>34.87423590168221</x:v>
      </x:c>
      <x:c r="S151" t="n">
        <x:v>34.84756619210596</x:v>
      </x:c>
      <x:c r="T151" t="n">
        <x:v>34.36756619210596</x:v>
      </x:c>
      <x:c r="U151" t="n">
        <x:f>YEAR(C151)</x:f>
        <x:v>2023</x:v>
      </x:c>
      <x:c r="V151" t="n">
        <x:f>YEAR(D151)</x:f>
        <x:v>2023</x:v>
      </x:c>
      <x:c r="W151" t="n">
        <x:f>N151-M151-O151-P151</x:f>
        <x:v>154.68417271600492</x:v>
      </x:c>
      <x:c r="X151" t="str">
        <x:f>IF(T151&gt;1,"Ganador",IF(T151&lt;0,"Perdedor","Empate"))</x:f>
        <x:v>Ganador</x:v>
      </x:c>
    </x:row>
    <x:row r="152">
      <x:c r="A152" t="str">
        <x:v>SMCI</x:v>
      </x:c>
      <x:c r="B152" t="n">
        <x:v>45016</x:v>
      </x:c>
      <x:c r="C152" t="n">
        <x:v>45019</x:v>
      </x:c>
      <x:c r="D152" t="n">
        <x:v>45138</x:v>
      </x:c>
      <x:c r="E152" t="n">
        <x:v>119</x:v>
      </x:c>
      <x:c r="F152" t="str">
        <x:v>enter_or_hold</x:v>
      </x:c>
      <x:c r="G152" t="str">
        <x:v>rebalance_trim</x:v>
      </x:c>
      <x:c r="H152" t="n">
        <x:v>4</x:v>
      </x:c>
      <x:c r="I152" t="n">
        <x:v>44.686513783044376</x:v>
      </x:c>
      <x:c r="J152" t="n">
        <x:v>24.437453975168733</x:v>
      </x:c>
      <x:c r="K152" t="n">
        <x:v>11.23252835931908</x:v>
      </x:c>
      <x:c r="L152" t="n">
        <x:v>33.027000427246094</x:v>
      </x:c>
      <x:c r="M152" t="n">
        <x:v>274.4943948056376</x:v>
      </x:c>
      <x:c r="N152" t="n">
        <x:v>807.0958028787045</x:v>
      </x:c>
      <x:c r="O152" t="n">
        <x:v>0.65878654753353</x:v>
      </x:c>
      <x:c r="P152" t="n">
        <x:v>1.9370299269088906</x:v>
      </x:c>
      <x:c r="Q152" t="n">
        <x:v>11.272000312805176</x:v>
      </x:c>
      <x:c r="R152" t="n">
        <x:v>193.00035052098855</x:v>
      </x:c>
      <x:c r="S152" t="n">
        <x:v>194.02997589447622</x:v>
      </x:c>
      <x:c r="T152" t="n">
        <x:v>193.54997589447623</x:v>
      </x:c>
      <x:c r="U152" t="n">
        <x:f>YEAR(C152)</x:f>
        <x:v>2023</x:v>
      </x:c>
      <x:c r="V152" t="n">
        <x:f>YEAR(D152)</x:f>
        <x:v>2023</x:v>
      </x:c>
      <x:c r="W152" t="n">
        <x:f>N152-M152-O152-P152</x:f>
        <x:v>530.0055915986245</x:v>
      </x:c>
      <x:c r="X152" t="str">
        <x:f>IF(T152&gt;1,"Ganador",IF(T152&lt;0,"Perdedor","Empate"))</x:f>
        <x:v>Ganador</x:v>
      </x:c>
    </x:row>
    <x:row r="153">
      <x:c r="A153" t="str">
        <x:v>NVDA</x:v>
      </x:c>
      <x:c r="B153" t="n">
        <x:v>45016</x:v>
      </x:c>
      <x:c r="C153" t="n">
        <x:v>45019</x:v>
      </x:c>
      <x:c r="D153" t="n">
        <x:v>45166</x:v>
      </x:c>
      <x:c r="E153" t="n">
        <x:v>147</x:v>
      </x:c>
      <x:c r="F153" t="str">
        <x:v>enter_or_hold</x:v>
      </x:c>
      <x:c r="G153" t="str">
        <x:v>market_filter_failed</x:v>
      </x:c>
      <x:c r="H153" t="n">
        <x:v>3</x:v>
      </x:c>
      <x:c r="I153" t="n">
        <x:v>96.9875734185674</x:v>
      </x:c>
      <x:c r="J153" t="n">
        <x:v>102.51353117861649</x:v>
      </x:c>
      <x:c r="K153" t="n">
        <x:v>28.499073898288383</x:v>
      </x:c>
      <x:c r="L153" t="n">
        <x:v>46.834999084472656</x:v>
      </x:c>
      <x:c r="M153" t="n">
        <x:v>2921.5407006338814</x:v>
      </x:c>
      <x:c r="N153" t="n">
        <x:v>4801.2211388965625</x:v>
      </x:c>
      <x:c r="O153" t="n">
        <x:v>7.011697681521314</x:v>
      </x:c>
      <x:c r="P153" t="n">
        <x:v>11.52293073335175</x:v>
      </x:c>
      <x:c r="Q153" t="n">
        <x:v>27.96500015258789</x:v>
      </x:c>
      <x:c r="R153" t="n">
        <x:v>67.47719945976303</x:v>
      </x:c>
      <x:c r="S153" t="n">
        <x:v>64.33867027266982</x:v>
      </x:c>
      <x:c r="T153" t="n">
        <x:v>63.85867027266982</x:v>
      </x:c>
      <x:c r="U153" t="n">
        <x:f>YEAR(C153)</x:f>
        <x:v>2023</x:v>
      </x:c>
      <x:c r="V153" t="n">
        <x:f>YEAR(D153)</x:f>
        <x:v>2023</x:v>
      </x:c>
      <x:c r="W153" t="n">
        <x:f>N153-M153-O153-P153</x:f>
        <x:v>1861.1458098478079</x:v>
      </x:c>
      <x:c r="X153" t="str">
        <x:f>IF(T153&gt;1,"Ganador",IF(T153&lt;0,"Perdedor","Empate"))</x:f>
        <x:v>Ganador</x:v>
      </x:c>
    </x:row>
    <x:row r="154">
      <x:c r="A154" t="str">
        <x:v>SMCI</x:v>
      </x:c>
      <x:c r="B154" t="n">
        <x:v>45016</x:v>
      </x:c>
      <x:c r="C154" t="n">
        <x:v>45019</x:v>
      </x:c>
      <x:c r="D154" t="n">
        <x:v>45166</x:v>
      </x:c>
      <x:c r="E154" t="n">
        <x:v>147</x:v>
      </x:c>
      <x:c r="F154" t="str">
        <x:v>enter_or_hold</x:v>
      </x:c>
      <x:c r="G154" t="str">
        <x:v>market_filter_failed</x:v>
      </x:c>
      <x:c r="H154" t="n">
        <x:v>4</x:v>
      </x:c>
      <x:c r="I154" t="n">
        <x:v>44.686513783044376</x:v>
      </x:c>
      <x:c r="J154" t="n">
        <x:v>145.0710986946699</x:v>
      </x:c>
      <x:c r="K154" t="n">
        <x:v>11.23252835931908</x:v>
      </x:c>
      <x:c r="L154" t="n">
        <x:v>25.516000747680664</x:v>
      </x:c>
      <x:c r="M154" t="n">
        <x:v>1629.5152302054566</x:v>
      </x:c>
      <x:c r="N154" t="n">
        <x:v>3701.6342627600525</x:v>
      </x:c>
      <x:c r="O154" t="n">
        <x:v>3.910836552493095</x:v>
      </x:c>
      <x:c r="P154" t="n">
        <x:v>8.883922230624124</x:v>
      </x:c>
      <x:c r="Q154" t="n">
        <x:v>11.272000312805176</x:v>
      </x:c>
      <x:c r="R154" t="n">
        <x:v>126.36621752657398</x:v>
      </x:c>
      <x:c r="S154" t="n">
        <x:v>127.16168552124141</x:v>
      </x:c>
      <x:c r="T154" t="n">
        <x:v>126.6816855212414</x:v>
      </x:c>
      <x:c r="U154" t="n">
        <x:f>YEAR(C154)</x:f>
        <x:v>2023</x:v>
      </x:c>
      <x:c r="V154" t="n">
        <x:f>YEAR(D154)</x:f>
        <x:v>2023</x:v>
      </x:c>
      <x:c r="W154" t="n">
        <x:f>N154-M154-O154-P154</x:f>
        <x:v>2059.3242737714786</x:v>
      </x:c>
      <x:c r="X154" t="str">
        <x:f>IF(T154&gt;1,"Ganador",IF(T154&lt;0,"Perdedor","Empate"))</x:f>
        <x:v>Ganador</x:v>
      </x:c>
    </x:row>
    <x:row r="155">
      <x:c r="A155" t="str">
        <x:v>PLTR</x:v>
      </x:c>
      <x:c r="B155" t="n">
        <x:v>45072</x:v>
      </x:c>
      <x:c r="C155" t="n">
        <x:v>45076</x:v>
      </x:c>
      <x:c r="D155" t="n">
        <x:v>45166</x:v>
      </x:c>
      <x:c r="E155" t="n">
        <x:v>90</x:v>
      </x:c>
      <x:c r="F155" t="str">
        <x:v>enter_or_hold</x:v>
      </x:c>
      <x:c r="G155" t="str">
        <x:v>market_filter_failed</x:v>
      </x:c>
      <x:c r="H155" t="n">
        <x:v>6</x:v>
      </x:c>
      <x:c r="I155" t="n">
        <x:v>71.29963773645447</x:v>
      </x:c>
      <x:c r="J155" t="n">
        <x:v>241.49512105447033</x:v>
      </x:c>
      <x:c r="K155" t="n">
        <x:v>14.712909333731329</x:v>
      </x:c>
      <x:c r="L155" t="n">
        <x:v>14.640000343322754</x:v>
      </x:c>
      <x:c r="M155" t="n">
        <x:v>3553.0958206128935</x:v>
      </x:c>
      <x:c r="N155" t="n">
        <x:v>3535.4886551482155</x:v>
      </x:c>
      <x:c r="O155" t="n">
        <x:v>8.527429969470944</x:v>
      </x:c>
      <x:c r="P155" t="n">
        <x:v>8.485172772355716</x:v>
      </x:c>
      <x:c r="Q155" t="n">
        <x:v>14.710000038146973</x:v>
      </x:c>
      <x:c r="R155" t="n">
        <x:v>-0.47586468145949246</x:v>
      </x:c>
      <x:c r="S155" t="n">
        <x:v>-0.49554434649726753</x:v>
      </x:c>
      <x:c r="T155" t="n">
        <x:v>-0.9755443464972675</x:v>
      </x:c>
      <x:c r="U155" t="n">
        <x:f>YEAR(C155)</x:f>
        <x:v>2023</x:v>
      </x:c>
      <x:c r="V155" t="n">
        <x:f>YEAR(D155)</x:f>
        <x:v>2023</x:v>
      </x:c>
      <x:c r="W155" t="n">
        <x:f>N155-M155-O155-P155</x:f>
        <x:v>-34.61976820650468</x:v>
      </x:c>
      <x:c r="X155" t="str">
        <x:f>IF(T155&gt;1,"Ganador",IF(T155&lt;0,"Perdedor","Empate"))</x:f>
        <x:v>Perdedor</x:v>
      </x:c>
    </x:row>
    <x:row r="156">
      <x:c r="A156" t="str">
        <x:v>CCL</x:v>
      </x:c>
      <x:c r="B156" t="n">
        <x:v>45107</x:v>
      </x:c>
      <x:c r="C156" t="n">
        <x:v>45110</x:v>
      </x:c>
      <x:c r="D156" t="n">
        <x:v>45166</x:v>
      </x:c>
      <x:c r="E156" t="n">
        <x:v>56</x:v>
      </x:c>
      <x:c r="F156" t="str">
        <x:v>enter_or_hold</x:v>
      </x:c>
      <x:c r="G156" t="str">
        <x:v>market_filter_failed</x:v>
      </x:c>
      <x:c r="H156" t="n">
        <x:v>6</x:v>
      </x:c>
      <x:c r="I156" t="n">
        <x:v>70.85384091115661</x:v>
      </x:c>
      <x:c r="J156" t="n">
        <x:v>254.20304428149484</x:v>
      </x:c>
      <x:c r="K156" t="n">
        <x:v>18.94490893449822</x:v>
      </x:c>
      <x:c r="L156" t="n">
        <x:v>15.710000038146973</x:v>
      </x:c>
      <x:c r="M156" t="n">
        <x:v>4815.853524785138</x:v>
      </x:c>
      <x:c r="N156" t="n">
        <x:v>3993.5298353593607</x:v>
      </x:c>
      <x:c r="O156" t="n">
        <x:v>11.558048459484331</x:v>
      </x:c>
      <x:c r="P156" t="n">
        <x:v>9.584471604862465</x:v>
      </x:c>
      <x:c r="Q156" t="n">
        <x:v>18.959999084472656</x:v>
      </x:c>
      <x:c r="R156" t="n">
        <x:v>-17.14134600875208</x:v>
      </x:c>
      <x:c r="S156" t="n">
        <x:v>-17.075346772771006</x:v>
      </x:c>
      <x:c r="T156" t="n">
        <x:v>-17.555346772771006</x:v>
      </x:c>
      <x:c r="U156" t="n">
        <x:f>YEAR(C156)</x:f>
        <x:v>2023</x:v>
      </x:c>
      <x:c r="V156" t="n">
        <x:f>YEAR(D156)</x:f>
        <x:v>2023</x:v>
      </x:c>
      <x:c r="W156" t="n">
        <x:f>N156-M156-O156-P156</x:f>
        <x:v>-843.4662094901238</x:v>
      </x:c>
      <x:c r="X156" t="str">
        <x:f>IF(T156&gt;1,"Ganador",IF(T156&lt;0,"Perdedor","Empate"))</x:f>
        <x:v>Perdedor</x:v>
      </x:c>
    </x:row>
    <x:row r="157">
      <x:c r="A157" t="str">
        <x:v>CVNA</x:v>
      </x:c>
      <x:c r="B157" t="n">
        <x:v>45135</x:v>
      </x:c>
      <x:c r="C157" t="n">
        <x:v>45138</x:v>
      </x:c>
      <x:c r="D157" t="n">
        <x:v>45166</x:v>
      </x:c>
      <x:c r="E157" t="n">
        <x:v>28</x:v>
      </x:c>
      <x:c r="F157" t="str">
        <x:v>enter_or_hold</x:v>
      </x:c>
      <x:c r="G157" t="str">
        <x:v>market_filter_failed</x:v>
      </x:c>
      <x:c r="H157" t="n">
        <x:v>2</x:v>
      </x:c>
      <x:c r="I157" t="n">
        <x:v>152.68689388866946</x:v>
      </x:c>
      <x:c r="J157" t="n">
        <x:v>103.9978777701834</x:v>
      </x:c>
      <x:c r="K157" t="n">
        <x:v>45.95000076293945</x:v>
      </x:c>
      <x:c r="L157" t="n">
        <x:v>45.369998931884766</x:v>
      </x:c>
      <x:c r="M157" t="n">
        <x:v>4778.702562884011</x:v>
      </x:c>
      <x:c r="N157" t="n">
        <x:v>4718.383603351503</x:v>
      </x:c>
      <x:c r="O157" t="n">
        <x:v>11.468886150921625</x:v>
      </x:c>
      <x:c r="P157" t="n">
        <x:v>11.324120648043605</x:v>
      </x:c>
      <x:c r="Q157" t="n">
        <x:v>45.95000076293945</x:v>
      </x:c>
      <x:c r="R157" t="n">
        <x:v>-1.2622455308477054</x:v>
      </x:c>
      <x:c r="S157" t="n">
        <x:v>-1.2622455308477054</x:v>
      </x:c>
      <x:c r="T157" t="n">
        <x:v>-1.7422455308477054</x:v>
      </x:c>
      <x:c r="U157" t="n">
        <x:f>YEAR(C157)</x:f>
        <x:v>2023</x:v>
      </x:c>
      <x:c r="V157" t="n">
        <x:f>YEAR(D157)</x:f>
        <x:v>2023</x:v>
      </x:c>
      <x:c r="W157" t="n">
        <x:f>N157-M157-O157-P157</x:f>
        <x:v>-83.11196633147364</x:v>
      </x:c>
      <x:c r="X157" t="str">
        <x:f>IF(T157&gt;1,"Ganador",IF(T157&lt;0,"Perdedor","Empate"))</x:f>
        <x:v>Perdedor</x:v>
      </x:c>
    </x:row>
    <x:row r="158">
      <x:c r="A158" t="str">
        <x:v>META</x:v>
      </x:c>
      <x:c r="B158" t="n">
        <x:v>45135</x:v>
      </x:c>
      <x:c r="C158" t="n">
        <x:v>45138</x:v>
      </x:c>
      <x:c r="D158" t="n">
        <x:v>45166</x:v>
      </x:c>
      <x:c r="E158" t="n">
        <x:v>28</x:v>
      </x:c>
      <x:c r="F158" t="str">
        <x:v>enter_or_hold</x:v>
      </x:c>
      <x:c r="G158" t="str">
        <x:v>market_filter_failed</x:v>
      </x:c>
      <x:c r="H158" t="n">
        <x:v>5</x:v>
      </x:c>
      <x:c r="I158" t="n">
        <x:v>75.17126987629132</x:v>
      </x:c>
      <x:c r="J158" t="n">
        <x:v>14.999066137278646</x:v>
      </x:c>
      <x:c r="K158" t="n">
        <x:v>318.6000061035156</x:v>
      </x:c>
      <x:c r="L158" t="n">
        <x:v>290.260009765625</x:v>
      </x:c>
      <x:c r="M158" t="n">
        <x:v>4778.702562884011</x:v>
      </x:c>
      <x:c r="N158" t="n">
        <x:v>4353.6290834817555</x:v>
      </x:c>
      <x:c r="O158" t="n">
        <x:v>11.468886150921625</x:v>
      </x:c>
      <x:c r="P158" t="n">
        <x:v>10.448709800356212</x:v>
      </x:c>
      <x:c r="Q158" t="n">
        <x:v>318.6000061035156</x:v>
      </x:c>
      <x:c r="R158" t="n">
        <x:v>-8.89516503294816</x:v>
      </x:c>
      <x:c r="S158" t="n">
        <x:v>-8.89516503294816</x:v>
      </x:c>
      <x:c r="T158" t="n">
        <x:v>-9.37516503294816</x:v>
      </x:c>
      <x:c r="U158" t="n">
        <x:f>YEAR(C158)</x:f>
        <x:v>2023</x:v>
      </x:c>
      <x:c r="V158" t="n">
        <x:f>YEAR(D158)</x:f>
        <x:v>2023</x:v>
      </x:c>
      <x:c r="W158" t="n">
        <x:f>N158-M158-O158-P158</x:f>
        <x:v>-446.99107535353335</x:v>
      </x:c>
      <x:c r="X158" t="str">
        <x:f>IF(T158&gt;1,"Ganador",IF(T158&lt;0,"Perdedor","Empate"))</x:f>
        <x:v>Perdedor</x:v>
      </x:c>
    </x:row>
    <x:row r="159">
      <x:c r="A159" t="str">
        <x:v>DELL</x:v>
      </x:c>
      <x:c r="B159" t="n">
        <x:v>45254</x:v>
      </x:c>
      <x:c r="C159" t="n">
        <x:v>45257</x:v>
      </x:c>
      <x:c r="D159" t="n">
        <x:v>45293</x:v>
      </x:c>
      <x:c r="E159" t="n">
        <x:v>36</x:v>
      </x:c>
      <x:c r="F159" t="str">
        <x:v>enter_or_hold</x:v>
      </x:c>
      <x:c r="G159" t="str">
        <x:v>left_top_n</x:v>
      </x:c>
      <x:c r="H159" t="n">
        <x:v>5</x:v>
      </x:c>
      <x:c r="I159" t="n">
        <x:v>44.63883123047548</x:v>
      </x:c>
      <x:c r="J159" t="n">
        <x:v>55.92191945332943</x:v>
      </x:c>
      <x:c r="K159" t="n">
        <x:v>74.45999908447266</x:v>
      </x:c>
      <x:c r="L159" t="n">
        <x:v>74.79000091552734</x:v>
      </x:c>
      <x:c r="M159" t="n">
        <x:v>4163.946071296863</x:v>
      </x:c>
      <x:c r="N159" t="n">
        <x:v>4182.400407112555</x:v>
      </x:c>
      <x:c r="O159" t="n">
        <x:v>9.99347057111247</x:v>
      </x:c>
      <x:c r="P159" t="n">
        <x:v>10.03776097707013</x:v>
      </x:c>
      <x:c r="Q159" t="n">
        <x:v>74.45999908447266</x:v>
      </x:c>
      <x:c r="R159" t="n">
        <x:v>0.443193439581302</x:v>
      </x:c>
      <x:c r="S159" t="n">
        <x:v>0.443193439581302</x:v>
      </x:c>
      <x:c r="T159" t="n">
        <x:v>-0.03680656041869801</x:v>
      </x:c>
      <x:c r="U159" t="n">
        <x:f>YEAR(C159)</x:f>
        <x:v>2023</x:v>
      </x:c>
      <x:c r="V159" t="n">
        <x:f>YEAR(D159)</x:f>
        <x:v>2024</x:v>
      </x:c>
      <x:c r="W159" t="n">
        <x:f>N159-M159-O159-P159</x:f>
        <x:v>-1.576895732491007</x:v>
      </x:c>
      <x:c r="X159" t="str">
        <x:f>IF(T159&gt;1,"Ganador",IF(T159&lt;0,"Perdedor","Empate"))</x:f>
        <x:v>Perdedor</x:v>
      </x:c>
    </x:row>
    <x:row r="160">
      <x:c r="A160" t="str">
        <x:v>PLTR</x:v>
      </x:c>
      <x:c r="B160" t="n">
        <x:v>45254</x:v>
      </x:c>
      <x:c r="C160" t="n">
        <x:v>45257</x:v>
      </x:c>
      <x:c r="D160" t="n">
        <x:v>45293</x:v>
      </x:c>
      <x:c r="E160" t="n">
        <x:v>36</x:v>
      </x:c>
      <x:c r="F160" t="str">
        <x:v>enter_or_hold</x:v>
      </x:c>
      <x:c r="G160" t="str">
        <x:v>left_top_n</x:v>
      </x:c>
      <x:c r="H160" t="n">
        <x:v>3</x:v>
      </x:c>
      <x:c r="I160" t="n">
        <x:v>57.54592517175503</x:v>
      </x:c>
      <x:c r="J160" t="n">
        <x:v>218.23616813139213</x:v>
      </x:c>
      <x:c r="K160" t="n">
        <x:v>19.07999992370605</x:v>
      </x:c>
      <x:c r="L160" t="n">
        <x:v>16.579999923706055</x:v>
      </x:c>
      <x:c r="M160" t="n">
        <x:v>4163.946071296863</x:v>
      </x:c>
      <x:c r="N160" t="n">
        <x:v>3618.355650968383</x:v>
      </x:c>
      <x:c r="O160" t="n">
        <x:v>9.99347057111247</x:v>
      </x:c>
      <x:c r="P160" t="n">
        <x:v>8.684053562324118</x:v>
      </x:c>
      <x:c r="Q160" t="n">
        <x:v>19.07999992370605</x:v>
      </x:c>
      <x:c r="R160" t="n">
        <x:v>-13.102725419269301</x:v>
      </x:c>
      <x:c r="S160" t="n">
        <x:v>-13.102725419269301</x:v>
      </x:c>
      <x:c r="T160" t="n">
        <x:v>-13.582725419269302</x:v>
      </x:c>
      <x:c r="U160" t="n">
        <x:f>YEAR(C160)</x:f>
        <x:v>2023</x:v>
      </x:c>
      <x:c r="V160" t="n">
        <x:f>YEAR(D160)</x:f>
        <x:v>2024</x:v>
      </x:c>
      <x:c r="W160" t="n">
        <x:f>N160-M160-O160-P160</x:f>
        <x:v>-564.2679444619165</x:v>
      </x:c>
      <x:c r="X160" t="str">
        <x:f>IF(T160&gt;1,"Ganador",IF(T160&lt;0,"Perdedor","Empate"))</x:f>
        <x:v>Perdedor</x:v>
      </x:c>
    </x:row>
    <x:row r="161">
      <x:c r="A161" t="str">
        <x:v>SMCI</x:v>
      </x:c>
      <x:c r="B161" t="n">
        <x:v>45254</x:v>
      </x:c>
      <x:c r="C161" t="n">
        <x:v>45257</x:v>
      </x:c>
      <x:c r="D161" t="n">
        <x:v>45293</x:v>
      </x:c>
      <x:c r="E161" t="n">
        <x:v>36</x:v>
      </x:c>
      <x:c r="F161" t="str">
        <x:v>enter_or_hold</x:v>
      </x:c>
      <x:c r="G161" t="str">
        <x:v>left_top_n</x:v>
      </x:c>
      <x:c r="H161" t="n">
        <x:v>4</x:v>
      </x:c>
      <x:c r="I161" t="n">
        <x:v>54.45490727402807</x:v>
      </x:c>
      <x:c r="J161" t="n">
        <x:v>143.4013836555846</x:v>
      </x:c>
      <x:c r="K161" t="n">
        <x:v>29.03700065612793</x:v>
      </x:c>
      <x:c r="L161" t="n">
        <x:v>28.545000076293945</x:v>
      </x:c>
      <x:c r="M161" t="n">
        <x:v>4163.946071296863</x:v>
      </x:c>
      <x:c r="N161" t="n">
        <x:v>4093.3925073893197</x:v>
      </x:c>
      <x:c r="O161" t="n">
        <x:v>9.99347057111247</x:v>
      </x:c>
      <x:c r="P161" t="n">
        <x:v>9.824142017734367</x:v>
      </x:c>
      <x:c r="Q161" t="n">
        <x:v>29.03700065612793</x:v>
      </x:c>
      <x:c r="R161" t="n">
        <x:v>-1.69439187490652</x:v>
      </x:c>
      <x:c r="S161" t="n">
        <x:v>-1.69439187490652</x:v>
      </x:c>
      <x:c r="T161" t="n">
        <x:v>-2.17439187490652</x:v>
      </x:c>
      <x:c r="U161" t="n">
        <x:f>YEAR(C161)</x:f>
        <x:v>2023</x:v>
      </x:c>
      <x:c r="V161" t="n">
        <x:f>YEAR(D161)</x:f>
        <x:v>2024</x:v>
      </x:c>
      <x:c r="W161" t="n">
        <x:f>N161-M161-O161-P161</x:f>
        <x:v>-90.37117649639015</x:v>
      </x:c>
      <x:c r="X161" t="str">
        <x:f>IF(T161&gt;1,"Ganador",IF(T161&lt;0,"Perdedor","Empate"))</x:f>
        <x:v>Perdedor</x:v>
      </x:c>
    </x:row>
    <x:row r="162">
      <x:c r="A162" t="str">
        <x:v>COIN</x:v>
      </x:c>
      <x:c r="B162" t="n">
        <x:v>45254</x:v>
      </x:c>
      <x:c r="C162" t="n">
        <x:v>45257</x:v>
      </x:c>
      <x:c r="D162" t="n">
        <x:v>45293</x:v>
      </x:c>
      <x:c r="E162" t="n">
        <x:v>36</x:v>
      </x:c>
      <x:c r="F162" t="str">
        <x:v>enter_or_hold</x:v>
      </x:c>
      <x:c r="G162" t="str">
        <x:v>rebalance_trim</x:v>
      </x:c>
      <x:c r="H162" t="n">
        <x:v>1</x:v>
      </x:c>
      <x:c r="I162" t="n">
        <x:v>70.0541184529295</x:v>
      </x:c>
      <x:c r="J162" t="n">
        <x:v>5.021265906920917</x:v>
      </x:c>
      <x:c r="K162" t="n">
        <x:v>119.7699966430664</x:v>
      </x:c>
      <x:c r="L162" t="n">
        <x:v>156.8800048828125</x:v>
      </x:c>
      <x:c r="M162" t="n">
        <x:v>601.3970008158619</x:v>
      </x:c>
      <x:c r="N162" t="n">
        <x:v>787.7362199956533</x:v>
      </x:c>
      <x:c r="O162" t="n">
        <x:v>1.4433528019580686</x:v>
      </x:c>
      <x:c r="P162" t="n">
        <x:v>1.8905669279895678</x:v>
      </x:c>
      <x:c r="Q162" t="n">
        <x:v>119.7699966430664</x:v>
      </x:c>
      <x:c r="R162" t="n">
        <x:v>30.984394489330924</x:v>
      </x:c>
      <x:c r="S162" t="n">
        <x:v>30.984394489330924</x:v>
      </x:c>
      <x:c r="T162" t="n">
        <x:v>30.504394489330924</x:v>
      </x:c>
      <x:c r="U162" t="n">
        <x:f>YEAR(C162)</x:f>
        <x:v>2023</x:v>
      </x:c>
      <x:c r="V162" t="n">
        <x:f>YEAR(D162)</x:f>
        <x:v>2024</x:v>
      </x:c>
      <x:c r="W162" t="n">
        <x:f>N162-M162-O162-P162</x:f>
        <x:v>183.00529944984373</x:v>
      </x:c>
      <x:c r="X162" t="str">
        <x:f>IF(T162&gt;1,"Ganador",IF(T162&lt;0,"Perdedor","Empate"))</x:f>
        <x:v>Ganador</x:v>
      </x:c>
    </x:row>
    <x:row r="163">
      <x:c r="A163" t="str">
        <x:v>CVNA</x:v>
      </x:c>
      <x:c r="B163" t="n">
        <x:v>45254</x:v>
      </x:c>
      <x:c r="C163" t="n">
        <x:v>45257</x:v>
      </x:c>
      <x:c r="D163" t="n">
        <x:v>45293</x:v>
      </x:c>
      <x:c r="E163" t="n">
        <x:v>36</x:v>
      </x:c>
      <x:c r="F163" t="str">
        <x:v>enter_or_hold</x:v>
      </x:c>
      <x:c r="G163" t="str">
        <x:v>rebalance_trim</x:v>
      </x:c>
      <x:c r="H163" t="n">
        <x:v>6</x:v>
      </x:c>
      <x:c r="I163" t="n">
        <x:v>43.71112063050337</x:v>
      </x:c>
      <x:c r="J163" t="n">
        <x:v>39.13918707366877</x:v>
      </x:c>
      <x:c r="K163" t="n">
        <x:v>30.93000030517578</x:v>
      </x:c>
      <x:c r="L163" t="n">
        <x:v>48.869998931884766</x:v>
      </x:c>
      <x:c r="M163" t="n">
        <x:v>1210.575068132907</x:v>
      </x:c>
      <x:c r="N163" t="n">
        <x:v>1912.732030485031</x:v>
      </x:c>
      <x:c r="O163" t="n">
        <x:v>2.9053801635189767</x:v>
      </x:c>
      <x:c r="P163" t="n">
        <x:v>4.590556873164074</x:v>
      </x:c>
      <x:c r="Q163" t="n">
        <x:v>30.93000030517578</x:v>
      </x:c>
      <x:c r="R163" t="n">
        <x:v>58.00193485192735</x:v>
      </x:c>
      <x:c r="S163" t="n">
        <x:v>58.00193485192735</x:v>
      </x:c>
      <x:c r="T163" t="n">
        <x:v>57.521934851927355</x:v>
      </x:c>
      <x:c r="U163" t="n">
        <x:f>YEAR(C163)</x:f>
        <x:v>2023</x:v>
      </x:c>
      <x:c r="V163" t="n">
        <x:f>YEAR(D163)</x:f>
        <x:v>2024</x:v>
      </x:c>
      <x:c r="W163" t="n">
        <x:f>N163-M163-O163-P163</x:f>
        <x:v>694.6610253154408</x:v>
      </x:c>
      <x:c r="X163" t="str">
        <x:f>IF(T163&gt;1,"Ganador",IF(T163&lt;0,"Perdedor","Empate"))</x:f>
        <x:v>Ganador</x:v>
      </x:c>
    </x:row>
    <x:row r="164">
      <x:c r="A164" t="str">
        <x:v>CVNA</x:v>
      </x:c>
      <x:c r="B164" t="n">
        <x:v>45254</x:v>
      </x:c>
      <x:c r="C164" t="n">
        <x:v>45257</x:v>
      </x:c>
      <x:c r="D164" t="n">
        <x:v>45320</x:v>
      </x:c>
      <x:c r="E164" t="n">
        <x:v>63</x:v>
      </x:c>
      <x:c r="F164" t="str">
        <x:v>enter_or_hold</x:v>
      </x:c>
      <x:c r="G164" t="str">
        <x:v>left_top_n</x:v>
      </x:c>
      <x:c r="H164" t="n">
        <x:v>6</x:v>
      </x:c>
      <x:c r="I164" t="n">
        <x:v>43.71112063050337</x:v>
      </x:c>
      <x:c r="J164" t="n">
        <x:v>95.48564416501938</x:v>
      </x:c>
      <x:c r="K164" t="n">
        <x:v>30.93000030517578</x:v>
      </x:c>
      <x:c r="L164" t="n">
        <x:v>44.91999816894531</x:v>
      </x:c>
      <x:c r="M164" t="n">
        <x:v>2953.3710031639557</x:v>
      </x:c>
      <x:c r="N164" t="n">
        <x:v>4289.214961053234</x:v>
      </x:c>
      <x:c r="O164" t="n">
        <x:v>7.0880904075934925</x:v>
      </x:c>
      <x:c r="P164" t="n">
        <x:v>10.294115906527761</x:v>
      </x:c>
      <x:c r="Q164" t="n">
        <x:v>30.93000030517578</x:v>
      </x:c>
      <x:c r="R164" t="n">
        <x:v>45.23115979869055</x:v>
      </x:c>
      <x:c r="S164" t="n">
        <x:v>45.23115979869055</x:v>
      </x:c>
      <x:c r="T164" t="n">
        <x:v>44.75115979869055</x:v>
      </x:c>
      <x:c r="U164" t="n">
        <x:f>YEAR(C164)</x:f>
        <x:v>2023</x:v>
      </x:c>
      <x:c r="V164" t="n">
        <x:f>YEAR(D164)</x:f>
        <x:v>2024</x:v>
      </x:c>
      <x:c r="W164" t="n">
        <x:f>N164-M164-O164-P164</x:f>
        <x:v>1318.4617515751572</x:v>
      </x:c>
      <x:c r="X164" t="str">
        <x:f>IF(T164&gt;1,"Ganador",IF(T164&lt;0,"Perdedor","Empate"))</x:f>
        <x:v>Ganador</x:v>
      </x:c>
    </x:row>
    <x:row r="165">
      <x:c r="A165" t="str">
        <x:v>INTC</x:v>
      </x:c>
      <x:c r="B165" t="n">
        <x:v>45289</x:v>
      </x:c>
      <x:c r="C165" t="n">
        <x:v>45293</x:v>
      </x:c>
      <x:c r="D165" t="n">
        <x:v>45320</x:v>
      </x:c>
      <x:c r="E165" t="n">
        <x:v>27</x:v>
      </x:c>
      <x:c r="F165" t="str">
        <x:v>enter_or_hold</x:v>
      </x:c>
      <x:c r="G165" t="str">
        <x:v>left_top_n</x:v>
      </x:c>
      <x:c r="H165" t="n">
        <x:v>4</x:v>
      </x:c>
      <x:c r="I165" t="n">
        <x:v>47.18722035651683</x:v>
      </x:c>
      <x:c r="J165" t="n">
        <x:v>97.35236005265351</x:v>
      </x:c>
      <x:c r="K165" t="n">
        <x:v>47.79999923706055</x:v>
      </x:c>
      <x:c r="L165" t="n">
        <x:v>43.84000015258789</x:v>
      </x:c>
      <x:c r="M165" t="n">
        <x:v>4653.442736242881</x:v>
      </x:c>
      <x:c r="N165" t="n">
        <x:v>4267.927479563121</x:v>
      </x:c>
      <x:c r="O165" t="n">
        <x:v>11.168262566982914</x:v>
      </x:c>
      <x:c r="P165" t="n">
        <x:v>10.24302595095149</x:v>
      </x:c>
      <x:c r="Q165" t="n">
        <x:v>47.79999923706055</x:v>
      </x:c>
      <x:c r="R165" t="n">
        <x:v>-8.284517045352525</x:v>
      </x:c>
      <x:c r="S165" t="n">
        <x:v>-8.284517045352525</x:v>
      </x:c>
      <x:c r="T165" t="n">
        <x:v>-8.764517045352525</x:v>
      </x:c>
      <x:c r="U165" t="n">
        <x:f>YEAR(C165)</x:f>
        <x:v>2024</x:v>
      </x:c>
      <x:c r="V165" t="n">
        <x:f>YEAR(D165)</x:f>
        <x:v>2024</x:v>
      </x:c>
      <x:c r="W165" t="n">
        <x:f>N165-M165-O165-P165</x:f>
        <x:v>-406.92654519769496</x:v>
      </x:c>
      <x:c r="X165" t="str">
        <x:f>IF(T165&gt;1,"Ganador",IF(T165&lt;0,"Perdedor","Empate"))</x:f>
        <x:v>Perdedor</x:v>
      </x:c>
    </x:row>
    <x:row r="166">
      <x:c r="A166" t="str">
        <x:v>RCL</x:v>
      </x:c>
      <x:c r="B166" t="n">
        <x:v>45289</x:v>
      </x:c>
      <x:c r="C166" t="n">
        <x:v>45293</x:v>
      </x:c>
      <x:c r="D166" t="n">
        <x:v>45320</x:v>
      </x:c>
      <x:c r="E166" t="n">
        <x:v>27</x:v>
      </x:c>
      <x:c r="F166" t="str">
        <x:v>enter_or_hold</x:v>
      </x:c>
      <x:c r="G166" t="str">
        <x:v>left_top_n</x:v>
      </x:c>
      <x:c r="H166" t="n">
        <x:v>3</x:v>
      </x:c>
      <x:c r="I166" t="n">
        <x:v>48.521623380140014</x:v>
      </x:c>
      <x:c r="J166" t="n">
        <x:v>38.73350058168748</x:v>
      </x:c>
      <x:c r="K166" t="n">
        <x:v>120.13999938964844</x:v>
      </x:c>
      <x:c r="L166" t="n">
        <x:v>127.38999938964844</x:v>
      </x:c>
      <x:c r="M166" t="n">
        <x:v>4653.442736242881</x:v>
      </x:c>
      <x:c r="N166" t="n">
        <x:v>4934.260615460115</x:v>
      </x:c>
      <x:c r="O166" t="n">
        <x:v>11.168262566982914</x:v>
      </x:c>
      <x:c r="P166" t="n">
        <x:v>11.842225477104275</x:v>
      </x:c>
      <x:c r="Q166" t="n">
        <x:v>120.13999938964844</x:v>
      </x:c>
      <x:c r="R166" t="n">
        <x:v>6.034626300010348</x:v>
      </x:c>
      <x:c r="S166" t="n">
        <x:v>6.034626300010348</x:v>
      </x:c>
      <x:c r="T166" t="n">
        <x:v>5.554626300010348</x:v>
      </x:c>
      <x:c r="U166" t="n">
        <x:f>YEAR(C166)</x:f>
        <x:v>2024</x:v>
      </x:c>
      <x:c r="V166" t="n">
        <x:f>YEAR(D166)</x:f>
        <x:v>2024</x:v>
      </x:c>
      <x:c r="W166" t="n">
        <x:f>N166-M166-O166-P166</x:f>
        <x:v>257.80739117314675</x:v>
      </x:c>
      <x:c r="X166" t="str">
        <x:f>IF(T166&gt;1,"Ganador",IF(T166&lt;0,"Perdedor","Empate"))</x:f>
        <x:v>Ganador</x:v>
      </x:c>
    </x:row>
    <x:row r="167">
      <x:c r="A167" t="str">
        <x:v>APP</x:v>
      </x:c>
      <x:c r="B167" t="n">
        <x:v>45254</x:v>
      </x:c>
      <x:c r="C167" t="n">
        <x:v>45257</x:v>
      </x:c>
      <x:c r="D167" t="n">
        <x:v>45320</x:v>
      </x:c>
      <x:c r="E167" t="n">
        <x:v>63</x:v>
      </x:c>
      <x:c r="F167" t="str">
        <x:v>enter_or_hold</x:v>
      </x:c>
      <x:c r="G167" t="str">
        <x:v>rebalance_trim</x:v>
      </x:c>
      <x:c r="H167" t="n">
        <x:v>6</x:v>
      </x:c>
      <x:c r="I167" t="n">
        <x:v>45.51454836049924</x:v>
      </x:c>
      <x:c r="J167" t="n">
        <x:v>18.806614715918563</x:v>
      </x:c>
      <x:c r="K167" t="n">
        <x:v>39.316179564663436</x:v>
      </x:c>
      <x:c r="L167" t="n">
        <x:v>46.56999969482422</x:v>
      </x:c>
      <x:c r="M167" t="n">
        <x:v>739.404241174496</x:v>
      </x:c>
      <x:c r="N167" t="n">
        <x:v>875.8240415810042</x:v>
      </x:c>
      <x:c r="O167" t="n">
        <x:v>1.7745701788187902</x:v>
      </x:c>
      <x:c r="P167" t="n">
        <x:v>2.1019776997944097</x:v>
      </x:c>
      <x:c r="Q167" t="n">
        <x:v>39.38999938964844</x:v>
      </x:c>
      <x:c r="R167" t="n">
        <x:v>18.22797770101683</x:v>
      </x:c>
      <x:c r="S167" t="n">
        <x:v>18.44996184898995</x:v>
      </x:c>
      <x:c r="T167" t="n">
        <x:v>17.96996184898995</x:v>
      </x:c>
      <x:c r="U167" t="n">
        <x:f>YEAR(C167)</x:f>
        <x:v>2023</x:v>
      </x:c>
      <x:c r="V167" t="n">
        <x:f>YEAR(D167)</x:f>
        <x:v>2024</x:v>
      </x:c>
      <x:c r="W167" t="n">
        <x:f>N167-M167-O167-P167</x:f>
        <x:v>132.54325252789502</x:v>
      </x:c>
      <x:c r="X167" t="str">
        <x:f>IF(T167&gt;1,"Ganador",IF(T167&lt;0,"Perdedor","Empate"))</x:f>
        <x:v>Ganador</x:v>
      </x:c>
    </x:row>
    <x:row r="168">
      <x:c r="A168" t="str">
        <x:v>UBER</x:v>
      </x:c>
      <x:c r="B168" t="n">
        <x:v>45289</x:v>
      </x:c>
      <x:c r="C168" t="n">
        <x:v>45293</x:v>
      </x:c>
      <x:c r="D168" t="n">
        <x:v>45320</x:v>
      </x:c>
      <x:c r="E168" t="n">
        <x:v>27</x:v>
      </x:c>
      <x:c r="F168" t="str">
        <x:v>enter_or_hold</x:v>
      </x:c>
      <x:c r="G168" t="str">
        <x:v>rebalance_trim</x:v>
      </x:c>
      <x:c r="H168" t="n">
        <x:v>5</x:v>
      </x:c>
      <x:c r="I168" t="n">
        <x:v>46.819096021795744</x:v>
      </x:c>
      <x:c r="J168" t="n">
        <x:v>9.167546097179676</x:v>
      </x:c>
      <x:c r="K168" t="n">
        <x:v>58.380001068115234</x:v>
      </x:c>
      <x:c r="L168" t="n">
        <x:v>66.9800033569336</x:v>
      </x:c>
      <x:c r="M168" t="n">
        <x:v>535.2013509453451</x:v>
      </x:c>
      <x:c r="N168" t="n">
        <x:v>614.0422683639381</x:v>
      </x:c>
      <x:c r="O168" t="n">
        <x:v>1.2844832422688282</x:v>
      </x:c>
      <x:c r="P168" t="n">
        <x:v>1.4737014440734513</x:v>
      </x:c>
      <x:c r="Q168" t="n">
        <x:v>58.380001068115234</x:v>
      </x:c>
      <x:c r="R168" t="n">
        <x:v>14.731075936062844</x:v>
      </x:c>
      <x:c r="S168" t="n">
        <x:v>14.731075936062844</x:v>
      </x:c>
      <x:c r="T168" t="n">
        <x:v>14.251075936062843</x:v>
      </x:c>
      <x:c r="U168" t="n">
        <x:f>YEAR(C168)</x:f>
        <x:v>2024</x:v>
      </x:c>
      <x:c r="V168" t="n">
        <x:f>YEAR(D168)</x:f>
        <x:v>2024</x:v>
      </x:c>
      <x:c r="W168" t="n">
        <x:f>N168-M168-O168-P168</x:f>
        <x:v>76.0827327322507</x:v>
      </x:c>
      <x:c r="X168" t="str">
        <x:f>IF(T168&gt;1,"Ganador",IF(T168&lt;0,"Perdedor","Empate"))</x:f>
        <x:v>Ganador</x:v>
      </x:c>
    </x:row>
    <x:row r="169">
      <x:c r="A169" t="str">
        <x:v>AMD</x:v>
      </x:c>
      <x:c r="B169" t="n">
        <x:v>45317</x:v>
      </x:c>
      <x:c r="C169" t="n">
        <x:v>45320</x:v>
      </x:c>
      <x:c r="D169" t="n">
        <x:v>45348</x:v>
      </x:c>
      <x:c r="E169" t="n">
        <x:v>28</x:v>
      </x:c>
      <x:c r="F169" t="str">
        <x:v>enter_or_hold</x:v>
      </x:c>
      <x:c r="G169" t="str">
        <x:v>left_top_n</x:v>
      </x:c>
      <x:c r="H169" t="n">
        <x:v>2</x:v>
      </x:c>
      <x:c r="I169" t="n">
        <x:v>60.39356310742148</x:v>
      </x:c>
      <x:c r="J169" t="n">
        <x:v>26.50070086013329</x:v>
      </x:c>
      <x:c r="K169" t="n">
        <x:v>177.8300018310547</x:v>
      </x:c>
      <x:c r="L169" t="n">
        <x:v>176.00999450683594</x:v>
      </x:c>
      <x:c r="M169" t="n">
        <x:v>4712.619682481735</x:v>
      </x:c>
      <x:c r="N169" t="n">
        <x:v>4664.388212819363</x:v>
      </x:c>
      <x:c r="O169" t="n">
        <x:v>11.310287237956164</x:v>
      </x:c>
      <x:c r="P169" t="n">
        <x:v>11.19453171076647</x:v>
      </x:c>
      <x:c r="Q169" t="n">
        <x:v>177.8300018310547</x:v>
      </x:c>
      <x:c r="R169" t="n">
        <x:v>-1.0234534698750242</x:v>
      </x:c>
      <x:c r="S169" t="n">
        <x:v>-1.0234534698750242</x:v>
      </x:c>
      <x:c r="T169" t="n">
        <x:v>-1.5034534698750242</x:v>
      </x:c>
      <x:c r="U169" t="n">
        <x:f>YEAR(C169)</x:f>
        <x:v>2024</x:v>
      </x:c>
      <x:c r="V169" t="n">
        <x:f>YEAR(D169)</x:f>
        <x:v>2024</x:v>
      </x:c>
      <x:c r="W169" t="n">
        <x:f>N169-M169-O169-P169</x:f>
        <x:v>-70.73628861109518</x:v>
      </x:c>
      <x:c r="X169" t="str">
        <x:f>IF(T169&gt;1,"Ganador",IF(T169&lt;0,"Perdedor","Empate"))</x:f>
        <x:v>Perdedor</x:v>
      </x:c>
    </x:row>
    <x:row r="170">
      <x:c r="A170" t="str">
        <x:v>COIN</x:v>
      </x:c>
      <x:c r="B170" t="n">
        <x:v>45254</x:v>
      </x:c>
      <x:c r="C170" t="n">
        <x:v>45257</x:v>
      </x:c>
      <x:c r="D170" t="n">
        <x:v>45348</x:v>
      </x:c>
      <x:c r="E170" t="n">
        <x:v>91</x:v>
      </x:c>
      <x:c r="F170" t="str">
        <x:v>enter_or_hold</x:v>
      </x:c>
      <x:c r="G170" t="str">
        <x:v>rebalance_trim</x:v>
      </x:c>
      <x:c r="H170" t="n">
        <x:v>6</x:v>
      </x:c>
      <x:c r="I170" t="n">
        <x:v>46.292244357338895</x:v>
      </x:c>
      <x:c r="J170" t="n">
        <x:v>3.4484430154326655</x:v>
      </x:c>
      <x:c r="K170" t="n">
        <x:v>121.90246063204047</x:v>
      </x:c>
      <x:c r="L170" t="n">
        <x:v>193.94000244140625</x:v>
      </x:c>
      <x:c r="M170" t="n">
        <x:v>420.37368893061534</x:v>
      </x:c>
      <x:c r="N170" t="n">
        <x:v>668.7910468320615</x:v>
      </x:c>
      <x:c r="O170" t="n">
        <x:v>1.0088968534334768</x:v>
      </x:c>
      <x:c r="P170" t="n">
        <x:v>1.6050985123969475</x:v>
      </x:c>
      <x:c r="Q170" t="n">
        <x:v>119.7699966430664</x:v>
      </x:c>
      <x:c r="R170" t="n">
        <x:v>61.927033378299434</x:v>
      </x:c>
      <x:c r="S170" t="n">
        <x:v>59.09441157780178</x:v>
      </x:c>
      <x:c r="T170" t="n">
        <x:v>58.61441157780178</x:v>
      </x:c>
      <x:c r="U170" t="n">
        <x:f>YEAR(C170)</x:f>
        <x:v>2023</x:v>
      </x:c>
      <x:c r="V170" t="n">
        <x:f>YEAR(D170)</x:f>
        <x:v>2024</x:v>
      </x:c>
      <x:c r="W170" t="n">
        <x:f>N170-M170-O170-P170</x:f>
        <x:v>245.80336253561575</x:v>
      </x:c>
      <x:c r="X170" t="str">
        <x:f>IF(T170&gt;1,"Ganador",IF(T170&lt;0,"Perdedor","Empate"))</x:f>
        <x:v>Ganador</x:v>
      </x:c>
    </x:row>
    <x:row r="171">
      <x:c r="A171" t="str">
        <x:v>SMCI</x:v>
      </x:c>
      <x:c r="B171" t="n">
        <x:v>45317</x:v>
      </x:c>
      <x:c r="C171" t="n">
        <x:v>45320</x:v>
      </x:c>
      <x:c r="D171" t="n">
        <x:v>45348</x:v>
      </x:c>
      <x:c r="E171" t="n">
        <x:v>28</x:v>
      </x:c>
      <x:c r="F171" t="str">
        <x:v>enter_or_hold</x:v>
      </x:c>
      <x:c r="G171" t="str">
        <x:v>rebalance_trim</x:v>
      </x:c>
      <x:c r="H171" t="n">
        <x:v>1</x:v>
      </x:c>
      <x:c r="I171" t="n">
        <x:v>108.30894202877732</x:v>
      </x:c>
      <x:c r="J171" t="n">
        <x:v>24.022127444173776</x:v>
      </x:c>
      <x:c r="K171" t="n">
        <x:v>49.56700134277344</x:v>
      </x:c>
      <x:c r="L171" t="n">
        <x:v>87.63400268554688</x:v>
      </x:c>
      <x:c r="M171" t="n">
        <x:v>1190.7048232816364</x:v>
      </x:c>
      <x:c r="N171" t="n">
        <x:v>2105.155180955274</x:v>
      </x:c>
      <x:c r="O171" t="n">
        <x:v>2.857691575875927</x:v>
      </x:c>
      <x:c r="P171" t="n">
        <x:v>5.052372434292657</x:v>
      </x:c>
      <x:c r="Q171" t="n">
        <x:v>49.56700134277344</x:v>
      </x:c>
      <x:c r="R171" t="n">
        <x:v>76.79908066160104</x:v>
      </x:c>
      <x:c r="S171" t="n">
        <x:v>76.79908066160104</x:v>
      </x:c>
      <x:c r="T171" t="n">
        <x:v>76.31908066160103</x:v>
      </x:c>
      <x:c r="U171" t="n">
        <x:f>YEAR(C171)</x:f>
        <x:v>2024</x:v>
      </x:c>
      <x:c r="V171" t="n">
        <x:f>YEAR(D171)</x:f>
        <x:v>2024</x:v>
      </x:c>
      <x:c r="W171" t="n">
        <x:f>N171-M171-O171-P171</x:f>
        <x:v>906.5402936634688</x:v>
      </x:c>
      <x:c r="X171" t="str">
        <x:f>IF(T171&gt;1,"Ganador",IF(T171&lt;0,"Perdedor","Empate"))</x:f>
        <x:v>Ganador</x:v>
      </x:c>
    </x:row>
    <x:row r="172">
      <x:c r="A172" t="str">
        <x:v>UBER</x:v>
      </x:c>
      <x:c r="B172" t="n">
        <x:v>45289</x:v>
      </x:c>
      <x:c r="C172" t="n">
        <x:v>45293</x:v>
      </x:c>
      <x:c r="D172" t="n">
        <x:v>45383</x:v>
      </x:c>
      <x:c r="E172" t="n">
        <x:v>90</x:v>
      </x:c>
      <x:c r="F172" t="str">
        <x:v>enter_or_hold</x:v>
      </x:c>
      <x:c r="G172" t="str">
        <x:v>left_top_n</x:v>
      </x:c>
      <x:c r="H172" t="n">
        <x:v>6</x:v>
      </x:c>
      <x:c r="I172" t="n">
        <x:v>64.26248051122782</x:v>
      </x:c>
      <x:c r="J172" t="n">
        <x:v>79.42476104859679</x:v>
      </x:c>
      <x:c r="K172" t="n">
        <x:v>60.61454079873403</x:v>
      </x:c>
      <x:c r="L172" t="n">
        <x:v>76.4000015258789</x:v>
      </x:c>
      <x:c r="M172" t="n">
        <x:v>4814.295419009872</x:v>
      </x:c>
      <x:c r="N172" t="n">
        <x:v>6068.051865305362</x:v>
      </x:c>
      <x:c r="O172" t="n">
        <x:v>11.55430900562369</x:v>
      </x:c>
      <x:c r="P172" t="n">
        <x:v>14.563324476732868</x:v>
      </x:c>
      <x:c r="Q172" t="n">
        <x:v>58.380001068115234</x:v>
      </x:c>
      <x:c r="R172" t="n">
        <x:v>30.866735402657362</x:v>
      </x:c>
      <x:c r="S172" t="n">
        <x:v>26.042366269109074</x:v>
      </x:c>
      <x:c r="T172" t="n">
        <x:v>25.562366269109074</x:v>
      </x:c>
      <x:c r="U172" t="n">
        <x:f>YEAR(C172)</x:f>
        <x:v>2024</x:v>
      </x:c>
      <x:c r="V172" t="n">
        <x:f>YEAR(D172)</x:f>
        <x:v>2024</x:v>
      </x:c>
      <x:c r="W172" t="n">
        <x:f>N172-M172-O172-P172</x:f>
        <x:v>1227.638812813134</x:v>
      </x:c>
      <x:c r="X172" t="str">
        <x:f>IF(T172&gt;1,"Ganador",IF(T172&lt;0,"Perdedor","Empate"))</x:f>
        <x:v>Ganador</x:v>
      </x:c>
    </x:row>
    <x:row r="173">
      <x:c r="A173" t="str">
        <x:v>APP</x:v>
      </x:c>
      <x:c r="B173" t="n">
        <x:v>45254</x:v>
      </x:c>
      <x:c r="C173" t="n">
        <x:v>45257</x:v>
      </x:c>
      <x:c r="D173" t="n">
        <x:v>45383</x:v>
      </x:c>
      <x:c r="E173" t="n">
        <x:v>126</x:v>
      </x:c>
      <x:c r="F173" t="str">
        <x:v>enter_or_hold</x:v>
      </x:c>
      <x:c r="G173" t="str">
        <x:v>rebalance_trim</x:v>
      </x:c>
      <x:c r="H173" t="n">
        <x:v>5</x:v>
      </x:c>
      <x:c r="I173" t="n">
        <x:v>75.85517957778616</x:v>
      </x:c>
      <x:c r="J173" t="n">
        <x:v>0.3369087751601736</x:v>
      </x:c>
      <x:c r="K173" t="n">
        <x:v>40.07451533104322</x:v>
      </x:c>
      <x:c r="L173" t="n">
        <x:v>69.13999938964844</x:v>
      </x:c>
      <x:c r="M173" t="n">
        <x:v>13.501455875319369</x:v>
      </x:c>
      <x:c r="N173" t="n">
        <x:v>23.293872508941604</x:v>
      </x:c>
      <x:c r="O173" t="n">
        <x:v>0.03240349410076648</x:v>
      </x:c>
      <x:c r="P173" t="n">
        <x:v>0.05590529402145984</x:v>
      </x:c>
      <x:c r="Q173" t="n">
        <x:v>39.38999938964844</x:v>
      </x:c>
      <x:c r="R173" t="n">
        <x:v>75.5267846178698</x:v>
      </x:c>
      <x:c r="S173" t="n">
        <x:v>72.52859783456944</x:v>
      </x:c>
      <x:c r="T173" t="n">
        <x:v>72.04859783456943</x:v>
      </x:c>
      <x:c r="U173" t="n">
        <x:f>YEAR(C173)</x:f>
        <x:v>2023</x:v>
      </x:c>
      <x:c r="V173" t="n">
        <x:f>YEAR(D173)</x:f>
        <x:v>2024</x:v>
      </x:c>
      <x:c r="W173" t="n">
        <x:f>N173-M173-O173-P173</x:f>
        <x:v>9.704107845500008</x:v>
      </x:c>
      <x:c r="X173" t="str">
        <x:f>IF(T173&gt;1,"Ganador",IF(T173&lt;0,"Perdedor","Empate"))</x:f>
        <x:v>Ganador</x:v>
      </x:c>
    </x:row>
    <x:row r="174">
      <x:c r="A174" t="str">
        <x:v>COIN</x:v>
      </x:c>
      <x:c r="B174" t="n">
        <x:v>45254</x:v>
      </x:c>
      <x:c r="C174" t="n">
        <x:v>45257</x:v>
      </x:c>
      <x:c r="D174" t="n">
        <x:v>45383</x:v>
      </x:c>
      <x:c r="E174" t="n">
        <x:v>126</x:v>
      </x:c>
      <x:c r="F174" t="str">
        <x:v>enter_or_hold</x:v>
      </x:c>
      <x:c r="G174" t="str">
        <x:v>rebalance_trim</x:v>
      </x:c>
      <x:c r="H174" t="n">
        <x:v>6</x:v>
      </x:c>
      <x:c r="I174" t="n">
        <x:v>46.292244357338895</x:v>
      </x:c>
      <x:c r="J174" t="n">
        <x:v>3.2588756674514836</x:v>
      </x:c>
      <x:c r="K174" t="n">
        <x:v>121.90246063204047</x:v>
      </x:c>
      <x:c r="L174" t="n">
        <x:v>252.1100006103516</x:v>
      </x:c>
      <x:c r="M174" t="n">
        <x:v>397.264962756219</x:v>
      </x:c>
      <x:c r="N174" t="n">
        <x:v>821.5951465102535</x:v>
      </x:c>
      <x:c r="O174" t="n">
        <x:v>0.9534359106149255</x:v>
      </x:c>
      <x:c r="P174" t="n">
        <x:v>1.9718283516246082</x:v>
      </x:c>
      <x:c r="Q174" t="n">
        <x:v>119.7699966430664</x:v>
      </x:c>
      <x:c r="R174" t="n">
        <x:v>110.49512204770231</x:v>
      </x:c>
      <x:c r="S174" t="n">
        <x:v>106.81288901242061</x:v>
      </x:c>
      <x:c r="T174" t="n">
        <x:v>106.33288901242061</x:v>
      </x:c>
      <x:c r="U174" t="n">
        <x:f>YEAR(C174)</x:f>
        <x:v>2023</x:v>
      </x:c>
      <x:c r="V174" t="n">
        <x:f>YEAR(D174)</x:f>
        <x:v>2024</x:v>
      </x:c>
      <x:c r="W174" t="n">
        <x:f>N174-M174-O174-P174</x:f>
        <x:v>421.40491949179494</x:v>
      </x:c>
      <x:c r="X174" t="str">
        <x:f>IF(T174&gt;1,"Ganador",IF(T174&lt;0,"Perdedor","Empate"))</x:f>
        <x:v>Ganador</x:v>
      </x:c>
    </x:row>
    <x:row r="175">
      <x:c r="A175" t="str">
        <x:v>CVNA</x:v>
      </x:c>
      <x:c r="B175" t="n">
        <x:v>45345</x:v>
      </x:c>
      <x:c r="C175" t="n">
        <x:v>45348</x:v>
      </x:c>
      <x:c r="D175" t="n">
        <x:v>45383</x:v>
      </x:c>
      <x:c r="E175" t="n">
        <x:v>35</x:v>
      </x:c>
      <x:c r="F175" t="str">
        <x:v>enter_or_hold</x:v>
      </x:c>
      <x:c r="G175" t="str">
        <x:v>rebalance_trim</x:v>
      </x:c>
      <x:c r="H175" t="n">
        <x:v>2</x:v>
      </x:c>
      <x:c r="I175" t="n">
        <x:v>115.76932704170306</x:v>
      </x:c>
      <x:c r="J175" t="n">
        <x:v>5.052991505592334</x:v>
      </x:c>
      <x:c r="K175" t="n">
        <x:v>69.87999725341797</x:v>
      </x:c>
      <x:c r="L175" t="n">
        <x:v>86.79000091552734</x:v>
      </x:c>
      <x:c r="M175" t="n">
        <x:v>353.1030325323366</x:v>
      </x:c>
      <x:c r="N175" t="n">
        <x:v>438.54913739651056</x:v>
      </x:c>
      <x:c r="O175" t="n">
        <x:v>0.8474472780776079</x:v>
      </x:c>
      <x:c r="P175" t="n">
        <x:v>1.0525179297516252</x:v>
      </x:c>
      <x:c r="Q175" t="n">
        <x:v>69.87999725341797</x:v>
      </x:c>
      <x:c r="R175" t="n">
        <x:v>24.198632408049026</x:v>
      </x:c>
      <x:c r="S175" t="n">
        <x:v>24.198632408049026</x:v>
      </x:c>
      <x:c r="T175" t="n">
        <x:v>23.718632408049025</x:v>
      </x:c>
      <x:c r="U175" t="n">
        <x:f>YEAR(C175)</x:f>
        <x:v>2024</x:v>
      </x:c>
      <x:c r="V175" t="n">
        <x:f>YEAR(D175)</x:f>
        <x:v>2024</x:v>
      </x:c>
      <x:c r="W175" t="n">
        <x:f>N175-M175-O175-P175</x:f>
        <x:v>83.5461396563447</x:v>
      </x:c>
      <x:c r="X175" t="str">
        <x:f>IF(T175&gt;1,"Ganador",IF(T175&lt;0,"Perdedor","Empate"))</x:f>
        <x:v>Ganador</x:v>
      </x:c>
    </x:row>
    <x:row r="176">
      <x:c r="A176" t="str">
        <x:v>SMCI</x:v>
      </x:c>
      <x:c r="B176" t="n">
        <x:v>45317</x:v>
      </x:c>
      <x:c r="C176" t="n">
        <x:v>45320</x:v>
      </x:c>
      <x:c r="D176" t="n">
        <x:v>45383</x:v>
      </x:c>
      <x:c r="E176" t="n">
        <x:v>63</x:v>
      </x:c>
      <x:c r="F176" t="str">
        <x:v>enter_or_hold</x:v>
      </x:c>
      <x:c r="G176" t="str">
        <x:v>rebalance_trim</x:v>
      </x:c>
      <x:c r="H176" t="n">
        <x:v>1</x:v>
      </x:c>
      <x:c r="I176" t="n">
        <x:v>108.30894202877732</x:v>
      </x:c>
      <x:c r="J176" t="n">
        <x:v>0.9311997992238923</x:v>
      </x:c>
      <x:c r="K176" t="n">
        <x:v>49.56700134277344</x:v>
      </x:c>
      <x:c r="L176" t="n">
        <x:v>103.71499633789062</x:v>
      </x:c>
      <x:c r="M176" t="n">
        <x:v>46.15678169852102</x:v>
      </x:c>
      <x:c r="N176" t="n">
        <x:v>96.57938376635047</x:v>
      </x:c>
      <x:c r="O176" t="n">
        <x:v>0.11077627607645044</x:v>
      </x:c>
      <x:c r="P176" t="n">
        <x:v>0.2317905210392411</x:v>
      </x:c>
      <x:c r="Q176" t="n">
        <x:v>49.56700134277344</x:v>
      </x:c>
      <x:c r="R176" t="n">
        <x:v>109.24202297545608</x:v>
      </x:c>
      <x:c r="S176" t="n">
        <x:v>109.24202297545608</x:v>
      </x:c>
      <x:c r="T176" t="n">
        <x:v>108.76202297545608</x:v>
      </x:c>
      <x:c r="U176" t="n">
        <x:f>YEAR(C176)</x:f>
        <x:v>2024</x:v>
      </x:c>
      <x:c r="V176" t="n">
        <x:f>YEAR(D176)</x:f>
        <x:v>2024</x:v>
      </x:c>
      <x:c r="W176" t="n">
        <x:f>N176-M176-O176-P176</x:f>
        <x:v>50.08003527071376</x:v>
      </x:c>
      <x:c r="X176" t="str">
        <x:f>IF(T176&gt;1,"Ganador",IF(T176&lt;0,"Perdedor","Empate"))</x:f>
        <x:v>Ganador</x:v>
      </x:c>
    </x:row>
    <x:row r="177">
      <x:c r="A177" t="str">
        <x:v>APP</x:v>
      </x:c>
      <x:c r="B177" t="n">
        <x:v>45254</x:v>
      </x:c>
      <x:c r="C177" t="n">
        <x:v>45257</x:v>
      </x:c>
      <x:c r="D177" t="n">
        <x:v>45411</x:v>
      </x:c>
      <x:c r="E177" t="n">
        <x:v>154</x:v>
      </x:c>
      <x:c r="F177" t="str">
        <x:v>enter_or_hold</x:v>
      </x:c>
      <x:c r="G177" t="str">
        <x:v>market_filter_failed</x:v>
      </x:c>
      <x:c r="H177" t="n">
        <x:v>5</x:v>
      </x:c>
      <x:c r="I177" t="n">
        <x:v>75.85517957778616</x:v>
      </x:c>
      <x:c r="J177" t="n">
        <x:v>105.18869799391393</x:v>
      </x:c>
      <x:c r="K177" t="n">
        <x:v>40.07451533104322</x:v>
      </x:c>
      <x:c r="L177" t="n">
        <x:v>72.98999786376953</x:v>
      </x:c>
      <x:c r="M177" t="n">
        <x:v>4215.386090409579</x:v>
      </x:c>
      <x:c r="N177" t="n">
        <x:v>7677.722841868476</x:v>
      </x:c>
      <x:c r="O177" t="n">
        <x:v>10.116926616982989</x:v>
      </x:c>
      <x:c r="P177" t="n">
        <x:v>18.426534820484342</x:v>
      </x:c>
      <x:c r="Q177" t="n">
        <x:v>39.38999938964844</x:v>
      </x:c>
      <x:c r="R177" t="n">
        <x:v>85.30083522405705</x:v>
      </x:c>
      <x:c r="S177" t="n">
        <x:v>82.13569711529047</x:v>
      </x:c>
      <x:c r="T177" t="n">
        <x:v>81.65569711529047</x:v>
      </x:c>
      <x:c r="U177" t="n">
        <x:f>YEAR(C177)</x:f>
        <x:v>2023</x:v>
      </x:c>
      <x:c r="V177" t="n">
        <x:f>YEAR(D177)</x:f>
        <x:v>2024</x:v>
      </x:c>
      <x:c r="W177" t="n">
        <x:f>N177-M177-O177-P177</x:f>
        <x:v>3433.7932900214296</x:v>
      </x:c>
      <x:c r="X177" t="str">
        <x:f>IF(T177&gt;1,"Ganador",IF(T177&lt;0,"Perdedor","Empate"))</x:f>
        <x:v>Ganador</x:v>
      </x:c>
    </x:row>
    <x:row r="178">
      <x:c r="A178" t="str">
        <x:v>COIN</x:v>
      </x:c>
      <x:c r="B178" t="n">
        <x:v>45254</x:v>
      </x:c>
      <x:c r="C178" t="n">
        <x:v>45257</x:v>
      </x:c>
      <x:c r="D178" t="n">
        <x:v>45411</x:v>
      </x:c>
      <x:c r="E178" t="n">
        <x:v>154</x:v>
      </x:c>
      <x:c r="F178" t="str">
        <x:v>enter_or_hold</x:v>
      </x:c>
      <x:c r="G178" t="str">
        <x:v>market_filter_failed</x:v>
      </x:c>
      <x:c r="H178" t="n">
        <x:v>6</x:v>
      </x:c>
      <x:c r="I178" t="n">
        <x:v>46.292244357338895</x:v>
      </x:c>
      <x:c r="J178" t="n">
        <x:v>28.84751298040537</x:v>
      </x:c>
      <x:c r="K178" t="n">
        <x:v>121.90246063204047</x:v>
      </x:c>
      <x:c r="L178" t="n">
        <x:v>218.16000366210935</x:v>
      </x:c>
      <x:c r="M178" t="n">
        <x:v>3516.582815426141</x:v>
      </x:c>
      <x:c r="N178" t="n">
        <x:v>6293.373537447982</x:v>
      </x:c>
      <x:c r="O178" t="n">
        <x:v>8.43979875702274</x:v>
      </x:c>
      <x:c r="P178" t="n">
        <x:v>15.104096489875156</x:v>
      </x:c>
      <x:c r="Q178" t="n">
        <x:v>119.7699966430664</x:v>
      </x:c>
      <x:c r="R178" t="n">
        <x:v>82.14912730795241</x:v>
      </x:c>
      <x:c r="S178" t="n">
        <x:v>78.96275639637813</x:v>
      </x:c>
      <x:c r="T178" t="n">
        <x:v>78.48275639637812</x:v>
      </x:c>
      <x:c r="U178" t="n">
        <x:f>YEAR(C178)</x:f>
        <x:v>2023</x:v>
      </x:c>
      <x:c r="V178" t="n">
        <x:f>YEAR(D178)</x:f>
        <x:v>2024</x:v>
      </x:c>
      <x:c r="W178" t="n">
        <x:f>N178-M178-O178-P178</x:f>
        <x:v>2753.2468267749427</x:v>
      </x:c>
      <x:c r="X178" t="str">
        <x:f>IF(T178&gt;1,"Ganador",IF(T178&lt;0,"Perdedor","Empate"))</x:f>
        <x:v>Ganador</x:v>
      </x:c>
    </x:row>
    <x:row r="179">
      <x:c r="A179" t="str">
        <x:v>NVDA</x:v>
      </x:c>
      <x:c r="B179" t="n">
        <x:v>45317</x:v>
      </x:c>
      <x:c r="C179" t="n">
        <x:v>45320</x:v>
      </x:c>
      <x:c r="D179" t="n">
        <x:v>45411</x:v>
      </x:c>
      <x:c r="E179" t="n">
        <x:v>91</x:v>
      </x:c>
      <x:c r="F179" t="str">
        <x:v>enter_or_hold</x:v>
      </x:c>
      <x:c r="G179" t="str">
        <x:v>market_filter_failed</x:v>
      </x:c>
      <x:c r="H179" t="n">
        <x:v>6</x:v>
      </x:c>
      <x:c r="I179" t="n">
        <x:v>82.14506637452239</x:v>
      </x:c>
      <x:c r="J179" t="n">
        <x:v>80.47279896970609</x:v>
      </x:c>
      <x:c r="K179" t="n">
        <x:v>63.75164724844684</x:v>
      </x:c>
      <x:c r="L179" t="n">
        <x:v>87.75700378417969</x:v>
      </x:c>
      <x:c r="M179" t="n">
        <x:v>5130.273493011879</x:v>
      </x:c>
      <x:c r="N179" t="n">
        <x:v>7062.0517237080285</x:v>
      </x:c>
      <x:c r="O179" t="n">
        <x:v>12.312656383228507</x:v>
      </x:c>
      <x:c r="P179" t="n">
        <x:v>16.948924136899265</x:v>
      </x:c>
      <x:c r="Q179" t="n">
        <x:v>62.46500015258789</x:v>
      </x:c>
      <x:c r="R179" t="n">
        <x:v>40.489880044519566</x:v>
      </x:c>
      <x:c r="S179" t="n">
        <x:v>37.654488270995515</x:v>
      </x:c>
      <x:c r="T179" t="n">
        <x:v>37.17448827099552</x:v>
      </x:c>
      <x:c r="U179" t="n">
        <x:f>YEAR(C179)</x:f>
        <x:v>2024</x:v>
      </x:c>
      <x:c r="V179" t="n">
        <x:f>YEAR(D179)</x:f>
        <x:v>2024</x:v>
      </x:c>
      <x:c r="W179" t="n">
        <x:f>N179-M179-O179-P179</x:f>
        <x:v>1902.516650176022</x:v>
      </x:c>
      <x:c r="X179" t="str">
        <x:f>IF(T179&gt;1,"Ganador",IF(T179&lt;0,"Perdedor","Empate"))</x:f>
        <x:v>Ganador</x:v>
      </x:c>
    </x:row>
    <x:row r="180">
      <x:c r="A180" t="str">
        <x:v>SMCI</x:v>
      </x:c>
      <x:c r="B180" t="n">
        <x:v>45317</x:v>
      </x:c>
      <x:c r="C180" t="n">
        <x:v>45320</x:v>
      </x:c>
      <x:c r="D180" t="n">
        <x:v>45411</x:v>
      </x:c>
      <x:c r="E180" t="n">
        <x:v>91</x:v>
      </x:c>
      <x:c r="F180" t="str">
        <x:v>enter_or_hold</x:v>
      </x:c>
      <x:c r="G180" t="str">
        <x:v>market_filter_failed</x:v>
      </x:c>
      <x:c r="H180" t="n">
        <x:v>1</x:v>
      </x:c>
      <x:c r="I180" t="n">
        <x:v>108.30894202877732</x:v>
      </x:c>
      <x:c r="J180" t="n">
        <x:v>70.12241982252417</x:v>
      </x:c>
      <x:c r="K180" t="n">
        <x:v>49.56700134277344</x:v>
      </x:c>
      <x:c r="L180" t="n">
        <x:v>89.03500366210938</x:v>
      </x:c>
      <x:c r="M180" t="n">
        <x:v>3475.7580775015776</x:v>
      </x:c>
      <x:c r="N180" t="n">
        <x:v>6243.34990569441</x:v>
      </x:c>
      <x:c r="O180" t="n">
        <x:v>8.341819386003786</x:v>
      </x:c>
      <x:c r="P180" t="n">
        <x:v>14.984039773666582</x:v>
      </x:c>
      <x:c r="Q180" t="n">
        <x:v>49.56700134277344</x:v>
      </x:c>
      <x:c r="R180" t="n">
        <x:v>79.62555984857885</x:v>
      </x:c>
      <x:c r="S180" t="n">
        <x:v>79.62555984857885</x:v>
      </x:c>
      <x:c r="T180" t="n">
        <x:v>79.14555984857884</x:v>
      </x:c>
      <x:c r="U180" t="n">
        <x:f>YEAR(C180)</x:f>
        <x:v>2024</x:v>
      </x:c>
      <x:c r="V180" t="n">
        <x:f>YEAR(D180)</x:f>
        <x:v>2024</x:v>
      </x:c>
      <x:c r="W180" t="n">
        <x:f>N180-M180-O180-P180</x:f>
        <x:v>2744.265969033162</x:v>
      </x:c>
      <x:c r="X180" t="str">
        <x:f>IF(T180&gt;1,"Ganador",IF(T180&lt;0,"Perdedor","Empate"))</x:f>
        <x:v>Ganador</x:v>
      </x:c>
    </x:row>
    <x:row r="181">
      <x:c r="A181" t="str">
        <x:v>CVNA</x:v>
      </x:c>
      <x:c r="B181" t="n">
        <x:v>45345</x:v>
      </x:c>
      <x:c r="C181" t="n">
        <x:v>45348</x:v>
      </x:c>
      <x:c r="D181" t="n">
        <x:v>45411</x:v>
      </x:c>
      <x:c r="E181" t="n">
        <x:v>63</x:v>
      </x:c>
      <x:c r="F181" t="str">
        <x:v>enter_or_hold</x:v>
      </x:c>
      <x:c r="G181" t="str">
        <x:v>market_filter_failed</x:v>
      </x:c>
      <x:c r="H181" t="n">
        <x:v>2</x:v>
      </x:c>
      <x:c r="I181" t="n">
        <x:v>115.76932704170306</x:v>
      </x:c>
      <x:c r="J181" t="n">
        <x:v>83.79705540244991</x:v>
      </x:c>
      <x:c r="K181" t="n">
        <x:v>69.87999725341797</x:v>
      </x:c>
      <x:c r="L181" t="n">
        <x:v>83.76000213623047</x:v>
      </x:c>
      <x:c r="M181" t="n">
        <x:v>5855.738001367714</x:v>
      </x:c>
      <x:c r="N181" t="n">
        <x:v>7018.841539519028</x:v>
      </x:c>
      <x:c r="O181" t="n">
        <x:v>14.053771203282512</x:v>
      </x:c>
      <x:c r="P181" t="n">
        <x:v>16.845219694845664</x:v>
      </x:c>
      <x:c r="Q181" t="n">
        <x:v>69.87999725341797</x:v>
      </x:c>
      <x:c r="R181" t="n">
        <x:v>19.86262940520307</x:v>
      </x:c>
      <x:c r="S181" t="n">
        <x:v>19.86262940520307</x:v>
      </x:c>
      <x:c r="T181" t="n">
        <x:v>19.38262940520307</x:v>
      </x:c>
      <x:c r="U181" t="n">
        <x:f>YEAR(C181)</x:f>
        <x:v>2024</x:v>
      </x:c>
      <x:c r="V181" t="n">
        <x:f>YEAR(D181)</x:f>
        <x:v>2024</x:v>
      </x:c>
      <x:c r="W181" t="n">
        <x:f>N181-M181-O181-P181</x:f>
        <x:v>1132.2045472531856</x:v>
      </x:c>
      <x:c r="X181" t="str">
        <x:f>IF(T181&gt;1,"Ganador",IF(T181&lt;0,"Perdedor","Empate"))</x:f>
        <x:v>Ganador</x:v>
      </x:c>
    </x:row>
    <x:row r="182">
      <x:c r="A182" t="str">
        <x:v>WSM</x:v>
      </x:c>
      <x:c r="B182" t="n">
        <x:v>45380</x:v>
      </x:c>
      <x:c r="C182" t="n">
        <x:v>45383</x:v>
      </x:c>
      <x:c r="D182" t="n">
        <x:v>45411</x:v>
      </x:c>
      <x:c r="E182" t="n">
        <x:v>28</x:v>
      </x:c>
      <x:c r="F182" t="str">
        <x:v>enter_or_hold</x:v>
      </x:c>
      <x:c r="G182" t="str">
        <x:v>market_filter_failed</x:v>
      </x:c>
      <x:c r="H182" t="n">
        <x:v>4</x:v>
      </x:c>
      <x:c r="I182" t="n">
        <x:v>89.68186661455613</x:v>
      </x:c>
      <x:c r="J182" t="n">
        <x:v>46.05866660352281</x:v>
      </x:c>
      <x:c r="K182" t="n">
        <x:v>157.46499633789062</x:v>
      </x:c>
      <x:c r="L182" t="n">
        <x:v>143.1999969482422</x:v>
      </x:c>
      <x:c r="M182" t="n">
        <x:v>7252.627768051844</x:v>
      </x:c>
      <x:c r="N182" t="n">
        <x:v>6595.60091706457</x:v>
      </x:c>
      <x:c r="O182" t="n">
        <x:v>17.406306643324424</x:v>
      </x:c>
      <x:c r="P182" t="n">
        <x:v>15.829442200954967</x:v>
      </x:c>
      <x:c r="Q182" t="n">
        <x:v>157.46499633789062</x:v>
      </x:c>
      <x:c r="R182" t="n">
        <x:v>-9.059155825996024</x:v>
      </x:c>
      <x:c r="S182" t="n">
        <x:v>-9.059155825996024</x:v>
      </x:c>
      <x:c r="T182" t="n">
        <x:v>-9.539155825996025</x:v>
      </x:c>
      <x:c r="U182" t="n">
        <x:f>YEAR(C182)</x:f>
        <x:v>2024</x:v>
      </x:c>
      <x:c r="V182" t="n">
        <x:f>YEAR(D182)</x:f>
        <x:v>2024</x:v>
      </x:c>
      <x:c r="W182" t="n">
        <x:f>N182-M182-O182-P182</x:f>
        <x:v>-690.2625998315534</x:v>
      </x:c>
      <x:c r="X182" t="str">
        <x:f>IF(T182&gt;1,"Ganador",IF(T182&lt;0,"Perdedor","Empate"))</x:f>
        <x:v>Perdedor</x:v>
      </x:c>
    </x:row>
    <x:row r="183">
      <x:c r="A183" t="str">
        <x:v>CEG</x:v>
      </x:c>
      <x:c r="B183" t="n">
        <x:v>45443</x:v>
      </x:c>
      <x:c r="C183" t="n">
        <x:v>45446</x:v>
      </x:c>
      <x:c r="D183" t="n">
        <x:v>45474</x:v>
      </x:c>
      <x:c r="E183" t="n">
        <x:v>28</x:v>
      </x:c>
      <x:c r="F183" t="str">
        <x:v>enter_or_hold</x:v>
      </x:c>
      <x:c r="G183" t="str">
        <x:v>left_top_n</x:v>
      </x:c>
      <x:c r="H183" t="n">
        <x:v>6</x:v>
      </x:c>
      <x:c r="I183" t="n">
        <x:v>63.434245226619645</x:v>
      </x:c>
      <x:c r="J183" t="n">
        <x:v>32.56757175345834</x:v>
      </x:c>
      <x:c r="K183" t="n">
        <x:v>208.25999450683597</x:v>
      </x:c>
      <x:c r="L183" t="n">
        <x:v>205.0500030517578</x:v>
      </x:c>
      <x:c r="M183" t="n">
        <x:v>6782.522314476219</x:v>
      </x:c>
      <x:c r="N183" t="n">
        <x:v>6677.980687434974</x:v>
      </x:c>
      <x:c r="O183" t="n">
        <x:v>16.278053554742925</x:v>
      </x:c>
      <x:c r="P183" t="n">
        <x:v>16.027153649843935</x:v>
      </x:c>
      <x:c r="Q183" t="n">
        <x:v>208.25999450683597</x:v>
      </x:c>
      <x:c r="R183" t="n">
        <x:v>-1.541338490226829</x:v>
      </x:c>
      <x:c r="S183" t="n">
        <x:v>-1.541338490226829</x:v>
      </x:c>
      <x:c r="T183" t="n">
        <x:v>-2.021338490226829</x:v>
      </x:c>
      <x:c r="U183" t="n">
        <x:f>YEAR(C183)</x:f>
        <x:v>2024</x:v>
      </x:c>
      <x:c r="V183" t="n">
        <x:f>YEAR(D183)</x:f>
        <x:v>2024</x:v>
      </x:c>
      <x:c r="W183" t="n">
        <x:f>N183-M183-O183-P183</x:f>
        <x:v>-136.84683424583204</x:v>
      </x:c>
      <x:c r="X183" t="str">
        <x:f>IF(T183&gt;1,"Ganador",IF(T183&lt;0,"Perdedor","Empate"))</x:f>
        <x:v>Perdedor</x:v>
      </x:c>
    </x:row>
    <x:row r="184">
      <x:c r="A184" t="str">
        <x:v>CVNA</x:v>
      </x:c>
      <x:c r="B184" t="n">
        <x:v>45443</x:v>
      </x:c>
      <x:c r="C184" t="n">
        <x:v>45446</x:v>
      </x:c>
      <x:c r="D184" t="n">
        <x:v>45474</x:v>
      </x:c>
      <x:c r="E184" t="n">
        <x:v>28</x:v>
      </x:c>
      <x:c r="F184" t="str">
        <x:v>enter_or_hold</x:v>
      </x:c>
      <x:c r="G184" t="str">
        <x:v>rebalance_trim</x:v>
      </x:c>
      <x:c r="H184" t="n">
        <x:v>1</x:v>
      </x:c>
      <x:c r="I184" t="n">
        <x:v>83.30660186454718</x:v>
      </x:c>
      <x:c r="J184" t="n">
        <x:v>9.46726770301356</x:v>
      </x:c>
      <x:c r="K184" t="n">
        <x:v>98.95999908447266</x:v>
      </x:c>
      <x:c r="L184" t="n">
        <x:v>124.3499984741211</x:v>
      </x:c>
      <x:c r="M184" t="n">
        <x:v>936.8808032226796</x:v>
      </x:c>
      <x:c r="N184" t="n">
        <x:v>1177.2547244238322</x:v>
      </x:c>
      <x:c r="O184" t="n">
        <x:v>2.2485139277344306</x:v>
      </x:c>
      <x:c r="P184" t="n">
        <x:v>2.825411338617197</x:v>
      </x:c>
      <x:c r="Q184" t="n">
        <x:v>98.95999908447266</x:v>
      </x:c>
      <x:c r="R184" t="n">
        <x:v>25.656830663443554</x:v>
      </x:c>
      <x:c r="S184" t="n">
        <x:v>25.656830663443554</x:v>
      </x:c>
      <x:c r="T184" t="n">
        <x:v>25.176830663443553</x:v>
      </x:c>
      <x:c r="U184" t="n">
        <x:f>YEAR(C184)</x:f>
        <x:v>2024</x:v>
      </x:c>
      <x:c r="V184" t="n">
        <x:f>YEAR(D184)</x:f>
        <x:v>2024</x:v>
      </x:c>
      <x:c r="W184" t="n">
        <x:f>N184-M184-O184-P184</x:f>
        <x:v>235.299995934801</x:v>
      </x:c>
      <x:c r="X184" t="str">
        <x:f>IF(T184&gt;1,"Ganador",IF(T184&lt;0,"Perdedor","Empate"))</x:f>
        <x:v>Ganador</x:v>
      </x:c>
    </x:row>
    <x:row r="185">
      <x:c r="A185" t="str">
        <x:v>APP</x:v>
      </x:c>
      <x:c r="B185" t="n">
        <x:v>45443</x:v>
      </x:c>
      <x:c r="C185" t="n">
        <x:v>45446</x:v>
      </x:c>
      <x:c r="D185" t="n">
        <x:v>45502</x:v>
      </x:c>
      <x:c r="E185" t="n">
        <x:v>56</x:v>
      </x:c>
      <x:c r="F185" t="str">
        <x:v>enter_or_hold</x:v>
      </x:c>
      <x:c r="G185" t="str">
        <x:v>left_top_n</x:v>
      </x:c>
      <x:c r="H185" t="n">
        <x:v>4</x:v>
      </x:c>
      <x:c r="I185" t="n">
        <x:v>60.134105986220646</x:v>
      </x:c>
      <x:c r="J185" t="n">
        <x:v>86.58362784022265</x:v>
      </x:c>
      <x:c r="K185" t="n">
        <x:v>82.81189485624314</x:v>
      </x:c>
      <x:c r="L185" t="n">
        <x:v>76.8499984741211</x:v>
      </x:c>
      <x:c r="M185" t="n">
        <x:v>7170.154284976604</x:v>
      </x:c>
      <x:c r="N185" t="n">
        <x:v>6653.951667404979</x:v>
      </x:c>
      <x:c r="O185" t="n">
        <x:v>17.208370283943847</x:v>
      </x:c>
      <x:c r="P185" t="n">
        <x:v>15.96948400177195</x:v>
      </x:c>
      <x:c r="Q185" t="n">
        <x:v>82.69999694824219</x:v>
      </x:c>
      <x:c r="R185" t="n">
        <x:v>-7.073758996366486</x:v>
      </x:c>
      <x:c r="S185" t="n">
        <x:v>-7.199323711251349</x:v>
      </x:c>
      <x:c r="T185" t="n">
        <x:v>-7.6793237112513495</x:v>
      </x:c>
      <x:c r="U185" t="n">
        <x:f>YEAR(C185)</x:f>
        <x:v>2024</x:v>
      </x:c>
      <x:c r="V185" t="n">
        <x:f>YEAR(D185)</x:f>
        <x:v>2024</x:v>
      </x:c>
      <x:c r="W185" t="n">
        <x:f>N185-M185-O185-P185</x:f>
        <x:v>-549.3804718573405</x:v>
      </x:c>
      <x:c r="X185" t="str">
        <x:f>IF(T185&gt;1,"Ganador",IF(T185&lt;0,"Perdedor","Empate"))</x:f>
        <x:v>Perdedor</x:v>
      </x:c>
    </x:row>
    <x:row r="186">
      <x:c r="A186" t="str">
        <x:v>DELL</x:v>
      </x:c>
      <x:c r="B186" t="n">
        <x:v>45443</x:v>
      </x:c>
      <x:c r="C186" t="n">
        <x:v>45446</x:v>
      </x:c>
      <x:c r="D186" t="n">
        <x:v>45502</x:v>
      </x:c>
      <x:c r="E186" t="n">
        <x:v>56</x:v>
      </x:c>
      <x:c r="F186" t="str">
        <x:v>enter_or_hold</x:v>
      </x:c>
      <x:c r="G186" t="str">
        <x:v>left_top_n</x:v>
      </x:c>
      <x:c r="H186" t="n">
        <x:v>6</x:v>
      </x:c>
      <x:c r="I186" t="n">
        <x:v>52.76459802123781</x:v>
      </x:c>
      <x:c r="J186" t="n">
        <x:v>51.42806714257709</x:v>
      </x:c>
      <x:c r="K186" t="n">
        <x:v>132.04195721510914</x:v>
      </x:c>
      <x:c r="L186" t="n">
        <x:v>111.1999969482422</x:v>
      </x:c>
      <x:c r="M186" t="n">
        <x:v>6790.662641295924</x:v>
      </x:c>
      <x:c r="N186" t="n">
        <x:v>5718.8009093085675</x:v>
      </x:c>
      <x:c r="O186" t="n">
        <x:v>16.297590339110215</x:v>
      </x:c>
      <x:c r="P186" t="n">
        <x:v>13.725122182340561</x:v>
      </x:c>
      <x:c r="Q186" t="n">
        <x:v>132.02999877929688</x:v>
      </x:c>
      <x:c r="R186" t="n">
        <x:v>-15.776718945422685</x:v>
      </x:c>
      <x:c r="S186" t="n">
        <x:v>-15.784346662563753</x:v>
      </x:c>
      <x:c r="T186" t="n">
        <x:v>-16.264346662563753</x:v>
      </x:c>
      <x:c r="U186" t="n">
        <x:f>YEAR(C186)</x:f>
        <x:v>2024</x:v>
      </x:c>
      <x:c r="V186" t="n">
        <x:f>YEAR(D186)</x:f>
        <x:v>2024</x:v>
      </x:c>
      <x:c r="W186" t="n">
        <x:f>N186-M186-O186-P186</x:f>
        <x:v>-1101.8844445088073</x:v>
      </x:c>
      <x:c r="X186" t="str">
        <x:f>IF(T186&gt;1,"Ganador",IF(T186&lt;0,"Perdedor","Empate"))</x:f>
        <x:v>Perdedor</x:v>
      </x:c>
    </x:row>
    <x:row r="187">
      <x:c r="A187" t="str">
        <x:v>SMCI</x:v>
      </x:c>
      <x:c r="B187" t="n">
        <x:v>45471</x:v>
      </x:c>
      <x:c r="C187" t="n">
        <x:v>45474</x:v>
      </x:c>
      <x:c r="D187" t="n">
        <x:v>45502</x:v>
      </x:c>
      <x:c r="E187" t="n">
        <x:v>28</x:v>
      </x:c>
      <x:c r="F187" t="str">
        <x:v>enter_or_hold</x:v>
      </x:c>
      <x:c r="G187" t="str">
        <x:v>left_top_n</x:v>
      </x:c>
      <x:c r="H187" t="n">
        <x:v>5</x:v>
      </x:c>
      <x:c r="I187" t="n">
        <x:v>53.89905314031213</x:v>
      </x:c>
      <x:c r="J187" t="n">
        <x:v>90.19783732090302</x:v>
      </x:c>
      <x:c r="K187" t="n">
        <x:v>81.23200225830078</x:v>
      </x:c>
      <x:c r="L187" t="n">
        <x:v>69.77300262451172</x:v>
      </x:c>
      <x:c r="M187" t="n">
        <x:v>7326.95092494544</x:v>
      </x:c>
      <x:c r="N187" t="n">
        <x:v>6293.373940116648</x:v>
      </x:c>
      <x:c r="O187" t="n">
        <x:v>17.584682219869055</x:v>
      </x:c>
      <x:c r="P187" t="n">
        <x:v>15.104097456279954</x:v>
      </x:c>
      <x:c r="Q187" t="n">
        <x:v>81.23200225830078</x:v>
      </x:c>
      <x:c r="R187" t="n">
        <x:v>-14.106508906861414</x:v>
      </x:c>
      <x:c r="S187" t="n">
        <x:v>-14.106508906861414</x:v>
      </x:c>
      <x:c r="T187" t="n">
        <x:v>-14.586508906861415</x:v>
      </x:c>
      <x:c r="U187" t="n">
        <x:f>YEAR(C187)</x:f>
        <x:v>2024</x:v>
      </x:c>
      <x:c r="V187" t="n">
        <x:f>YEAR(D187)</x:f>
        <x:v>2024</x:v>
      </x:c>
      <x:c r="W187" t="n">
        <x:f>N187-M187-O187-P187</x:f>
        <x:v>-1066.265764504942</x:v>
      </x:c>
      <x:c r="X187" t="str">
        <x:f>IF(T187&gt;1,"Ganador",IF(T187&lt;0,"Perdedor","Empate"))</x:f>
        <x:v>Perdedor</x:v>
      </x:c>
    </x:row>
    <x:row r="188">
      <x:c r="A188" t="str">
        <x:v>CVNA</x:v>
      </x:c>
      <x:c r="B188" t="n">
        <x:v>45443</x:v>
      </x:c>
      <x:c r="C188" t="n">
        <x:v>45446</x:v>
      </x:c>
      <x:c r="D188" t="n">
        <x:v>45502</x:v>
      </x:c>
      <x:c r="E188" t="n">
        <x:v>56</x:v>
      </x:c>
      <x:c r="F188" t="str">
        <x:v>enter_or_hold</x:v>
      </x:c>
      <x:c r="G188" t="str">
        <x:v>rebalance_trim</x:v>
      </x:c>
      <x:c r="H188" t="n">
        <x:v>1</x:v>
      </x:c>
      <x:c r="I188" t="n">
        <x:v>83.30660186454718</x:v>
      </x:c>
      <x:c r="J188" t="n">
        <x:v>7.37789227104203</x:v>
      </x:c>
      <x:c r="K188" t="n">
        <x:v>98.95999908447266</x:v>
      </x:c>
      <x:c r="L188" t="n">
        <x:v>127.61000061035156</x:v>
      </x:c>
      <x:c r="M188" t="n">
        <x:v>730.1162123876572</x:v>
      </x:c>
      <x:c r="N188" t="n">
        <x:v>941.4928372107815</x:v>
      </x:c>
      <x:c r="O188" t="n">
        <x:v>1.7522789097303773</x:v>
      </x:c>
      <x:c r="P188" t="n">
        <x:v>2.2595828093058756</x:v>
      </x:c>
      <x:c r="Q188" t="n">
        <x:v>98.95999908447266</x:v>
      </x:c>
      <x:c r="R188" t="n">
        <x:v>28.95109315979596</x:v>
      </x:c>
      <x:c r="S188" t="n">
        <x:v>28.95109315979596</x:v>
      </x:c>
      <x:c r="T188" t="n">
        <x:v>28.47109315979596</x:v>
      </x:c>
      <x:c r="U188" t="n">
        <x:f>YEAR(C188)</x:f>
        <x:v>2024</x:v>
      </x:c>
      <x:c r="V188" t="n">
        <x:f>YEAR(D188)</x:f>
        <x:v>2024</x:v>
      </x:c>
      <x:c r="W188" t="n">
        <x:f>N188-M188-O188-P188</x:f>
        <x:v>207.36476310408807</x:v>
      </x:c>
      <x:c r="X188" t="str">
        <x:f>IF(T188&gt;1,"Ganador",IF(T188&lt;0,"Perdedor","Empate"))</x:f>
        <x:v>Ganador</x:v>
      </x:c>
    </x:row>
    <x:row r="189">
      <x:c r="A189" t="str">
        <x:v>HOOD</x:v>
      </x:c>
      <x:c r="B189" t="n">
        <x:v>45443</x:v>
      </x:c>
      <x:c r="C189" t="n">
        <x:v>45446</x:v>
      </x:c>
      <x:c r="D189" t="n">
        <x:v>45502</x:v>
      </x:c>
      <x:c r="E189" t="n">
        <x:v>56</x:v>
      </x:c>
      <x:c r="F189" t="str">
        <x:v>enter_or_hold</x:v>
      </x:c>
      <x:c r="G189" t="str">
        <x:v>rebalance_trim</x:v>
      </x:c>
      <x:c r="H189" t="n">
        <x:v>3</x:v>
      </x:c>
      <x:c r="I189" t="n">
        <x:v>65.16363102703733</x:v>
      </x:c>
      <x:c r="J189" t="n">
        <x:v>10.830018432912162</x:v>
      </x:c>
      <x:c r="K189" t="n">
        <x:v>21.296648558555553</x:v>
      </x:c>
      <x:c r="L189" t="n">
        <x:v>21.18000030517578</x:v>
      </x:c>
      <x:c r="M189" t="n">
        <x:v>230.64309644840887</x:v>
      </x:c>
      <x:c r="N189" t="n">
        <x:v>229.37979371413894</x:v>
      </x:c>
      <x:c r="O189" t="n">
        <x:v>0.5535434314761812</x:v>
      </x:c>
      <x:c r="P189" t="n">
        <x:v>0.5505115049139334</x:v>
      </x:c>
      <x:c r="Q189" t="n">
        <x:v>21.280000686645508</x:v>
      </x:c>
      <x:c r="R189" t="n">
        <x:v>-0.469926589487768</x:v>
      </x:c>
      <x:c r="S189" t="n">
        <x:v>-0.5477305645488983</x:v>
      </x:c>
      <x:c r="T189" t="n">
        <x:v>-1.0277305645488983</x:v>
      </x:c>
      <x:c r="U189" t="n">
        <x:f>YEAR(C189)</x:f>
        <x:v>2024</x:v>
      </x:c>
      <x:c r="V189" t="n">
        <x:f>YEAR(D189)</x:f>
        <x:v>2024</x:v>
      </x:c>
      <x:c r="W189" t="n">
        <x:f>N189-M189-O189-P189</x:f>
        <x:v>-2.3673576706600428</x:v>
      </x:c>
      <x:c r="X189" t="str">
        <x:f>IF(T189&gt;1,"Ganador",IF(T189&lt;0,"Perdedor","Empate"))</x:f>
        <x:v>Perdedor</x:v>
      </x:c>
    </x:row>
    <x:row r="190">
      <x:c r="A190" t="str">
        <x:v>HOOD</x:v>
      </x:c>
      <x:c r="B190" t="n">
        <x:v>45443</x:v>
      </x:c>
      <x:c r="C190" t="n">
        <x:v>45446</x:v>
      </x:c>
      <x:c r="D190" t="n">
        <x:v>45538</x:v>
      </x:c>
      <x:c r="E190" t="n">
        <x:v>92</x:v>
      </x:c>
      <x:c r="F190" t="str">
        <x:v>enter_or_hold</x:v>
      </x:c>
      <x:c r="G190" t="str">
        <x:v>left_top_n</x:v>
      </x:c>
      <x:c r="H190" t="n">
        <x:v>3</x:v>
      </x:c>
      <x:c r="I190" t="n">
        <x:v>65.16363102703733</x:v>
      </x:c>
      <x:c r="J190" t="n">
        <x:v>311.4506939899087</x:v>
      </x:c>
      <x:c r="K190" t="n">
        <x:v>21.296648558555553</x:v>
      </x:c>
      <x:c r="L190" t="n">
        <x:v>19.3700008392334</x:v>
      </x:c>
      <x:c r="M190" t="n">
        <x:v>6632.855973221315</x:v>
      </x:c>
      <x:c r="N190" t="n">
        <x:v>6032.800203964356</x:v>
      </x:c>
      <x:c r="O190" t="n">
        <x:v>15.918854335731156</x:v>
      </x:c>
      <x:c r="P190" t="n">
        <x:v>14.478720489514453</x:v>
      </x:c>
      <x:c r="Q190" t="n">
        <x:v>21.280000686645508</x:v>
      </x:c>
      <x:c r="R190" t="n">
        <x:v>-8.975562903110013</x:v>
      </x:c>
      <x:c r="S190" t="n">
        <x:v>-9.04671790974434</x:v>
      </x:c>
      <x:c r="T190" t="n">
        <x:v>-9.52671790974434</x:v>
      </x:c>
      <x:c r="U190" t="n">
        <x:f>YEAR(C190)</x:f>
        <x:v>2024</x:v>
      </x:c>
      <x:c r="V190" t="n">
        <x:f>YEAR(D190)</x:f>
        <x:v>2024</x:v>
      </x:c>
      <x:c r="W190" t="n">
        <x:f>N190-M190-O190-P190</x:f>
        <x:v>-630.4533440822047</x:v>
      </x:c>
      <x:c r="X190" t="str">
        <x:f>IF(T190&gt;1,"Ganador",IF(T190&lt;0,"Perdedor","Empate"))</x:f>
        <x:v>Perdedor</x:v>
      </x:c>
    </x:row>
    <x:row r="191">
      <x:c r="A191" t="str">
        <x:v>COIN</x:v>
      </x:c>
      <x:c r="B191" t="n">
        <x:v>45499</x:v>
      </x:c>
      <x:c r="C191" t="n">
        <x:v>45502</x:v>
      </x:c>
      <x:c r="D191" t="n">
        <x:v>45538</x:v>
      </x:c>
      <x:c r="E191" t="n">
        <x:v>36</x:v>
      </x:c>
      <x:c r="F191" t="str">
        <x:v>enter_or_hold</x:v>
      </x:c>
      <x:c r="G191" t="str">
        <x:v>left_top_n</x:v>
      </x:c>
      <x:c r="H191" t="n">
        <x:v>3</x:v>
      </x:c>
      <x:c r="I191" t="n">
        <x:v>49.34621140375468</x:v>
      </x:c>
      <x:c r="J191" t="n">
        <x:v>28.09544595933379</x:v>
      </x:c>
      <x:c r="K191" t="n">
        <x:v>234.1999969482422</x:v>
      </x:c>
      <x:c r="L191" t="n">
        <x:v>169.1300048828125</x:v>
      </x:c>
      <x:c r="M191" t="n">
        <x:v>6579.9533579354775</x:v>
      </x:c>
      <x:c r="N191" t="n">
        <x:v>4751.782912286919</x:v>
      </x:c>
      <x:c r="O191" t="n">
        <x:v>15.791888059045144</x:v>
      </x:c>
      <x:c r="P191" t="n">
        <x:v>11.404278989488605</x:v>
      </x:c>
      <x:c r="Q191" t="n">
        <x:v>234.1999969482422</x:v>
      </x:c>
      <x:c r="R191" t="n">
        <x:v>-27.783942319952317</x:v>
      </x:c>
      <x:c r="S191" t="n">
        <x:v>-27.783942319952317</x:v>
      </x:c>
      <x:c r="T191" t="n">
        <x:v>-28.263942319952317</x:v>
      </x:c>
      <x:c r="U191" t="n">
        <x:f>YEAR(C191)</x:f>
        <x:v>2024</x:v>
      </x:c>
      <x:c r="V191" t="n">
        <x:f>YEAR(D191)</x:f>
        <x:v>2024</x:v>
      </x:c>
      <x:c r="W191" t="n">
        <x:f>N191-M191-O191-P191</x:f>
        <x:v>-1855.3666126970923</x:v>
      </x:c>
      <x:c r="X191" t="str">
        <x:f>IF(T191&gt;1,"Ganador",IF(T191&lt;0,"Perdedor","Empate"))</x:f>
        <x:v>Perdedor</x:v>
      </x:c>
    </x:row>
    <x:row r="192">
      <x:c r="A192" t="str">
        <x:v>MMM</x:v>
      </x:c>
      <x:c r="B192" t="n">
        <x:v>45499</x:v>
      </x:c>
      <x:c r="C192" t="n">
        <x:v>45502</x:v>
      </x:c>
      <x:c r="D192" t="n">
        <x:v>45538</x:v>
      </x:c>
      <x:c r="E192" t="n">
        <x:v>36</x:v>
      </x:c>
      <x:c r="F192" t="str">
        <x:v>enter_or_hold</x:v>
      </x:c>
      <x:c r="G192" t="str">
        <x:v>left_top_n</x:v>
      </x:c>
      <x:c r="H192" t="n">
        <x:v>5</x:v>
      </x:c>
      <x:c r="I192" t="n">
        <x:v>43.5227168910079</x:v>
      </x:c>
      <x:c r="J192" t="n">
        <x:v>52.57233273737492</x:v>
      </x:c>
      <x:c r="K192" t="n">
        <x:v>125.16000366210938</x:v>
      </x:c>
      <x:c r="L192" t="n">
        <x:v>130.85000610351562</x:v>
      </x:c>
      <x:c r="M192" t="n">
        <x:v>6579.9533579354775</x:v>
      </x:c>
      <x:c r="N192" t="n">
        <x:v>6879.090059561563</x:v>
      </x:c>
      <x:c r="O192" t="n">
        <x:v>15.791888059045144</x:v>
      </x:c>
      <x:c r="P192" t="n">
        <x:v>16.50981614294775</x:v>
      </x:c>
      <x:c r="Q192" t="n">
        <x:v>125.16000366210938</x:v>
      </x:c>
      <x:c r="R192" t="n">
        <x:v>4.546182706072277</x:v>
      </x:c>
      <x:c r="S192" t="n">
        <x:v>4.546182706072277</x:v>
      </x:c>
      <x:c r="T192" t="n">
        <x:v>4.0661827060722775</x:v>
      </x:c>
      <x:c r="U192" t="n">
        <x:f>YEAR(C192)</x:f>
        <x:v>2024</x:v>
      </x:c>
      <x:c r="V192" t="n">
        <x:f>YEAR(D192)</x:f>
        <x:v>2024</x:v>
      </x:c>
      <x:c r="W192" t="n">
        <x:f>N192-M192-O192-P192</x:f>
        <x:v>266.8349974240927</x:v>
      </x:c>
      <x:c r="X192" t="str">
        <x:f>IF(T192&gt;1,"Ganador",IF(T192&lt;0,"Perdedor","Empate"))</x:f>
        <x:v>Ganador</x:v>
      </x:c>
    </x:row>
    <x:row r="193">
      <x:c r="A193" t="str">
        <x:v>COHR</x:v>
      </x:c>
      <x:c r="B193" t="n">
        <x:v>45499</x:v>
      </x:c>
      <x:c r="C193" t="n">
        <x:v>45502</x:v>
      </x:c>
      <x:c r="D193" t="n">
        <x:v>45538</x:v>
      </x:c>
      <x:c r="E193" t="n">
        <x:v>36</x:v>
      </x:c>
      <x:c r="F193" t="str">
        <x:v>enter_or_hold</x:v>
      </x:c>
      <x:c r="G193" t="str">
        <x:v>rebalance_trim</x:v>
      </x:c>
      <x:c r="H193" t="n">
        <x:v>6</x:v>
      </x:c>
      <x:c r="I193" t="n">
        <x:v>40.91707640683977</x:v>
      </x:c>
      <x:c r="J193" t="n">
        <x:v>6.244667047752934</x:v>
      </x:c>
      <x:c r="K193" t="n">
        <x:v>69.20999908447266</x:v>
      </x:c>
      <x:c r="L193" t="n">
        <x:v>71.87999725341797</x:v>
      </x:c>
      <x:c r="M193" t="n">
        <x:v>432.1934006578171</x:v>
      </x:c>
      <x:c r="N193" t="n">
        <x:v>448.86665024099057</x:v>
      </x:c>
      <x:c r="O193" t="n">
        <x:v>1.037264161578761</x:v>
      </x:c>
      <x:c r="P193" t="n">
        <x:v>1.0772799605783772</x:v>
      </x:c>
      <x:c r="Q193" t="n">
        <x:v>69.20999908447266</x:v>
      </x:c>
      <x:c r="R193" t="n">
        <x:v>3.857821419252594</x:v>
      </x:c>
      <x:c r="S193" t="n">
        <x:v>3.857821419252594</x:v>
      </x:c>
      <x:c r="T193" t="n">
        <x:v>3.377821419252594</x:v>
      </x:c>
      <x:c r="U193" t="n">
        <x:f>YEAR(C193)</x:f>
        <x:v>2024</x:v>
      </x:c>
      <x:c r="V193" t="n">
        <x:f>YEAR(D193)</x:f>
        <x:v>2024</x:v>
      </x:c>
      <x:c r="W193" t="n">
        <x:f>N193-M193-O193-P193</x:f>
        <x:v>14.55870546101632</x:v>
      </x:c>
      <x:c r="X193" t="str">
        <x:f>IF(T193&gt;1,"Ganador",IF(T193&lt;0,"Perdedor","Empate"))</x:f>
        <x:v>Ganador</x:v>
      </x:c>
    </x:row>
    <x:row r="194">
      <x:c r="A194" t="str">
        <x:v>CVNA</x:v>
      </x:c>
      <x:c r="B194" t="n">
        <x:v>45443</x:v>
      </x:c>
      <x:c r="C194" t="n">
        <x:v>45446</x:v>
      </x:c>
      <x:c r="D194" t="n">
        <x:v>45538</x:v>
      </x:c>
      <x:c r="E194" t="n">
        <x:v>92</x:v>
      </x:c>
      <x:c r="F194" t="str">
        <x:v>enter_or_hold</x:v>
      </x:c>
      <x:c r="G194" t="str">
        <x:v>rebalance_trim</x:v>
      </x:c>
      <x:c r="H194" t="n">
        <x:v>1</x:v>
      </x:c>
      <x:c r="I194" t="n">
        <x:v>83.30660186454718</x:v>
      </x:c>
      <x:c r="J194" t="n">
        <x:v>7.5126116958088405</x:v>
      </x:c>
      <x:c r="K194" t="n">
        <x:v>98.95999908447266</x:v>
      </x:c>
      <x:c r="L194" t="n">
        <x:v>144.52000427246094</x:v>
      </x:c>
      <x:c r="M194" t="n">
        <x:v>743.4480465392414</x:v>
      </x:c>
      <x:c r="N194" t="n">
        <x:v>1085.7226743756337</x:v>
      </x:c>
      <x:c r="O194" t="n">
        <x:v>1.7842753116941796</x:v>
      </x:c>
      <x:c r="P194" t="n">
        <x:v>2.6057344185015205</x:v>
      </x:c>
      <x:c r="Q194" t="n">
        <x:v>98.95999908447266</x:v>
      </x:c>
      <x:c r="R194" t="n">
        <x:v>46.03880922543064</x:v>
      </x:c>
      <x:c r="S194" t="n">
        <x:v>46.03880922543064</x:v>
      </x:c>
      <x:c r="T194" t="n">
        <x:v>45.55880922543064</x:v>
      </x:c>
      <x:c r="U194" t="n">
        <x:f>YEAR(C194)</x:f>
        <x:v>2024</x:v>
      </x:c>
      <x:c r="V194" t="n">
        <x:f>YEAR(D194)</x:f>
        <x:v>2024</x:v>
      </x:c>
      <x:c r="W194" t="n">
        <x:f>N194-M194-O194-P194</x:f>
        <x:v>337.88461810619657</x:v>
      </x:c>
      <x:c r="X194" t="str">
        <x:f>IF(T194&gt;1,"Ganador",IF(T194&lt;0,"Perdedor","Empate"))</x:f>
        <x:v>Ganador</x:v>
      </x:c>
    </x:row>
    <x:row r="195">
      <x:c r="A195" t="str">
        <x:v>NVDA</x:v>
      </x:c>
      <x:c r="B195" t="n">
        <x:v>45443</x:v>
      </x:c>
      <x:c r="C195" t="n">
        <x:v>45446</x:v>
      </x:c>
      <x:c r="D195" t="n">
        <x:v>45565</x:v>
      </x:c>
      <x:c r="E195" t="n">
        <x:v>119</x:v>
      </x:c>
      <x:c r="F195" t="str">
        <x:v>enter_or_hold</x:v>
      </x:c>
      <x:c r="G195" t="str">
        <x:v>left_top_n</x:v>
      </x:c>
      <x:c r="H195" t="n">
        <x:v>3</x:v>
      </x:c>
      <x:c r="I195" t="n">
        <x:v>50.01979683433362</x:v>
      </x:c>
      <x:c r="J195" t="n">
        <x:v>59.11402382938323</x:v>
      </x:c>
      <x:c r="K195" t="n">
        <x:v>115.01599679339066</x:v>
      </x:c>
      <x:c r="L195" t="n">
        <x:v>121.44000244140624</x:v>
      </x:c>
      <x:c r="M195" t="n">
        <x:v>6799.0583752047605</x:v>
      </x:c>
      <x:c r="N195" t="n">
        <x:v>7178.807198161646</x:v>
      </x:c>
      <x:c r="O195" t="n">
        <x:v>16.317740100491424</x:v>
      </x:c>
      <x:c r="P195" t="n">
        <x:v>17.22913727558795</x:v>
      </x:c>
      <x:c r="Q195" t="n">
        <x:v>115</x:v>
      </x:c>
      <x:c r="R195" t="n">
        <x:v>5.6000021229619446</x:v>
      </x:c>
      <x:c r="S195" t="n">
        <x:v>5.585314936282604</x:v>
      </x:c>
      <x:c r="T195" t="n">
        <x:v>5.105314936282603</x:v>
      </x:c>
      <x:c r="U195" t="n">
        <x:f>YEAR(C195)</x:f>
        <x:v>2024</x:v>
      </x:c>
      <x:c r="V195" t="n">
        <x:f>YEAR(D195)</x:f>
        <x:v>2024</x:v>
      </x:c>
      <x:c r="W195" t="n">
        <x:f>N195-M195-O195-P195</x:f>
        <x:v>346.2019455808059</x:v>
      </x:c>
      <x:c r="X195" t="str">
        <x:f>IF(T195&gt;1,"Ganador",IF(T195&lt;0,"Perdedor","Empate"))</x:f>
        <x:v>Ganador</x:v>
      </x:c>
    </x:row>
    <x:row r="196">
      <x:c r="A196" t="str">
        <x:v>IRM</x:v>
      </x:c>
      <x:c r="B196" t="n">
        <x:v>45534</x:v>
      </x:c>
      <x:c r="C196" t="n">
        <x:v>45538</x:v>
      </x:c>
      <x:c r="D196" t="n">
        <x:v>45565</x:v>
      </x:c>
      <x:c r="E196" t="n">
        <x:v>27</x:v>
      </x:c>
      <x:c r="F196" t="str">
        <x:v>enter_or_hold</x:v>
      </x:c>
      <x:c r="G196" t="str">
        <x:v>left_top_n</x:v>
      </x:c>
      <x:c r="H196" t="n">
        <x:v>5</x:v>
      </x:c>
      <x:c r="I196" t="n">
        <x:v>46.91698895447431</x:v>
      </x:c>
      <x:c r="J196" t="n">
        <x:v>56.44440053562723</x:v>
      </x:c>
      <x:c r="K196" t="n">
        <x:v>112.83000183105467</x:v>
      </x:c>
      <x:c r="L196" t="n">
        <x:v>118.83000183105467</x:v>
      </x:c>
      <x:c r="M196" t="n">
        <x:v>6368.621815787604</x:v>
      </x:c>
      <x:c r="N196" t="n">
        <x:v>6707.288219001367</x:v>
      </x:c>
      <x:c r="O196" t="n">
        <x:v>15.284692357890247</x:v>
      </x:c>
      <x:c r="P196" t="n">
        <x:v>16.09749172560328</x:v>
      </x:c>
      <x:c r="Q196" t="n">
        <x:v>112.83000183105467</x:v>
      </x:c>
      <x:c r="R196" t="n">
        <x:v>5.317734558742693</x:v>
      </x:c>
      <x:c r="S196" t="n">
        <x:v>5.317734558742693</x:v>
      </x:c>
      <x:c r="T196" t="n">
        <x:v>4.837734558742692</x:v>
      </x:c>
      <x:c r="U196" t="n">
        <x:f>YEAR(C196)</x:f>
        <x:v>2024</x:v>
      </x:c>
      <x:c r="V196" t="n">
        <x:f>YEAR(D196)</x:f>
        <x:v>2024</x:v>
      </x:c>
      <x:c r="W196" t="n">
        <x:f>N196-M196-O196-P196</x:f>
        <x:v>307.2842191302697</x:v>
      </x:c>
      <x:c r="X196" t="str">
        <x:f>IF(T196&gt;1,"Ganador",IF(T196&lt;0,"Perdedor","Empate"))</x:f>
        <x:v>Ganador</x:v>
      </x:c>
    </x:row>
    <x:row r="197">
      <x:c r="A197" t="str">
        <x:v>APP</x:v>
      </x:c>
      <x:c r="B197" t="n">
        <x:v>45534</x:v>
      </x:c>
      <x:c r="C197" t="n">
        <x:v>45538</x:v>
      </x:c>
      <x:c r="D197" t="n">
        <x:v>45565</x:v>
      </x:c>
      <x:c r="E197" t="n">
        <x:v>27</x:v>
      </x:c>
      <x:c r="F197" t="str">
        <x:v>enter_or_hold</x:v>
      </x:c>
      <x:c r="G197" t="str">
        <x:v>rebalance_trim</x:v>
      </x:c>
      <x:c r="H197" t="n">
        <x:v>2</x:v>
      </x:c>
      <x:c r="I197" t="n">
        <x:v>53.60349529555415</x:v>
      </x:c>
      <x:c r="J197" t="n">
        <x:v>12.718695197784585</x:v>
      </x:c>
      <x:c r="K197" t="n">
        <x:v>88.12999725341797</x:v>
      </x:c>
      <x:c r="L197" t="n">
        <x:v>130.5500030517578</x:v>
      </x:c>
      <x:c r="M197" t="n">
        <x:v>1120.8985728478158</x:v>
      </x:c>
      <x:c r="N197" t="n">
        <x:v>1660.425696885155</x:v>
      </x:c>
      <x:c r="O197" t="n">
        <x:v>2.690156574834757</x:v>
      </x:c>
      <x:c r="P197" t="n">
        <x:v>3.985021672524372</x:v>
      </x:c>
      <x:c r="Q197" t="n">
        <x:v>88.12999725341797</x:v>
      </x:c>
      <x:c r="R197" t="n">
        <x:v>48.133447316877856</x:v>
      </x:c>
      <x:c r="S197" t="n">
        <x:v>48.133447316877856</x:v>
      </x:c>
      <x:c r="T197" t="n">
        <x:v>47.65344731687786</x:v>
      </x:c>
      <x:c r="U197" t="n">
        <x:f>YEAR(C197)</x:f>
        <x:v>2024</x:v>
      </x:c>
      <x:c r="V197" t="n">
        <x:f>YEAR(D197)</x:f>
        <x:v>2024</x:v>
      </x:c>
      <x:c r="W197" t="n">
        <x:f>N197-M197-O197-P197</x:f>
        <x:v>532.8519457899802</x:v>
      </x:c>
      <x:c r="X197" t="str">
        <x:f>IF(T197&gt;1,"Ganador",IF(T197&lt;0,"Perdedor","Empate"))</x:f>
        <x:v>Ganador</x:v>
      </x:c>
    </x:row>
    <x:row r="198">
      <x:c r="A198" t="str">
        <x:v>COHR</x:v>
      </x:c>
      <x:c r="B198" t="n">
        <x:v>45499</x:v>
      </x:c>
      <x:c r="C198" t="n">
        <x:v>45502</x:v>
      </x:c>
      <x:c r="D198" t="n">
        <x:v>45565</x:v>
      </x:c>
      <x:c r="E198" t="n">
        <x:v>63</x:v>
      </x:c>
      <x:c r="F198" t="str">
        <x:v>enter_or_hold</x:v>
      </x:c>
      <x:c r="G198" t="str">
        <x:v>rebalance_trim</x:v>
      </x:c>
      <x:c r="H198" t="n">
        <x:v>6</x:v>
      </x:c>
      <x:c r="I198" t="n">
        <x:v>40.91707640683977</x:v>
      </x:c>
      <x:c r="J198" t="n">
        <x:v>1.395020333524941</x:v>
      </x:c>
      <x:c r="K198" t="n">
        <x:v>69.20999908447266</x:v>
      </x:c>
      <x:c r="L198" t="n">
        <x:v>88.91000366210938</x:v>
      </x:c>
      <x:c r="M198" t="n">
        <x:v>96.5493560060819</x:v>
      </x:c>
      <x:c r="N198" t="n">
        <x:v>124.03126296241953</x:v>
      </x:c>
      <x:c r="O198" t="n">
        <x:v>0.23171845441459651</x:v>
      </x:c>
      <x:c r="P198" t="n">
        <x:v>0.29767503110980686</x:v>
      </x:c>
      <x:c r="Q198" t="n">
        <x:v>69.20999908447266</x:v>
      </x:c>
      <x:c r="R198" t="n">
        <x:v>28.464101774647244</x:v>
      </x:c>
      <x:c r="S198" t="n">
        <x:v>28.464101774647244</x:v>
      </x:c>
      <x:c r="T198" t="n">
        <x:v>27.984101774647243</x:v>
      </x:c>
      <x:c r="U198" t="n">
        <x:f>YEAR(C198)</x:f>
        <x:v>2024</x:v>
      </x:c>
      <x:c r="V198" t="n">
        <x:f>YEAR(D198)</x:f>
        <x:v>2024</x:v>
      </x:c>
      <x:c r="W198" t="n">
        <x:f>N198-M198-O198-P198</x:f>
        <x:v>26.952513470813233</x:v>
      </x:c>
      <x:c r="X198" t="str">
        <x:f>IF(T198&gt;1,"Ganador",IF(T198&lt;0,"Perdedor","Empate"))</x:f>
        <x:v>Ganador</x:v>
      </x:c>
    </x:row>
    <x:row r="199">
      <x:c r="A199" t="str">
        <x:v>CEG</x:v>
      </x:c>
      <x:c r="B199" t="n">
        <x:v>45562</x:v>
      </x:c>
      <x:c r="C199" t="n">
        <x:v>45565</x:v>
      </x:c>
      <x:c r="D199" t="n">
        <x:v>45593</x:v>
      </x:c>
      <x:c r="E199" t="n">
        <x:v>28</x:v>
      </x:c>
      <x:c r="F199" t="str">
        <x:v>enter_or_hold</x:v>
      </x:c>
      <x:c r="G199" t="str">
        <x:v>left_top_n</x:v>
      </x:c>
      <x:c r="H199" t="n">
        <x:v>6</x:v>
      </x:c>
      <x:c r="I199" t="n">
        <x:v>54.625457899989584</x:v>
      </x:c>
      <x:c r="J199" t="n">
        <x:v>29.819250467282885</x:v>
      </x:c>
      <x:c r="K199" t="n">
        <x:v>260.0199890136719</x:v>
      </x:c>
      <x:c r="L199" t="n">
        <x:v>266.9800109863281</x:v>
      </x:c>
      <x:c r="M199" t="n">
        <x:v>7753.601178898825</x:v>
      </x:c>
      <x:c r="N199" t="n">
        <x:v>7961.143817359254</x:v>
      </x:c>
      <x:c r="O199" t="n">
        <x:v>18.60864282935718</x:v>
      </x:c>
      <x:c r="P199" t="n">
        <x:v>19.106745161662207</x:v>
      </x:c>
      <x:c r="Q199" t="n">
        <x:v>260.0199890136719</x:v>
      </x:c>
      <x:c r="R199" t="n">
        <x:v>2.6767257390701182</x:v>
      </x:c>
      <x:c r="S199" t="n">
        <x:v>2.6767257390701182</x:v>
      </x:c>
      <x:c r="T199" t="n">
        <x:v>2.1967257390701183</x:v>
      </x:c>
      <x:c r="U199" t="n">
        <x:f>YEAR(C199)</x:f>
        <x:v>2024</x:v>
      </x:c>
      <x:c r="V199" t="n">
        <x:f>YEAR(D199)</x:f>
        <x:v>2024</x:v>
      </x:c>
      <x:c r="W199" t="n">
        <x:f>N199-M199-O199-P199</x:f>
        <x:v>169.82725046940948</x:v>
      </x:c>
      <x:c r="X199" t="str">
        <x:f>IF(T199&gt;1,"Ganador",IF(T199&lt;0,"Perdedor","Empate"))</x:f>
        <x:v>Ganador</x:v>
      </x:c>
    </x:row>
    <x:row r="200">
      <x:c r="A200" t="str">
        <x:v>SATS</x:v>
      </x:c>
      <x:c r="B200" t="n">
        <x:v>45562</x:v>
      </x:c>
      <x:c r="C200" t="n">
        <x:v>45565</x:v>
      </x:c>
      <x:c r="D200" t="n">
        <x:v>45593</x:v>
      </x:c>
      <x:c r="E200" t="n">
        <x:v>28</x:v>
      </x:c>
      <x:c r="F200" t="str">
        <x:v>enter_or_hold</x:v>
      </x:c>
      <x:c r="G200" t="str">
        <x:v>left_top_n</x:v>
      </x:c>
      <x:c r="H200" t="n">
        <x:v>3</x:v>
      </x:c>
      <x:c r="I200" t="n">
        <x:v>73.74435889533027</x:v>
      </x:c>
      <x:c r="J200" t="n">
        <x:v>312.39328260409707</x:v>
      </x:c>
      <x:c r="K200" t="n">
        <x:v>24.81999969482422</x:v>
      </x:c>
      <x:c r="L200" t="n">
        <x:v>25.280000686645508</x:v>
      </x:c>
      <x:c r="M200" t="n">
        <x:v>7753.601178898825</x:v>
      </x:c>
      <x:c r="N200" t="n">
        <x:v>7897.302398735018</x:v>
      </x:c>
      <x:c r="O200" t="n">
        <x:v>18.60864282935718</x:v>
      </x:c>
      <x:c r="P200" t="n">
        <x:v>18.95352575696404</x:v>
      </x:c>
      <x:c r="Q200" t="n">
        <x:v>24.81999969482422</x:v>
      </x:c>
      <x:c r="R200" t="n">
        <x:v>1.853348096201679</x:v>
      </x:c>
      <x:c r="S200" t="n">
        <x:v>1.853348096201679</x:v>
      </x:c>
      <x:c r="T200" t="n">
        <x:v>1.373348096201679</x:v>
      </x:c>
      <x:c r="U200" t="n">
        <x:f>YEAR(C200)</x:f>
        <x:v>2024</x:v>
      </x:c>
      <x:c r="V200" t="n">
        <x:f>YEAR(D200)</x:f>
        <x:v>2024</x:v>
      </x:c>
      <x:c r="W200" t="n">
        <x:f>N200-M200-O200-P200</x:f>
        <x:v>106.13905124987143</x:v>
      </x:c>
      <x:c r="X200" t="str">
        <x:f>IF(T200&gt;1,"Ganador",IF(T200&lt;0,"Perdedor","Empate"))</x:f>
        <x:v>Ganador</x:v>
      </x:c>
    </x:row>
    <x:row r="201">
      <x:c r="A201" t="str">
        <x:v>APP</x:v>
      </x:c>
      <x:c r="B201" t="n">
        <x:v>45534</x:v>
      </x:c>
      <x:c r="C201" t="n">
        <x:v>45538</x:v>
      </x:c>
      <x:c r="D201" t="n">
        <x:v>45593</x:v>
      </x:c>
      <x:c r="E201" t="n">
        <x:v>55</x:v>
      </x:c>
      <x:c r="F201" t="str">
        <x:v>enter_or_hold</x:v>
      </x:c>
      <x:c r="G201" t="str">
        <x:v>rebalance_trim</x:v>
      </x:c>
      <x:c r="H201" t="n">
        <x:v>2</x:v>
      </x:c>
      <x:c r="I201" t="n">
        <x:v>53.60349529555415</x:v>
      </x:c>
      <x:c r="J201" t="n">
        <x:v>6.700811694146172</x:v>
      </x:c>
      <x:c r="K201" t="n">
        <x:v>88.12999725341797</x:v>
      </x:c>
      <x:c r="L201" t="n">
        <x:v>166.18499755859375</x:v>
      </x:c>
      <x:c r="M201" t="n">
        <x:v>590.5425162007732</x:v>
      </x:c>
      <x:c r="N201" t="n">
        <x:v>1113.574375032278</x:v>
      </x:c>
      <x:c r="O201" t="n">
        <x:v>1.4173020388818554</x:v>
      </x:c>
      <x:c r="P201" t="n">
        <x:v>2.672578500077467</x:v>
      </x:c>
      <x:c r="Q201" t="n">
        <x:v>88.12999725341797</x:v>
      </x:c>
      <x:c r="R201" t="n">
        <x:v>88.56802761576003</x:v>
      </x:c>
      <x:c r="S201" t="n">
        <x:v>88.56802761576003</x:v>
      </x:c>
      <x:c r="T201" t="n">
        <x:v>88.08802761576003</x:v>
      </x:c>
      <x:c r="U201" t="n">
        <x:f>YEAR(C201)</x:f>
        <x:v>2024</x:v>
      </x:c>
      <x:c r="V201" t="n">
        <x:f>YEAR(D201)</x:f>
        <x:v>2024</x:v>
      </x:c>
      <x:c r="W201" t="n">
        <x:f>N201-M201-O201-P201</x:f>
        <x:v>518.9419782925455</x:v>
      </x:c>
      <x:c r="X201" t="str">
        <x:f>IF(T201&gt;1,"Ganador",IF(T201&lt;0,"Perdedor","Empate"))</x:f>
        <x:v>Ganador</x:v>
      </x:c>
    </x:row>
    <x:row r="202">
      <x:c r="A202" t="str">
        <x:v>CVNA</x:v>
      </x:c>
      <x:c r="B202" t="n">
        <x:v>45443</x:v>
      </x:c>
      <x:c r="C202" t="n">
        <x:v>45446</x:v>
      </x:c>
      <x:c r="D202" t="n">
        <x:v>45593</x:v>
      </x:c>
      <x:c r="E202" t="n">
        <x:v>147</x:v>
      </x:c>
      <x:c r="F202" t="str">
        <x:v>enter_or_hold</x:v>
      </x:c>
      <x:c r="G202" t="str">
        <x:v>rebalance_trim</x:v>
      </x:c>
      <x:c r="H202" t="n">
        <x:v>1</x:v>
      </x:c>
      <x:c r="I202" t="n">
        <x:v>95.16279733245338</x:v>
      </x:c>
      <x:c r="J202" t="n">
        <x:v>1.8079570623994714</x:v>
      </x:c>
      <x:c r="K202" t="n">
        <x:v>99.73826996305476</x:v>
      </x:c>
      <x:c r="L202" t="n">
        <x:v>205.0200042724609</x:v>
      </x:c>
      <x:c r="M202" t="n">
        <x:v>180.32250957120993</x:v>
      </x:c>
      <x:c r="N202" t="n">
        <x:v>370.6673646575655</x:v>
      </x:c>
      <x:c r="O202" t="n">
        <x:v>0.43277402297090384</x:v>
      </x:c>
      <x:c r="P202" t="n">
        <x:v>0.8896016751781571</x:v>
      </x:c>
      <x:c r="Q202" t="n">
        <x:v>98.95999908447266</x:v>
      </x:c>
      <x:c r="R202" t="n">
        <x:v>107.17462224050247</x:v>
      </x:c>
      <x:c r="S202" t="n">
        <x:v>105.55801133146265</x:v>
      </x:c>
      <x:c r="T202" t="n">
        <x:v>105.07801133146265</x:v>
      </x:c>
      <x:c r="U202" t="n">
        <x:f>YEAR(C202)</x:f>
        <x:v>2024</x:v>
      </x:c>
      <x:c r="V202" t="n">
        <x:f>YEAR(D202)</x:f>
        <x:v>2024</x:v>
      </x:c>
      <x:c r="W202" t="n">
        <x:f>N202-M202-O202-P202</x:f>
        <x:v>189.02247938820648</x:v>
      </x:c>
      <x:c r="X202" t="str">
        <x:f>IF(T202&gt;1,"Ganador",IF(T202&lt;0,"Perdedor","Empate"))</x:f>
        <x:v>Ganador</x:v>
      </x:c>
    </x:row>
    <x:row r="203">
      <x:c r="A203" t="str">
        <x:v>PLTR</x:v>
      </x:c>
      <x:c r="B203" t="n">
        <x:v>45534</x:v>
      </x:c>
      <x:c r="C203" t="n">
        <x:v>45538</x:v>
      </x:c>
      <x:c r="D203" t="n">
        <x:v>45593</x:v>
      </x:c>
      <x:c r="E203" t="n">
        <x:v>55</x:v>
      </x:c>
      <x:c r="F203" t="str">
        <x:v>enter_or_hold</x:v>
      </x:c>
      <x:c r="G203" t="str">
        <x:v>rebalance_trim</x:v>
      </x:c>
      <x:c r="H203" t="n">
        <x:v>4</x:v>
      </x:c>
      <x:c r="I203" t="n">
        <x:v>59.01586251118165</x:v>
      </x:c>
      <x:c r="J203" t="n">
        <x:v>13.66420860844288</x:v>
      </x:c>
      <x:c r="K203" t="n">
        <x:v>30.516726787849052</x:v>
      </x:c>
      <x:c r="L203" t="n">
        <x:v>44.970001220703125</x:v>
      </x:c>
      <x:c r="M203" t="n">
        <x:v>416.98692087602643</x:v>
      </x:c>
      <x:c r="N203" t="n">
        <x:v>614.4794778016185</x:v>
      </x:c>
      <x:c r="O203" t="n">
        <x:v>1.0007686101024635</x:v>
      </x:c>
      <x:c r="P203" t="n">
        <x:v>1.4747507467238843</x:v>
      </x:c>
      <x:c r="Q203" t="n">
        <x:v>30.51000022888184</x:v>
      </x:c>
      <x:c r="R203" t="n">
        <x:v>47.39429984708077</x:v>
      </x:c>
      <x:c r="S203" t="n">
        <x:v>47.36181089581659</x:v>
      </x:c>
      <x:c r="T203" t="n">
        <x:v>46.88181089581659</x:v>
      </x:c>
      <x:c r="U203" t="n">
        <x:f>YEAR(C203)</x:f>
        <x:v>2024</x:v>
      </x:c>
      <x:c r="V203" t="n">
        <x:f>YEAR(D203)</x:f>
        <x:v>2024</x:v>
      </x:c>
      <x:c r="W203" t="n">
        <x:f>N203-M203-O203-P203</x:f>
        <x:v>195.01703756876572</x:v>
      </x:c>
      <x:c r="X203" t="str">
        <x:f>IF(T203&gt;1,"Ganador",IF(T203&lt;0,"Perdedor","Empate"))</x:f>
        <x:v>Ganador</x:v>
      </x:c>
    </x:row>
    <x:row r="204">
      <x:c r="A204" t="str">
        <x:v>COHR</x:v>
      </x:c>
      <x:c r="B204" t="n">
        <x:v>45499</x:v>
      </x:c>
      <x:c r="C204" t="n">
        <x:v>45502</x:v>
      </x:c>
      <x:c r="D204" t="n">
        <x:v>45628</x:v>
      </x:c>
      <x:c r="E204" t="n">
        <x:v>126</x:v>
      </x:c>
      <x:c r="F204" t="str">
        <x:v>enter_or_hold</x:v>
      </x:c>
      <x:c r="G204" t="str">
        <x:v>left_top_n</x:v>
      </x:c>
      <x:c r="H204" t="n">
        <x:v>6</x:v>
      </x:c>
      <x:c r="I204" t="n">
        <x:v>54.829404367684646</x:v>
      </x:c>
      <x:c r="J204" t="n">
        <x:v>91.09998424074935</x:v>
      </x:c>
      <x:c r="K204" t="n">
        <x:v>70.3037715262793</x:v>
      </x:c>
      <x:c r="L204" t="n">
        <x:v>103.62000274658205</x:v>
      </x:c>
      <x:c r="M204" t="n">
        <x:v>6404.672478109285</x:v>
      </x:c>
      <x:c r="N204" t="n">
        <x:v>9439.780617240029</x:v>
      </x:c>
      <x:c r="O204" t="n">
        <x:v>15.371213947462282</x:v>
      </x:c>
      <x:c r="P204" t="n">
        <x:v>22.655473481376067</x:v>
      </x:c>
      <x:c r="Q204" t="n">
        <x:v>69.20999908447266</x:v>
      </x:c>
      <x:c r="R204" t="n">
        <x:v>49.718254756962295</x:v>
      </x:c>
      <x:c r="S204" t="n">
        <x:v>47.38896718769809</x:v>
      </x:c>
      <x:c r="T204" t="n">
        <x:v>46.908967187698096</x:v>
      </x:c>
      <x:c r="U204" t="n">
        <x:f>YEAR(C204)</x:f>
        <x:v>2024</x:v>
      </x:c>
      <x:c r="V204" t="n">
        <x:f>YEAR(D204)</x:f>
        <x:v>2024</x:v>
      </x:c>
      <x:c r="W204" t="n">
        <x:f>N204-M204-O204-P204</x:f>
        <x:v>2997.081451701905</x:v>
      </x:c>
      <x:c r="X204" t="str">
        <x:f>IF(T204&gt;1,"Ganador",IF(T204&lt;0,"Perdedor","Empate"))</x:f>
        <x:v>Ganador</x:v>
      </x:c>
    </x:row>
    <x:row r="205">
      <x:c r="A205" t="str">
        <x:v>UAL</x:v>
      </x:c>
      <x:c r="B205" t="n">
        <x:v>45590</x:v>
      </x:c>
      <x:c r="C205" t="n">
        <x:v>45593</x:v>
      </x:c>
      <x:c r="D205" t="n">
        <x:v>45628</x:v>
      </x:c>
      <x:c r="E205" t="n">
        <x:v>35</x:v>
      </x:c>
      <x:c r="F205" t="str">
        <x:v>enter_or_hold</x:v>
      </x:c>
      <x:c r="G205" t="str">
        <x:v>left_top_n</x:v>
      </x:c>
      <x:c r="H205" t="n">
        <x:v>5</x:v>
      </x:c>
      <x:c r="I205" t="n">
        <x:v>58.36206313740251</x:v>
      </x:c>
      <x:c r="J205" t="n">
        <x:v>115.11183051287166</x:v>
      </x:c>
      <x:c r="K205" t="n">
        <x:v>76.08999633789062</x:v>
      </x:c>
      <x:c r="L205" t="n">
        <x:v>97.44000244140624</x:v>
      </x:c>
      <x:c r="M205" t="n">
        <x:v>8758.85876217229</x:v>
      </x:c>
      <x:c r="N205" t="n">
        <x:v>11216.497046208955</x:v>
      </x:c>
      <x:c r="O205" t="n">
        <x:v>21.021261029213495</x:v>
      </x:c>
      <x:c r="P205" t="n">
        <x:v>26.91959291090149</x:v>
      </x:c>
      <x:c r="Q205" t="n">
        <x:v>76.08999633789062</x:v>
      </x:c>
      <x:c r="R205" t="n">
        <x:v>28.058887016773216</x:v>
      </x:c>
      <x:c r="S205" t="n">
        <x:v>28.058887016773216</x:v>
      </x:c>
      <x:c r="T205" t="n">
        <x:v>27.578887016773216</x:v>
      </x:c>
      <x:c r="U205" t="n">
        <x:f>YEAR(C205)</x:f>
        <x:v>2024</x:v>
      </x:c>
      <x:c r="V205" t="n">
        <x:f>YEAR(D205)</x:f>
        <x:v>2024</x:v>
      </x:c>
      <x:c r="W205" t="n">
        <x:f>N205-M205-O205-P205</x:f>
        <x:v>2409.6974300965494</x:v>
      </x:c>
      <x:c r="X205" t="str">
        <x:f>IF(T205&gt;1,"Ganador",IF(T205&lt;0,"Perdedor","Empate"))</x:f>
        <x:v>Ganador</x:v>
      </x:c>
    </x:row>
    <x:row r="206">
      <x:c r="A206" t="str">
        <x:v>APP</x:v>
      </x:c>
      <x:c r="B206" t="n">
        <x:v>45534</x:v>
      </x:c>
      <x:c r="C206" t="n">
        <x:v>45538</x:v>
      </x:c>
      <x:c r="D206" t="n">
        <x:v>45628</x:v>
      </x:c>
      <x:c r="E206" t="n">
        <x:v>90</x:v>
      </x:c>
      <x:c r="F206" t="str">
        <x:v>enter_or_hold</x:v>
      </x:c>
      <x:c r="G206" t="str">
        <x:v>rebalance_trim</x:v>
      </x:c>
      <x:c r="H206" t="n">
        <x:v>2</x:v>
      </x:c>
      <x:c r="I206" t="n">
        <x:v>53.60349529555415</x:v>
      </x:c>
      <x:c r="J206" t="n">
        <x:v>16.367026539724648</x:v>
      </x:c>
      <x:c r="K206" t="n">
        <x:v>88.12999725341797</x:v>
      </x:c>
      <x:c r="L206" t="n">
        <x:v>340.5899963378906</x:v>
      </x:c>
      <x:c r="M206" t="n">
        <x:v>1442.4260039925523</x:v>
      </x:c>
      <x:c r="N206" t="n">
        <x:v>5574.445509226976</x:v>
      </x:c>
      <x:c r="O206" t="n">
        <x:v>3.461822409582125</x:v>
      </x:c>
      <x:c r="P206" t="n">
        <x:v>13.378669222144742</x:v>
      </x:c>
      <x:c r="Q206" t="n">
        <x:v>88.12999725341797</x:v>
      </x:c>
      <x:c r="R206" t="n">
        <x:v>286.46318728289924</x:v>
      </x:c>
      <x:c r="S206" t="n">
        <x:v>286.46318728289924</x:v>
      </x:c>
      <x:c r="T206" t="n">
        <x:v>285.9831872828992</x:v>
      </x:c>
      <x:c r="U206" t="n">
        <x:f>YEAR(C206)</x:f>
        <x:v>2024</x:v>
      </x:c>
      <x:c r="V206" t="n">
        <x:f>YEAR(D206)</x:f>
        <x:v>2024</x:v>
      </x:c>
      <x:c r="W206" t="n">
        <x:f>N206-M206-O206-P206</x:f>
        <x:v>4115.1790136026975</x:v>
      </x:c>
      <x:c r="X206" t="str">
        <x:f>IF(T206&gt;1,"Ganador",IF(T206&lt;0,"Perdedor","Empate"))</x:f>
        <x:v>Ganador</x:v>
      </x:c>
    </x:row>
    <x:row r="207">
      <x:c r="A207" t="str">
        <x:v>PLTR</x:v>
      </x:c>
      <x:c r="B207" t="n">
        <x:v>45534</x:v>
      </x:c>
      <x:c r="C207" t="n">
        <x:v>45538</x:v>
      </x:c>
      <x:c r="D207" t="n">
        <x:v>45628</x:v>
      </x:c>
      <x:c r="E207" t="n">
        <x:v>90</x:v>
      </x:c>
      <x:c r="F207" t="str">
        <x:v>enter_or_hold</x:v>
      </x:c>
      <x:c r="G207" t="str">
        <x:v>rebalance_trim</x:v>
      </x:c>
      <x:c r="H207" t="n">
        <x:v>4</x:v>
      </x:c>
      <x:c r="I207" t="n">
        <x:v>59.01586251118165</x:v>
      </x:c>
      <x:c r="J207" t="n">
        <x:v>8.150451890773587</x:v>
      </x:c>
      <x:c r="K207" t="n">
        <x:v>30.516726787849052</x:v>
      </x:c>
      <x:c r="L207" t="n">
        <x:v>66.38999938964844</x:v>
      </x:c>
      <x:c r="M207" t="n">
        <x:v>248.72511354824528</x:v>
      </x:c>
      <x:c r="N207" t="n">
        <x:v>541.1084960538174</x:v>
      </x:c>
      <x:c r="O207" t="n">
        <x:v>0.5969402725157886</x:v>
      </x:c>
      <x:c r="P207" t="n">
        <x:v>1.2986603905291616</x:v>
      </x:c>
      <x:c r="Q207" t="n">
        <x:v>30.51000022888184</x:v>
      </x:c>
      <x:c r="R207" t="n">
        <x:v>117.60078299442726</x:v>
      </x:c>
      <x:c r="S207" t="n">
        <x:v>117.55281898739929</x:v>
      </x:c>
      <x:c r="T207" t="n">
        <x:v>117.07281898739929</x:v>
      </x:c>
      <x:c r="U207" t="n">
        <x:f>YEAR(C207)</x:f>
        <x:v>2024</x:v>
      </x:c>
      <x:c r="V207" t="n">
        <x:f>YEAR(D207)</x:f>
        <x:v>2024</x:v>
      </x:c>
      <x:c r="W207" t="n">
        <x:f>N207-M207-O207-P207</x:f>
        <x:v>290.4877818425271</x:v>
      </x:c>
      <x:c r="X207" t="str">
        <x:f>IF(T207&gt;1,"Ganador",IF(T207&lt;0,"Perdedor","Empate"))</x:f>
        <x:v>Ganador</x:v>
      </x:c>
    </x:row>
    <x:row r="208">
      <x:c r="A208" t="str">
        <x:v>CVNA</x:v>
      </x:c>
      <x:c r="B208" t="n">
        <x:v>45443</x:v>
      </x:c>
      <x:c r="C208" t="n">
        <x:v>45446</x:v>
      </x:c>
      <x:c r="D208" t="n">
        <x:v>45656</x:v>
      </x:c>
      <x:c r="E208" t="n">
        <x:v>210</x:v>
      </x:c>
      <x:c r="F208" t="str">
        <x:v>enter_or_hold</x:v>
      </x:c>
      <x:c r="G208" t="str">
        <x:v>left_top_n</x:v>
      </x:c>
      <x:c r="H208" t="n">
        <x:v>3</x:v>
      </x:c>
      <x:c r="I208" t="n">
        <x:v>117.26458241149416</x:v>
      </x:c>
      <x:c r="J208" t="n">
        <x:v>48.707652142567824</x:v>
      </x:c>
      <x:c r="K208" t="n">
        <x:v>118.45206187583756</x:v>
      </x:c>
      <x:c r="L208" t="n">
        <x:v>210.5500030517578</x:v>
      </x:c>
      <x:c r="M208" t="n">
        <x:v>5769.521825418216</x:v>
      </x:c>
      <x:c r="N208" t="n">
        <x:v>10255.396307261613</x:v>
      </x:c>
      <x:c r="O208" t="n">
        <x:v>13.84685238100372</x:v>
      </x:c>
      <x:c r="P208" t="n">
        <x:v>24.61295113742787</x:v>
      </x:c>
      <x:c r="Q208" t="n">
        <x:v>98.95999908447266</x:v>
      </x:c>
      <x:c r="R208" t="n">
        <x:v>112.76273746933998</x:v>
      </x:c>
      <x:c r="S208" t="n">
        <x:v>77.7512351557528</x:v>
      </x:c>
      <x:c r="T208" t="n">
        <x:v>77.27123515575279</x:v>
      </x:c>
      <x:c r="U208" t="n">
        <x:f>YEAR(C208)</x:f>
        <x:v>2024</x:v>
      </x:c>
      <x:c r="V208" t="n">
        <x:f>YEAR(D208)</x:f>
        <x:v>2024</x:v>
      </x:c>
      <x:c r="W208" t="n">
        <x:f>N208-M208-O208-P208</x:f>
        <x:v>4447.414678324966</x:v>
      </x:c>
      <x:c r="X208" t="str">
        <x:f>IF(T208&gt;1,"Ganador",IF(T208&lt;0,"Perdedor","Empate"))</x:f>
        <x:v>Ganador</x:v>
      </x:c>
    </x:row>
    <x:row r="209">
      <x:c r="A209" t="str">
        <x:v>TPL</x:v>
      </x:c>
      <x:c r="B209" t="n">
        <x:v>45590</x:v>
      </x:c>
      <x:c r="C209" t="n">
        <x:v>45593</x:v>
      </x:c>
      <x:c r="D209" t="n">
        <x:v>45656</x:v>
      </x:c>
      <x:c r="E209" t="n">
        <x:v>63</x:v>
      </x:c>
      <x:c r="F209" t="str">
        <x:v>enter_or_hold</x:v>
      </x:c>
      <x:c r="G209" t="str">
        <x:v>left_top_n</x:v>
      </x:c>
      <x:c r="H209" t="n">
        <x:v>4</x:v>
      </x:c>
      <x:c r="I209" t="n">
        <x:v>111.85514432567456</x:v>
      </x:c>
      <x:c r="J209" t="n">
        <x:v>24.835100309795408</x:v>
      </x:c>
      <x:c r="K209" t="n">
        <x:v>367.48177308290343</x:v>
      </x:c>
      <x:c r="L209" t="n">
        <x:v>369.1433410644531</x:v>
      </x:c>
      <x:c r="M209" t="n">
        <x:v>9126.44669653538</x:v>
      </x:c>
      <x:c r="N209" t="n">
        <x:v>9167.711904028713</x:v>
      </x:c>
      <x:c r="O209" t="n">
        <x:v>21.90347207168491</x:v>
      </x:c>
      <x:c r="P209" t="n">
        <x:v>22.002508569668908</x:v>
      </x:c>
      <x:c r="Q209" t="n">
        <x:v>363.4366760253906</x:v>
      </x:c>
      <x:c r="R209" t="n">
        <x:v>1.5701951441642104</x:v>
      </x:c>
      <x:c r="S209" t="n">
        <x:v>0.4521497672143937</x:v>
      </x:c>
      <x:c r="T209" t="n">
        <x:v>-0.027850232785606277</x:v>
      </x:c>
      <x:c r="U209" t="n">
        <x:f>YEAR(C209)</x:f>
        <x:v>2024</x:v>
      </x:c>
      <x:c r="V209" t="n">
        <x:f>YEAR(D209)</x:f>
        <x:v>2024</x:v>
      </x:c>
      <x:c r="W209" t="n">
        <x:f>N209-M209-O209-P209</x:f>
        <x:v>-2.6407731480216903</x:v>
      </x:c>
      <x:c r="X209" t="str">
        <x:f>IF(T209&gt;1,"Ganador",IF(T209&lt;0,"Perdedor","Empate"))</x:f>
        <x:v>Perdedor</x:v>
      </x:c>
    </x:row>
    <x:row r="210">
      <x:c r="A210" t="str">
        <x:v>APP</x:v>
      </x:c>
      <x:c r="B210" t="n">
        <x:v>45534</x:v>
      </x:c>
      <x:c r="C210" t="n">
        <x:v>45538</x:v>
      </x:c>
      <x:c r="D210" t="n">
        <x:v>45656</x:v>
      </x:c>
      <x:c r="E210" t="n">
        <x:v>118</x:v>
      </x:c>
      <x:c r="F210" t="str">
        <x:v>enter_or_hold</x:v>
      </x:c>
      <x:c r="G210" t="str">
        <x:v>rebalance_trim</x:v>
      </x:c>
      <x:c r="H210" t="n">
        <x:v>2</x:v>
      </x:c>
      <x:c r="I210" t="n">
        <x:v>53.60349529555415</x:v>
      </x:c>
      <x:c r="J210" t="n">
        <x:v>1.4797545501233311</x:v>
      </x:c>
      <x:c r="K210" t="n">
        <x:v>88.12999725341797</x:v>
      </x:c>
      <x:c r="L210" t="n">
        <x:v>335.3800048828125</x:v>
      </x:c>
      <x:c r="M210" t="n">
        <x:v>130.41076443810192</x:v>
      </x:c>
      <x:c r="N210" t="n">
        <x:v>496.2800882457268</x:v>
      </x:c>
      <x:c r="O210" t="n">
        <x:v>0.3129858346514446</x:v>
      </x:c>
      <x:c r="P210" t="n">
        <x:v>1.1910722117897443</x:v>
      </x:c>
      <x:c r="Q210" t="n">
        <x:v>88.12999725341797</x:v>
      </x:c>
      <x:c r="R210" t="n">
        <x:v>280.55147547369904</x:v>
      </x:c>
      <x:c r="S210" t="n">
        <x:v>280.55147547369904</x:v>
      </x:c>
      <x:c r="T210" t="n">
        <x:v>280.071475473699</x:v>
      </x:c>
      <x:c r="U210" t="n">
        <x:f>YEAR(C210)</x:f>
        <x:v>2024</x:v>
      </x:c>
      <x:c r="V210" t="n">
        <x:f>YEAR(D210)</x:f>
        <x:v>2024</x:v>
      </x:c>
      <x:c r="W210" t="n">
        <x:f>N210-M210-O210-P210</x:f>
        <x:v>364.3652657611837</x:v>
      </x:c>
      <x:c r="X210" t="str">
        <x:f>IF(T210&gt;1,"Ganador",IF(T210&lt;0,"Perdedor","Empate"))</x:f>
        <x:v>Ganador</x:v>
      </x:c>
    </x:row>
    <x:row r="211">
      <x:c r="A211" t="str">
        <x:v>AXON</x:v>
      </x:c>
      <x:c r="B211" t="n">
        <x:v>45625</x:v>
      </x:c>
      <x:c r="C211" t="n">
        <x:v>45628</x:v>
      </x:c>
      <x:c r="D211" t="n">
        <x:v>45656</x:v>
      </x:c>
      <x:c r="E211" t="n">
        <x:v>28</x:v>
      </x:c>
      <x:c r="F211" t="str">
        <x:v>enter_or_hold</x:v>
      </x:c>
      <x:c r="G211" t="str">
        <x:v>rebalance_trim</x:v>
      </x:c>
      <x:c r="H211" t="n">
        <x:v>5</x:v>
      </x:c>
      <x:c r="I211" t="n">
        <x:v>90.54975463392232</x:v>
      </x:c>
      <x:c r="J211" t="n">
        <x:v>0.04554715298917703</x:v>
      </x:c>
      <x:c r="K211" t="n">
        <x:v>636.3900146484375</x:v>
      </x:c>
      <x:c r="L211" t="n">
        <x:v>604.3200073242188</x:v>
      </x:c>
      <x:c r="M211" t="n">
        <x:v>28.985753357976996</x:v>
      </x:c>
      <x:c r="N211" t="n">
        <x:v>27.525055828016775</x:v>
      </x:c>
      <x:c r="O211" t="n">
        <x:v>0.06956580805914479</x:v>
      </x:c>
      <x:c r="P211" t="n">
        <x:v>0.06606013398724025</x:v>
      </x:c>
      <x:c r="Q211" t="n">
        <x:v>636.3900146484375</x:v>
      </x:c>
      <x:c r="R211" t="n">
        <x:v>-5.039363689880528</x:v>
      </x:c>
      <x:c r="S211" t="n">
        <x:v>-5.039363689880528</x:v>
      </x:c>
      <x:c r="T211" t="n">
        <x:v>-5.519363689880528</x:v>
      </x:c>
      <x:c r="U211" t="n">
        <x:f>YEAR(C211)</x:f>
        <x:v>2024</x:v>
      </x:c>
      <x:c r="V211" t="n">
        <x:f>YEAR(D211)</x:f>
        <x:v>2024</x:v>
      </x:c>
      <x:c r="W211" t="n">
        <x:f>N211-M211-O211-P211</x:f>
        <x:v>-1.5963234720066062</x:v>
      </x:c>
      <x:c r="X211" t="str">
        <x:f>IF(T211&gt;1,"Ganador",IF(T211&lt;0,"Perdedor","Empate"))</x:f>
        <x:v>Perdedor</x:v>
      </x:c>
    </x:row>
    <x:row r="212">
      <x:c r="A212" t="str">
        <x:v>HOOD</x:v>
      </x:c>
      <x:c r="B212" t="n">
        <x:v>45625</x:v>
      </x:c>
      <x:c r="C212" t="n">
        <x:v>45628</x:v>
      </x:c>
      <x:c r="D212" t="n">
        <x:v>45656</x:v>
      </x:c>
      <x:c r="E212" t="n">
        <x:v>28</x:v>
      </x:c>
      <x:c r="F212" t="str">
        <x:v>enter_or_hold</x:v>
      </x:c>
      <x:c r="G212" t="str">
        <x:v>rebalance_trim</x:v>
      </x:c>
      <x:c r="H212" t="n">
        <x:v>6</x:v>
      </x:c>
      <x:c r="I212" t="n">
        <x:v>89.69176850878733</x:v>
      </x:c>
      <x:c r="J212" t="n">
        <x:v>22.70713246957396</x:v>
      </x:c>
      <x:c r="K212" t="n">
        <x:v>37.619998931884766</x:v>
      </x:c>
      <x:c r="L212" t="n">
        <x:v>38.27999877929688</x:v>
      </x:c>
      <x:c r="M212" t="n">
        <x:v>854.2422992515383</x:v>
      </x:c>
      <x:c r="N212" t="n">
        <x:v>869.2290032166238</x:v>
      </x:c>
      <x:c r="O212" t="n">
        <x:v>2.0501815182036918</x:v>
      </x:c>
      <x:c r="P212" t="n">
        <x:v>2.086149607719897</x:v>
      </x:c>
      <x:c r="Q212" t="n">
        <x:v>37.619998931884766</x:v>
      </x:c>
      <x:c r="R212" t="n">
        <x:v>1.7543856091200905</x:v>
      </x:c>
      <x:c r="S212" t="n">
        <x:v>1.7543856091200905</x:v>
      </x:c>
      <x:c r="T212" t="n">
        <x:v>1.2743856091200905</x:v>
      </x:c>
      <x:c r="U212" t="n">
        <x:f>YEAR(C212)</x:f>
        <x:v>2024</x:v>
      </x:c>
      <x:c r="V212" t="n">
        <x:f>YEAR(D212)</x:f>
        <x:v>2024</x:v>
      </x:c>
      <x:c r="W212" t="n">
        <x:f>N212-M212-O212-P212</x:f>
        <x:v>10.850372839161965</x:v>
      </x:c>
      <x:c r="X212" t="str">
        <x:f>IF(T212&gt;1,"Ganador",IF(T212&lt;0,"Perdedor","Empate"))</x:f>
        <x:v>Ganador</x:v>
      </x:c>
    </x:row>
    <x:row r="213">
      <x:c r="A213" t="str">
        <x:v>PLTR</x:v>
      </x:c>
      <x:c r="B213" t="n">
        <x:v>45534</x:v>
      </x:c>
      <x:c r="C213" t="n">
        <x:v>45538</x:v>
      </x:c>
      <x:c r="D213" t="n">
        <x:v>45656</x:v>
      </x:c>
      <x:c r="E213" t="n">
        <x:v>118</x:v>
      </x:c>
      <x:c r="F213" t="str">
        <x:v>enter_or_hold</x:v>
      </x:c>
      <x:c r="G213" t="str">
        <x:v>rebalance_trim</x:v>
      </x:c>
      <x:c r="H213" t="n">
        <x:v>4</x:v>
      </x:c>
      <x:c r="I213" t="n">
        <x:v>59.01586251118165</x:v>
      </x:c>
      <x:c r="J213" t="n">
        <x:v>35.05449565277705</x:v>
      </x:c>
      <x:c r="K213" t="n">
        <x:v>30.516726787849052</x:v>
      </x:c>
      <x:c r="L213" t="n">
        <x:v>77.18000030517578</x:v>
      </x:c>
      <x:c r="M213" t="n">
        <x:v>1069.7484665216393</x:v>
      </x:c>
      <x:c r="N213" t="n">
        <x:v>2705.5059851791157</x:v>
      </x:c>
      <x:c r="O213" t="n">
        <x:v>2.5673963196519347</x:v>
      </x:c>
      <x:c r="P213" t="n">
        <x:v>6.493214364429877</x:v>
      </x:c>
      <x:c r="Q213" t="n">
        <x:v>30.51000022888184</x:v>
      </x:c>
      <x:c r="R213" t="n">
        <x:v>152.96623967939036</x:v>
      </x:c>
      <x:c r="S213" t="n">
        <x:v>152.91048034649245</x:v>
      </x:c>
      <x:c r="T213" t="n">
        <x:v>152.43048034649246</x:v>
      </x:c>
      <x:c r="U213" t="n">
        <x:f>YEAR(C213)</x:f>
        <x:v>2024</x:v>
      </x:c>
      <x:c r="V213" t="n">
        <x:f>YEAR(D213)</x:f>
        <x:v>2024</x:v>
      </x:c>
      <x:c r="W213" t="n">
        <x:f>N213-M213-O213-P213</x:f>
        <x:v>1626.6969079733947</x:v>
      </x:c>
      <x:c r="X213" t="str">
        <x:f>IF(T213&gt;1,"Ganador",IF(T213&lt;0,"Perdedor","Empate"))</x:f>
        <x:v>Ganador</x:v>
      </x:c>
    </x:row>
    <x:row r="214">
      <x:c r="A214" t="str">
        <x:v>AXON</x:v>
      </x:c>
      <x:c r="B214" t="n">
        <x:v>45625</x:v>
      </x:c>
      <x:c r="C214" t="n">
        <x:v>45628</x:v>
      </x:c>
      <x:c r="D214" t="n">
        <x:v>45691</x:v>
      </x:c>
      <x:c r="E214" t="n">
        <x:v>63</x:v>
      </x:c>
      <x:c r="F214" t="str">
        <x:v>enter_or_hold</x:v>
      </x:c>
      <x:c r="G214" t="str">
        <x:v>left_top_n</x:v>
      </x:c>
      <x:c r="H214" t="n">
        <x:v>5</x:v>
      </x:c>
      <x:c r="I214" t="n">
        <x:v>90.54975463392232</x:v>
      </x:c>
      <x:c r="J214" t="n">
        <x:v>19.422683842617115</x:v>
      </x:c>
      <x:c r="K214" t="n">
        <x:v>636.3900146484375</x:v>
      </x:c>
      <x:c r="L214" t="n">
        <x:v>658.1099853515625</x:v>
      </x:c>
      <x:c r="M214" t="n">
        <x:v>12360.402055115077</x:v>
      </x:c>
      <x:c r="N214" t="n">
        <x:v>12782.26217915278</x:v>
      </x:c>
      <x:c r="O214" t="n">
        <x:v>29.66496493227618</x:v>
      </x:c>
      <x:c r="P214" t="n">
        <x:v>30.67742922996667</x:v>
      </x:c>
      <x:c r="Q214" t="n">
        <x:v>636.3900146484375</x:v>
      </x:c>
      <x:c r="R214" t="n">
        <x:v>3.412996779203681</x:v>
      </x:c>
      <x:c r="S214" t="n">
        <x:v>3.412996779203681</x:v>
      </x:c>
      <x:c r="T214" t="n">
        <x:v>2.932996779203681</x:v>
      </x:c>
      <x:c r="U214" t="n">
        <x:f>YEAR(C214)</x:f>
        <x:v>2024</x:v>
      </x:c>
      <x:c r="V214" t="n">
        <x:f>YEAR(D214)</x:f>
        <x:v>2025</x:v>
      </x:c>
      <x:c r="W214" t="n">
        <x:f>N214-M214-O214-P214</x:f>
        <x:v>361.5177298754601</x:v>
      </x:c>
      <x:c r="X214" t="str">
        <x:f>IF(T214&gt;1,"Ganador",IF(T214&lt;0,"Perdedor","Empate"))</x:f>
        <x:v>Ganador</x:v>
      </x:c>
    </x:row>
    <x:row r="215">
      <x:c r="A215" t="str">
        <x:v>HOOD</x:v>
      </x:c>
      <x:c r="B215" t="n">
        <x:v>45625</x:v>
      </x:c>
      <x:c r="C215" t="n">
        <x:v>45628</x:v>
      </x:c>
      <x:c r="D215" t="n">
        <x:v>45691</x:v>
      </x:c>
      <x:c r="E215" t="n">
        <x:v>63</x:v>
      </x:c>
      <x:c r="F215" t="str">
        <x:v>enter_or_hold</x:v>
      </x:c>
      <x:c r="G215" t="str">
        <x:v>rebalance_trim</x:v>
      </x:c>
      <x:c r="H215" t="n">
        <x:v>6</x:v>
      </x:c>
      <x:c r="I215" t="n">
        <x:v>89.69176850878733</x:v>
      </x:c>
      <x:c r="J215" t="n">
        <x:v>57.93237534470587</x:v>
      </x:c>
      <x:c r="K215" t="n">
        <x:v>37.619998931884766</x:v>
      </x:c>
      <x:c r="L215" t="n">
        <x:v>51.900001525878906</x:v>
      </x:c>
      <x:c r="M215" t="n">
        <x:v>2179.415898589382</x:v>
      </x:c>
      <x:c r="N215" t="n">
        <x:v>3006.690368788024</x:v>
      </x:c>
      <x:c r="O215" t="n">
        <x:v>5.2305981566145165</x:v>
      </x:c>
      <x:c r="P215" t="n">
        <x:v>7.216056885091257</x:v>
      </x:c>
      <x:c r="Q215" t="n">
        <x:v>37.619998931884766</x:v>
      </x:c>
      <x:c r="R215" t="n">
        <x:v>37.95854066835484</x:v>
      </x:c>
      <x:c r="S215" t="n">
        <x:v>37.95854066835484</x:v>
      </x:c>
      <x:c r="T215" t="n">
        <x:v>37.478540668354846</x:v>
      </x:c>
      <x:c r="U215" t="n">
        <x:f>YEAR(C215)</x:f>
        <x:v>2024</x:v>
      </x:c>
      <x:c r="V215" t="n">
        <x:f>YEAR(D215)</x:f>
        <x:v>2025</x:v>
      </x:c>
      <x:c r="W215" t="n">
        <x:f>N215-M215-O215-P215</x:f>
        <x:v>814.8278151569364</x:v>
      </x:c>
      <x:c r="X215" t="str">
        <x:f>IF(T215&gt;1,"Ganador",IF(T215&lt;0,"Perdedor","Empate"))</x:f>
        <x:v>Ganador</x:v>
      </x:c>
    </x:row>
    <x:row r="216">
      <x:c r="A216" t="str">
        <x:v>APP</x:v>
      </x:c>
      <x:c r="B216" t="n">
        <x:v>45534</x:v>
      </x:c>
      <x:c r="C216" t="n">
        <x:v>45538</x:v>
      </x:c>
      <x:c r="D216" t="n">
        <x:v>45719</x:v>
      </x:c>
      <x:c r="E216" t="n">
        <x:v>181</x:v>
      </x:c>
      <x:c r="F216" t="str">
        <x:v>enter_or_hold</x:v>
      </x:c>
      <x:c r="G216" t="str">
        <x:v>market_filter_failed</x:v>
      </x:c>
      <x:c r="H216" t="n">
        <x:v>1</x:v>
      </x:c>
      <x:c r="I216" t="n">
        <x:v>144.36649793873974</x:v>
      </x:c>
      <x:c r="J216" t="n">
        <x:v>35.315066819998414</x:v>
      </x:c>
      <x:c r="K216" t="n">
        <x:v>90.62239548684607</x:v>
      </x:c>
      <x:c r="L216" t="n">
        <x:v>337.3399963378906</x:v>
      </x:c>
      <x:c r="M216" t="n">
        <x:v>3200.335952006292</x:v>
      </x:c>
      <x:c r="N216" t="n">
        <x:v>11913.184511730627</x:v>
      </x:c>
      <x:c r="O216" t="n">
        <x:v>7.680806284815099</x:v>
      </x:c>
      <x:c r="P216" t="n">
        <x:v>28.591642828153503</x:v>
      </x:c>
      <x:c r="Q216" t="n">
        <x:v>88.12999725341797</x:v>
      </x:c>
      <x:c r="R216" t="n">
        <x:v>282.77545313869564</x:v>
      </x:c>
      <x:c r="S216" t="n">
        <x:v>272.2479355413374</x:v>
      </x:c>
      <x:c r="T216" t="n">
        <x:v>271.7679355413374</x:v>
      </x:c>
      <x:c r="U216" t="n">
        <x:f>YEAR(C216)</x:f>
        <x:v>2024</x:v>
      </x:c>
      <x:c r="V216" t="n">
        <x:f>YEAR(D216)</x:f>
        <x:v>2025</x:v>
      </x:c>
      <x:c r="W216" t="n">
        <x:f>N216-M216-O216-P216</x:f>
        <x:v>8676.576110611366</x:v>
      </x:c>
      <x:c r="X216" t="str">
        <x:f>IF(T216&gt;1,"Ganador",IF(T216&lt;0,"Perdedor","Empate"))</x:f>
        <x:v>Ganador</x:v>
      </x:c>
    </x:row>
    <x:row r="217">
      <x:c r="A217" t="str">
        <x:v>PLTR</x:v>
      </x:c>
      <x:c r="B217" t="n">
        <x:v>45534</x:v>
      </x:c>
      <x:c r="C217" t="n">
        <x:v>45538</x:v>
      </x:c>
      <x:c r="D217" t="n">
        <x:v>45719</x:v>
      </x:c>
      <x:c r="E217" t="n">
        <x:v>181</x:v>
      </x:c>
      <x:c r="F217" t="str">
        <x:v>enter_or_hold</x:v>
      </x:c>
      <x:c r="G217" t="str">
        <x:v>market_filter_failed</x:v>
      </x:c>
      <x:c r="H217" t="n">
        <x:v>2</x:v>
      </x:c>
      <x:c r="I217" t="n">
        <x:v>109.35628062903002</x:v>
      </x:c>
      <x:c r="J217" t="n">
        <x:v>154.11277855206683</x:v>
      </x:c>
      <x:c r="K217" t="n">
        <x:v>31.2188330034464</x:v>
      </x:c>
      <x:c r="L217" t="n">
        <x:v>83.41999816894531</x:v>
      </x:c>
      <x:c r="M217" t="n">
        <x:v>4811.22109731409</x:v>
      </x:c>
      <x:c r="N217" t="n">
        <x:v>12856.08770462449</x:v>
      </x:c>
      <x:c r="O217" t="n">
        <x:v>11.546930633553817</x:v>
      </x:c>
      <x:c r="P217" t="n">
        <x:v>30.85461049109877</x:v>
      </x:c>
      <x:c r="Q217" t="n">
        <x:v>30.51000022888184</x:v>
      </x:c>
      <x:c r="R217" t="n">
        <x:v>173.41854324201873</x:v>
      </x:c>
      <x:c r="S217" t="n">
        <x:v>167.21049489497628</x:v>
      </x:c>
      <x:c r="T217" t="n">
        <x:v>166.7304948949763</x:v>
      </x:c>
      <x:c r="U217" t="n">
        <x:f>YEAR(C217)</x:f>
        <x:v>2024</x:v>
      </x:c>
      <x:c r="V217" t="n">
        <x:f>YEAR(D217)</x:f>
        <x:v>2025</x:v>
      </x:c>
      <x:c r="W217" t="n">
        <x:f>N217-M217-O217-P217</x:f>
        <x:v>8002.465066185748</x:v>
      </x:c>
      <x:c r="X217" t="str">
        <x:f>IF(T217&gt;1,"Ganador",IF(T217&lt;0,"Perdedor","Empate"))</x:f>
        <x:v>Ganador</x:v>
      </x:c>
    </x:row>
    <x:row r="218">
      <x:c r="A218" t="str">
        <x:v>HOOD</x:v>
      </x:c>
      <x:c r="B218" t="n">
        <x:v>45625</x:v>
      </x:c>
      <x:c r="C218" t="n">
        <x:v>45628</x:v>
      </x:c>
      <x:c r="D218" t="n">
        <x:v>45719</x:v>
      </x:c>
      <x:c r="E218" t="n">
        <x:v>91</x:v>
      </x:c>
      <x:c r="F218" t="str">
        <x:v>enter_or_hold</x:v>
      </x:c>
      <x:c r="G218" t="str">
        <x:v>market_filter_failed</x:v>
      </x:c>
      <x:c r="H218" t="n">
        <x:v>6</x:v>
      </x:c>
      <x:c r="I218" t="n">
        <x:v>89.69176850878733</x:v>
      </x:c>
      <x:c r="J218" t="n">
        <x:v>248.6903210064342</x:v>
      </x:c>
      <x:c r="K218" t="n">
        <x:v>37.619998931884766</x:v>
      </x:c>
      <x:c r="L218" t="n">
        <x:v>46.88999938964844</x:v>
      </x:c>
      <x:c r="M218" t="n">
        <x:v>9355.729610632134</x:v>
      </x:c>
      <x:c r="N218" t="n">
        <x:v>11661.089000203174</x:v>
      </x:c>
      <x:c r="O218" t="n">
        <x:v>22.45375106551712</x:v>
      </x:c>
      <x:c r="P218" t="n">
        <x:v>27.986613600487615</x:v>
      </x:c>
      <x:c r="Q218" t="n">
        <x:v>37.619998931884766</x:v>
      </x:c>
      <x:c r="R218" t="n">
        <x:v>24.64115024178508</x:v>
      </x:c>
      <x:c r="S218" t="n">
        <x:v>24.64115024178508</x:v>
      </x:c>
      <x:c r="T218" t="n">
        <x:v>24.16115024178508</x:v>
      </x:c>
      <x:c r="U218" t="n">
        <x:f>YEAR(C218)</x:f>
        <x:v>2024</x:v>
      </x:c>
      <x:c r="V218" t="n">
        <x:f>YEAR(D218)</x:f>
        <x:v>2025</x:v>
      </x:c>
      <x:c r="W218" t="n">
        <x:f>N218-M218-O218-P218</x:f>
        <x:v>2254.9190249050353</x:v>
      </x:c>
      <x:c r="X218" t="str">
        <x:f>IF(T218&gt;1,"Ganador",IF(T218&lt;0,"Perdedor","Empate"))</x:f>
        <x:v>Ganador</x:v>
      </x:c>
    </x:row>
    <x:row r="219">
      <x:c r="A219" t="str">
        <x:v>TSLA</x:v>
      </x:c>
      <x:c r="B219" t="n">
        <x:v>45653</x:v>
      </x:c>
      <x:c r="C219" t="n">
        <x:v>45656</x:v>
      </x:c>
      <x:c r="D219" t="n">
        <x:v>45719</x:v>
      </x:c>
      <x:c r="E219" t="n">
        <x:v>63</x:v>
      </x:c>
      <x:c r="F219" t="str">
        <x:v>enter_or_hold</x:v>
      </x:c>
      <x:c r="G219" t="str">
        <x:v>market_filter_failed</x:v>
      </x:c>
      <x:c r="H219" t="n">
        <x:v>6</x:v>
      </x:c>
      <x:c r="I219" t="n">
        <x:v>62.21546900629551</x:v>
      </x:c>
      <x:c r="J219" t="n">
        <x:v>33.62312678683742</x:v>
      </x:c>
      <x:c r="K219" t="n">
        <x:v>411.8099239350638</x:v>
      </x:c>
      <x:c r="L219" t="n">
        <x:v>284.6499938964844</x:v>
      </x:c>
      <x:c r="M219" t="n">
        <x:v>13846.337284546524</x:v>
      </x:c>
      <x:c r="N219" t="n">
        <x:v>9570.82283465399</x:v>
      </x:c>
      <x:c r="O219" t="n">
        <x:v>33.23120948291165</x:v>
      </x:c>
      <x:c r="P219" t="n">
        <x:v>22.969974803169578</x:v>
      </x:c>
      <x:c r="Q219" t="n">
        <x:v>417.4100036621094</x:v>
      </x:c>
      <x:c r="R219" t="n">
        <x:v>-31.80566076540258</x:v>
      </x:c>
      <x:c r="S219" t="n">
        <x:v>-30.878306385503873</x:v>
      </x:c>
      <x:c r="T219" t="n">
        <x:v>-31.358306385503873</x:v>
      </x:c>
      <x:c r="U219" t="n">
        <x:f>YEAR(C219)</x:f>
        <x:v>2024</x:v>
      </x:c>
      <x:c r="V219" t="n">
        <x:f>YEAR(D219)</x:f>
        <x:v>2025</x:v>
      </x:c>
      <x:c r="W219" t="n">
        <x:f>N219-M219-O219-P219</x:f>
        <x:v>-4331.715634178614</x:v>
      </x:c>
      <x:c r="X219" t="str">
        <x:f>IF(T219&gt;1,"Ganador",IF(T219&lt;0,"Perdedor","Empate"))</x:f>
        <x:v>Perdedor</x:v>
      </x:c>
    </x:row>
    <x:row r="220">
      <x:c r="A220" t="str">
        <x:v>UAL</x:v>
      </x:c>
      <x:c r="B220" t="n">
        <x:v>45653</x:v>
      </x:c>
      <x:c r="C220" t="n">
        <x:v>45656</x:v>
      </x:c>
      <x:c r="D220" t="n">
        <x:v>45719</x:v>
      </x:c>
      <x:c r="E220" t="n">
        <x:v>63</x:v>
      </x:c>
      <x:c r="F220" t="str">
        <x:v>enter_or_hold</x:v>
      </x:c>
      <x:c r="G220" t="str">
        <x:v>market_filter_failed</x:v>
      </x:c>
      <x:c r="H220" t="n">
        <x:v>4</x:v>
      </x:c>
      <x:c r="I220" t="n">
        <x:v>69.46444432496797</x:v>
      </x:c>
      <x:c r="J220" t="n">
        <x:v>123.10222687521718</x:v>
      </x:c>
      <x:c r="K220" t="n">
        <x:v>98.42101036848784</x:v>
      </x:c>
      <x:c r="L220" t="n">
        <x:v>91.66999816894533</x:v>
      </x:c>
      <x:c r="M220" t="n">
        <x:v>12115.845547669693</x:v>
      </x:c>
      <x:c r="N220" t="n">
        <x:v>11284.780912244252</x:v>
      </x:c>
      <x:c r="O220" t="n">
        <x:v>29.07802931440726</x:v>
      </x:c>
      <x:c r="P220" t="n">
        <x:v>27.0834741893862</x:v>
      </x:c>
      <x:c r="Q220" t="n">
        <x:v>98.20999908447266</x:v>
      </x:c>
      <x:c r="R220" t="n">
        <x:v>-6.6592006684595635</x:v>
      </x:c>
      <x:c r="S220" t="n">
        <x:v>-6.859320153559445</x:v>
      </x:c>
      <x:c r="T220" t="n">
        <x:v>-7.339320153559445</x:v>
      </x:c>
      <x:c r="U220" t="n">
        <x:f>YEAR(C220)</x:f>
        <x:v>2024</x:v>
      </x:c>
      <x:c r="V220" t="n">
        <x:f>YEAR(D220)</x:f>
        <x:v>2025</x:v>
      </x:c>
      <x:c r="W220" t="n">
        <x:f>N220-M220-O220-P220</x:f>
        <x:v>-887.2261389292338</x:v>
      </x:c>
      <x:c r="X220" t="str">
        <x:f>IF(T220&gt;1,"Ganador",IF(T220&lt;0,"Perdedor","Empate"))</x:f>
        <x:v>Perdedor</x:v>
      </x:c>
    </x:row>
    <x:row r="221">
      <x:c r="A221" t="str">
        <x:v>CVNA</x:v>
      </x:c>
      <x:c r="B221" t="n">
        <x:v>45688</x:v>
      </x:c>
      <x:c r="C221" t="n">
        <x:v>45691</x:v>
      </x:c>
      <x:c r="D221" t="n">
        <x:v>45719</x:v>
      </x:c>
      <x:c r="E221" t="n">
        <x:v>28</x:v>
      </x:c>
      <x:c r="F221" t="str">
        <x:v>enter_or_hold</x:v>
      </x:c>
      <x:c r="G221" t="str">
        <x:v>market_filter_failed</x:v>
      </x:c>
      <x:c r="H221" t="n">
        <x:v>5</x:v>
      </x:c>
      <x:c r="I221" t="n">
        <x:v>64.11579775768877</x:v>
      </x:c>
      <x:c r="J221" t="n">
        <x:v>51.16219170711518</x:v>
      </x:c>
      <x:c r="K221" t="n">
        <x:v>251.6300048828125</x:v>
      </x:c>
      <x:c r="L221" t="n">
        <x:v>219.4499969482422</x:v>
      </x:c>
      <x:c r="M221" t="n">
        <x:v>12873.94254907678</x:v>
      </x:c>
      <x:c r="N221" t="n">
        <x:v>11227.542813991808</x:v>
      </x:c>
      <x:c r="O221" t="n">
        <x:v>30.897462117784272</x:v>
      </x:c>
      <x:c r="P221" t="n">
        <x:v>26.946102753580337</x:v>
      </x:c>
      <x:c r="Q221" t="n">
        <x:v>251.6300048828125</x:v>
      </x:c>
      <x:c r="R221" t="n">
        <x:v>-12.78862111438458</x:v>
      </x:c>
      <x:c r="S221" t="n">
        <x:v>-12.78862111438458</x:v>
      </x:c>
      <x:c r="T221" t="n">
        <x:v>-13.26862111438458</x:v>
      </x:c>
      <x:c r="U221" t="n">
        <x:f>YEAR(C221)</x:f>
        <x:v>2025</x:v>
      </x:c>
      <x:c r="V221" t="n">
        <x:f>YEAR(D221)</x:f>
        <x:v>2025</x:v>
      </x:c>
      <x:c r="W221" t="n">
        <x:f>N221-M221-O221-P221</x:f>
        <x:v>-1704.2432999563378</x:v>
      </x:c>
      <x:c r="X221" t="str">
        <x:f>IF(T221&gt;1,"Ganador",IF(T221&lt;0,"Perdedor","Empate"))</x:f>
        <x:v>Perdedor</x:v>
      </x:c>
    </x:row>
    <x:row r="222">
      <x:c r="A222" t="str">
        <x:v>APP</x:v>
      </x:c>
      <x:c r="B222" t="n">
        <x:v>45807</x:v>
      </x:c>
      <x:c r="C222" t="n">
        <x:v>45810</x:v>
      </x:c>
      <x:c r="D222" t="n">
        <x:v>45838</x:v>
      </x:c>
      <x:c r="E222" t="n">
        <x:v>28</x:v>
      </x:c>
      <x:c r="F222" t="str">
        <x:v>enter_or_hold</x:v>
      </x:c>
      <x:c r="G222" t="str">
        <x:v>left_top_n</x:v>
      </x:c>
      <x:c r="H222" t="n">
        <x:v>3</x:v>
      </x:c>
      <x:c r="I222" t="n">
        <x:v>67.7829753516748</x:v>
      </x:c>
      <x:c r="J222" t="n">
        <x:v>28.275579816671417</x:v>
      </x:c>
      <x:c r="K222" t="n">
        <x:v>401.9100036621094</x:v>
      </x:c>
      <x:c r="L222" t="n">
        <x:v>350.0799865722656</x:v>
      </x:c>
      <x:c r="M222" t="n">
        <x:v>11364.238387666675</x:v>
      </x:c>
      <x:c r="N222" t="n">
        <x:v>9898.714602543354</x:v>
      </x:c>
      <x:c r="O222" t="n">
        <x:v>27.274172130400018</x:v>
      </x:c>
      <x:c r="P222" t="n">
        <x:v>23.756915046104048</x:v>
      </x:c>
      <x:c r="Q222" t="n">
        <x:v>401.9100036621094</x:v>
      </x:c>
      <x:c r="R222" t="n">
        <x:v>-12.89592610723317</x:v>
      </x:c>
      <x:c r="S222" t="n">
        <x:v>-12.89592610723317</x:v>
      </x:c>
      <x:c r="T222" t="n">
        <x:v>-13.37592610723317</x:v>
      </x:c>
      <x:c r="U222" t="n">
        <x:f>YEAR(C222)</x:f>
        <x:v>2025</x:v>
      </x:c>
      <x:c r="V222" t="n">
        <x:f>YEAR(D222)</x:f>
        <x:v>2025</x:v>
      </x:c>
      <x:c r="W222" t="n">
        <x:f>N222-M222-O222-P222</x:f>
        <x:v>-1516.5548722998255</x:v>
      </x:c>
      <x:c r="X222" t="str">
        <x:f>IF(T222&gt;1,"Ganador",IF(T222&lt;0,"Perdedor","Empate"))</x:f>
        <x:v>Perdedor</x:v>
      </x:c>
    </x:row>
    <x:row r="223">
      <x:c r="A223" t="str">
        <x:v>CVNA</x:v>
      </x:c>
      <x:c r="B223" t="n">
        <x:v>45807</x:v>
      </x:c>
      <x:c r="C223" t="n">
        <x:v>45810</x:v>
      </x:c>
      <x:c r="D223" t="n">
        <x:v>45838</x:v>
      </x:c>
      <x:c r="E223" t="n">
        <x:v>28</x:v>
      </x:c>
      <x:c r="F223" t="str">
        <x:v>enter_or_hold</x:v>
      </x:c>
      <x:c r="G223" t="str">
        <x:v>left_top_n</x:v>
      </x:c>
      <x:c r="H223" t="n">
        <x:v>4</x:v>
      </x:c>
      <x:c r="I223" t="n">
        <x:v>63.42945800857025</x:v>
      </x:c>
      <x:c r="J223" t="n">
        <x:v>34.28746772856939</x:v>
      </x:c>
      <x:c r="K223" t="n">
        <x:v>331.44000244140625</x:v>
      </x:c>
      <x:c r="L223" t="n">
        <x:v>336.9599914550781</x:v>
      </x:c>
      <x:c r="M223" t="n">
        <x:v>11364.238387666675</x:v>
      </x:c>
      <x:c r="N223" t="n">
        <x:v>11553.504832835008</x:v>
      </x:c>
      <x:c r="O223" t="n">
        <x:v>27.274172130400018</x:v>
      </x:c>
      <x:c r="P223" t="n">
        <x:v>27.728411598804016</x:v>
      </x:c>
      <x:c r="Q223" t="n">
        <x:v>331.44000244140625</x:v>
      </x:c>
      <x:c r="R223" t="n">
        <x:v>1.6654564847367048</x:v>
      </x:c>
      <x:c r="S223" t="n">
        <x:v>1.6654564847367048</x:v>
      </x:c>
      <x:c r="T223" t="n">
        <x:v>1.1854564847367048</x:v>
      </x:c>
      <x:c r="U223" t="n">
        <x:f>YEAR(C223)</x:f>
        <x:v>2025</x:v>
      </x:c>
      <x:c r="V223" t="n">
        <x:f>YEAR(D223)</x:f>
        <x:v>2025</x:v>
      </x:c>
      <x:c r="W223" t="n">
        <x:f>N223-M223-O223-P223</x:f>
        <x:v>134.26386143912816</x:v>
      </x:c>
      <x:c r="X223" t="str">
        <x:f>IF(T223&gt;1,"Ganador",IF(T223&lt;0,"Perdedor","Empate"))</x:f>
        <x:v>Ganador</x:v>
      </x:c>
    </x:row>
    <x:row r="224">
      <x:c r="A224" t="str">
        <x:v>AXON</x:v>
      </x:c>
      <x:c r="B224" t="n">
        <x:v>45807</x:v>
      </x:c>
      <x:c r="C224" t="n">
        <x:v>45810</x:v>
      </x:c>
      <x:c r="D224" t="n">
        <x:v>45838</x:v>
      </x:c>
      <x:c r="E224" t="n">
        <x:v>28</x:v>
      </x:c>
      <x:c r="F224" t="str">
        <x:v>enter_or_hold</x:v>
      </x:c>
      <x:c r="G224" t="str">
        <x:v>rebalance_trim</x:v>
      </x:c>
      <x:c r="H224" t="n">
        <x:v>6</x:v>
      </x:c>
      <x:c r="I224" t="n">
        <x:v>48.64138134935341</x:v>
      </x:c>
      <x:c r="J224" t="n">
        <x:v>0.34579902518522804</x:v>
      </x:c>
      <x:c r="K224" t="n">
        <x:v>758.5700073242188</x:v>
      </x:c>
      <x:c r="L224" t="n">
        <x:v>827.9400024414062</x:v>
      </x:c>
      <x:c r="M224" t="n">
        <x:v>262.3127690674661</x:v>
      </x:c>
      <x:c r="N224" t="n">
        <x:v>286.3008457560936</x:v>
      </x:c>
      <x:c r="O224" t="n">
        <x:v>0.6295506457619185</x:v>
      </x:c>
      <x:c r="P224" t="n">
        <x:v>0.6871220298146247</x:v>
      </x:c>
      <x:c r="Q224" t="n">
        <x:v>758.5700073242188</x:v>
      </x:c>
      <x:c r="R224" t="n">
        <x:v>9.14483758221385</x:v>
      </x:c>
      <x:c r="S224" t="n">
        <x:v>9.14483758221385</x:v>
      </x:c>
      <x:c r="T224" t="n">
        <x:v>8.664837582213849</x:v>
      </x:c>
      <x:c r="U224" t="n">
        <x:f>YEAR(C224)</x:f>
        <x:v>2025</x:v>
      </x:c>
      <x:c r="V224" t="n">
        <x:f>YEAR(D224)</x:f>
        <x:v>2025</x:v>
      </x:c>
      <x:c r="W224" t="n">
        <x:f>N224-M224-O224-P224</x:f>
        <x:v>22.67140401305099</x:v>
      </x:c>
      <x:c r="X224" t="str">
        <x:f>IF(T224&gt;1,"Ganador",IF(T224&lt;0,"Perdedor","Empate"))</x:f>
        <x:v>Ganador</x:v>
      </x:c>
    </x:row>
    <x:row r="225">
      <x:c r="A225" t="str">
        <x:v>HOOD</x:v>
      </x:c>
      <x:c r="B225" t="n">
        <x:v>45807</x:v>
      </x:c>
      <x:c r="C225" t="n">
        <x:v>45810</x:v>
      </x:c>
      <x:c r="D225" t="n">
        <x:v>45838</x:v>
      </x:c>
      <x:c r="E225" t="n">
        <x:v>28</x:v>
      </x:c>
      <x:c r="F225" t="str">
        <x:v>enter_or_hold</x:v>
      </x:c>
      <x:c r="G225" t="str">
        <x:v>rebalance_trim</x:v>
      </x:c>
      <x:c r="H225" t="n">
        <x:v>2</x:v>
      </x:c>
      <x:c r="I225" t="n">
        <x:v>83.38949494508887</x:v>
      </x:c>
      <x:c r="J225" t="n">
        <x:v>37.754750563170724</x:v>
      </x:c>
      <x:c r="K225" t="n">
        <x:v>67.9800033569336</x:v>
      </x:c>
      <x:c r="L225" t="n">
        <x:v>93.62999725341795</x:v>
      </x:c>
      <x:c r="M225" t="n">
        <x:v>2566.5680700245366</x:v>
      </x:c>
      <x:c r="N225" t="n">
        <x:v>3534.977191533155</x:v>
      </x:c>
      <x:c r="O225" t="n">
        <x:v>6.159763368058887</x:v>
      </x:c>
      <x:c r="P225" t="n">
        <x:v>8.48394525967957</x:v>
      </x:c>
      <x:c r="Q225" t="n">
        <x:v>67.9800033569336</x:v>
      </x:c>
      <x:c r="R225" t="n">
        <x:v>37.73167494830405</x:v>
      </x:c>
      <x:c r="S225" t="n">
        <x:v>37.73167494830405</x:v>
      </x:c>
      <x:c r="T225" t="n">
        <x:v>37.25167494830405</x:v>
      </x:c>
      <x:c r="U225" t="n">
        <x:f>YEAR(C225)</x:f>
        <x:v>2025</x:v>
      </x:c>
      <x:c r="V225" t="n">
        <x:f>YEAR(D225)</x:f>
        <x:v>2025</x:v>
      </x:c>
      <x:c r="W225" t="n">
        <x:f>N225-M225-O225-P225</x:f>
        <x:v>953.7654128808798</x:v>
      </x:c>
      <x:c r="X225" t="str">
        <x:f>IF(T225&gt;1,"Ganador",IF(T225&lt;0,"Perdedor","Empate"))</x:f>
        <x:v>Ganador</x:v>
      </x:c>
    </x:row>
    <x:row r="226">
      <x:c r="A226" t="str">
        <x:v>AXON</x:v>
      </x:c>
      <x:c r="B226" t="n">
        <x:v>45807</x:v>
      </x:c>
      <x:c r="C226" t="n">
        <x:v>45810</x:v>
      </x:c>
      <x:c r="D226" t="n">
        <x:v>45866</x:v>
      </x:c>
      <x:c r="E226" t="n">
        <x:v>56</x:v>
      </x:c>
      <x:c r="F226" t="str">
        <x:v>enter_or_hold</x:v>
      </x:c>
      <x:c r="G226" t="str">
        <x:v>left_top_n</x:v>
      </x:c>
      <x:c r="H226" t="n">
        <x:v>6</x:v>
      </x:c>
      <x:c r="I226" t="n">
        <x:v>48.64138134935341</x:v>
      </x:c>
      <x:c r="J226" t="n">
        <x:v>14.635334262371067</x:v>
      </x:c>
      <x:c r="K226" t="n">
        <x:v>758.5700073242188</x:v>
      </x:c>
      <x:c r="L226" t="n">
        <x:v>736.2899780273438</x:v>
      </x:c>
      <x:c r="M226" t="n">
        <x:v>11101.925618599209</x:v>
      </x:c>
      <x:c r="N226" t="n">
        <x:v>10775.849942464025</x:v>
      </x:c>
      <x:c r="O226" t="n">
        <x:v>26.6446214846381</x:v>
      </x:c>
      <x:c r="P226" t="n">
        <x:v>25.862039861913658</x:v>
      </x:c>
      <x:c r="Q226" t="n">
        <x:v>758.5700073242188</x:v>
      </x:c>
      <x:c r="R226" t="n">
        <x:v>-2.937109176708108</x:v>
      </x:c>
      <x:c r="S226" t="n">
        <x:v>-2.937109176708108</x:v>
      </x:c>
      <x:c r="T226" t="n">
        <x:v>-3.417109176708108</x:v>
      </x:c>
      <x:c r="U226" t="n">
        <x:f>YEAR(C226)</x:f>
        <x:v>2025</x:v>
      </x:c>
      <x:c r="V226" t="n">
        <x:f>YEAR(D226)</x:f>
        <x:v>2025</x:v>
      </x:c>
      <x:c r="W226" t="n">
        <x:f>N226-M226-O226-P226</x:f>
        <x:v>-378.5823374817358</x:v>
      </x:c>
      <x:c r="X226" t="str">
        <x:f>IF(T226&gt;1,"Ganador",IF(T226&lt;0,"Perdedor","Empate"))</x:f>
        <x:v>Perdedor</x:v>
      </x:c>
    </x:row>
    <x:row r="227">
      <x:c r="A227" t="str">
        <x:v>NRG</x:v>
      </x:c>
      <x:c r="B227" t="n">
        <x:v>45807</x:v>
      </x:c>
      <x:c r="C227" t="n">
        <x:v>45810</x:v>
      </x:c>
      <x:c r="D227" t="n">
        <x:v>45866</x:v>
      </x:c>
      <x:c r="E227" t="n">
        <x:v>56</x:v>
      </x:c>
      <x:c r="F227" t="str">
        <x:v>enter_or_hold</x:v>
      </x:c>
      <x:c r="G227" t="str">
        <x:v>left_top_n</x:v>
      </x:c>
      <x:c r="H227" t="n">
        <x:v>3</x:v>
      </x:c>
      <x:c r="I227" t="n">
        <x:v>60.04010794254056</x:v>
      </x:c>
      <x:c r="J227" t="n">
        <x:v>75.4398867388806</x:v>
      </x:c>
      <x:c r="K227" t="n">
        <x:v>158.59352752386778</x:v>
      </x:c>
      <x:c r="L227" t="n">
        <x:v>158.5399932861328</x:v>
      </x:c>
      <x:c r="M227" t="n">
        <x:v>11964.277753920129</x:v>
      </x:c>
      <x:c r="N227" t="n">
        <x:v>11960.23913708875</x:v>
      </x:c>
      <x:c r="O227" t="n">
        <x:v>28.714266609408305</x:v>
      </x:c>
      <x:c r="P227" t="n">
        <x:v>28.704573929012998</x:v>
      </x:c>
      <x:c r="Q227" t="n">
        <x:v>158.49000549316406</x:v>
      </x:c>
      <x:c r="R227" t="n">
        <x:v>0.031540028541998666</x:v>
      </x:c>
      <x:c r="S227" t="n">
        <x:v>-0.03375562582584868</x:v>
      </x:c>
      <x:c r="T227" t="n">
        <x:v>-0.5137556258258487</x:v>
      </x:c>
      <x:c r="U227" t="n">
        <x:f>YEAR(C227)</x:f>
        <x:v>2025</x:v>
      </x:c>
      <x:c r="V227" t="n">
        <x:f>YEAR(D227)</x:f>
        <x:v>2025</x:v>
      </x:c>
      <x:c r="W227" t="n">
        <x:f>N227-M227-O227-P227</x:f>
        <x:v>-61.45745736979933</x:v>
      </x:c>
      <x:c r="X227" t="str">
        <x:f>IF(T227&gt;1,"Ganador",IF(T227&lt;0,"Perdedor","Empate"))</x:f>
        <x:v>Perdedor</x:v>
      </x:c>
    </x:row>
    <x:row r="228">
      <x:c r="A228" t="str">
        <x:v>COIN</x:v>
      </x:c>
      <x:c r="B228" t="n">
        <x:v>45835</x:v>
      </x:c>
      <x:c r="C228" t="n">
        <x:v>45838</x:v>
      </x:c>
      <x:c r="D228" t="n">
        <x:v>45866</x:v>
      </x:c>
      <x:c r="E228" t="n">
        <x:v>28</x:v>
      </x:c>
      <x:c r="F228" t="str">
        <x:v>enter_or_hold</x:v>
      </x:c>
      <x:c r="G228" t="str">
        <x:v>rebalance_trim</x:v>
      </x:c>
      <x:c r="H228" t="n">
        <x:v>5</x:v>
      </x:c>
      <x:c r="I228" t="n">
        <x:v>50.86723312779831</x:v>
      </x:c>
      <x:c r="J228" t="n">
        <x:v>1.0715216780972125</x:v>
      </x:c>
      <x:c r="K228" t="n">
        <x:v>350.489990234375</x:v>
      </x:c>
      <x:c r="L228" t="n">
        <x:v>379.489990234375</x:v>
      </x:c>
      <x:c r="M228" t="n">
        <x:v>375.55762249221317</x:v>
      </x:c>
      <x:c r="N228" t="n">
        <x:v>406.6317511570323</x:v>
      </x:c>
      <x:c r="O228" t="n">
        <x:v>0.9013382939813115</x:v>
      </x:c>
      <x:c r="P228" t="n">
        <x:v>0.9759162027768774</x:v>
      </x:c>
      <x:c r="Q228" t="n">
        <x:v>350.489990234375</x:v>
      </x:c>
      <x:c r="R228" t="n">
        <x:v>8.274130733550344</x:v>
      </x:c>
      <x:c r="S228" t="n">
        <x:v>8.274130733550344</x:v>
      </x:c>
      <x:c r="T228" t="n">
        <x:v>7.794130733550343</x:v>
      </x:c>
      <x:c r="U228" t="n">
        <x:f>YEAR(C228)</x:f>
        <x:v>2025</x:v>
      </x:c>
      <x:c r="V228" t="n">
        <x:f>YEAR(D228)</x:f>
        <x:v>2025</x:v>
      </x:c>
      <x:c r="W228" t="n">
        <x:f>N228-M228-O228-P228</x:f>
        <x:v>29.196874168060926</x:v>
      </x:c>
      <x:c r="X228" t="str">
        <x:f>IF(T228&gt;1,"Ganador",IF(T228&lt;0,"Perdedor","Empate"))</x:f>
        <x:v>Ganador</x:v>
      </x:c>
    </x:row>
    <x:row r="229">
      <x:c r="A229" t="str">
        <x:v>HOOD</x:v>
      </x:c>
      <x:c r="B229" t="n">
        <x:v>45807</x:v>
      </x:c>
      <x:c r="C229" t="n">
        <x:v>45810</x:v>
      </x:c>
      <x:c r="D229" t="n">
        <x:v>45866</x:v>
      </x:c>
      <x:c r="E229" t="n">
        <x:v>56</x:v>
      </x:c>
      <x:c r="F229" t="str">
        <x:v>enter_or_hold</x:v>
      </x:c>
      <x:c r="G229" t="str">
        <x:v>rebalance_trim</x:v>
      </x:c>
      <x:c r="H229" t="n">
        <x:v>2</x:v>
      </x:c>
      <x:c r="I229" t="n">
        <x:v>83.38949494508887</x:v>
      </x:c>
      <x:c r="J229" t="n">
        <x:v>10.669763176646583</x:v>
      </x:c>
      <x:c r="K229" t="n">
        <x:v>67.9800033569336</x:v>
      </x:c>
      <x:c r="L229" t="n">
        <x:v>106.7699966430664</x:v>
      </x:c>
      <x:c r="M229" t="n">
        <x:v>725.3305365661213</x:v>
      </x:c>
      <x:c r="N229" t="n">
        <x:v>1139.2105785528693</x:v>
      </x:c>
      <x:c r="O229" t="n">
        <x:v>1.7407932877586907</x:v>
      </x:c>
      <x:c r="P229" t="n">
        <x:v>2.734105388526886</x:v>
      </x:c>
      <x:c r="Q229" t="n">
        <x:v>67.9800033569336</x:v>
      </x:c>
      <x:c r="R229" t="n">
        <x:v>57.06088757081012</x:v>
      </x:c>
      <x:c r="S229" t="n">
        <x:v>57.06088757081012</x:v>
      </x:c>
      <x:c r="T229" t="n">
        <x:v>56.58088757081012</x:v>
      </x:c>
      <x:c r="U229" t="n">
        <x:f>YEAR(C229)</x:f>
        <x:v>2025</x:v>
      </x:c>
      <x:c r="V229" t="n">
        <x:f>YEAR(D229)</x:f>
        <x:v>2025</x:v>
      </x:c>
      <x:c r="W229" t="n">
        <x:f>N229-M229-O229-P229</x:f>
        <x:v>409.40514331046245</x:v>
      </x:c>
      <x:c r="X229" t="str">
        <x:f>IF(T229&gt;1,"Ganador",IF(T229&lt;0,"Perdedor","Empate"))</x:f>
        <x:v>Ganador</x:v>
      </x:c>
    </x:row>
    <x:row r="230">
      <x:c r="A230" t="str">
        <x:v>PLTR</x:v>
      </x:c>
      <x:c r="B230" t="n">
        <x:v>45807</x:v>
      </x:c>
      <x:c r="C230" t="n">
        <x:v>45810</x:v>
      </x:c>
      <x:c r="D230" t="n">
        <x:v>45866</x:v>
      </x:c>
      <x:c r="E230" t="n">
        <x:v>56</x:v>
      </x:c>
      <x:c r="F230" t="str">
        <x:v>enter_or_hold</x:v>
      </x:c>
      <x:c r="G230" t="str">
        <x:v>rebalance_trim</x:v>
      </x:c>
      <x:c r="H230" t="n">
        <x:v>2</x:v>
      </x:c>
      <x:c r="I230" t="n">
        <x:v>76.34983907604635</x:v>
      </x:c>
      <x:c r="J230" t="n">
        <x:v>8.56488304816011</x:v>
      </x:c>
      <x:c r="K230" t="n">
        <x:v>132.1749795270657</x:v>
      </x:c>
      <x:c r="L230" t="n">
        <x:v>157.8800048828125</x:v>
      </x:c>
      <x:c r="M230" t="n">
        <x:v>1132.0632415422747</x:v>
      </x:c>
      <x:c r="N230" t="n">
        <x:v>1352.2237774642363</x:v>
      </x:c>
      <x:c r="O230" t="n">
        <x:v>2.716951779701459</x:v>
      </x:c>
      <x:c r="P230" t="n">
        <x:v>3.2453370659141667</x:v>
      </x:c>
      <x:c r="Q230" t="n">
        <x:v>132.0399932861328</x:v>
      </x:c>
      <x:c r="R230" t="n">
        <x:v>19.56983710282685</x:v>
      </x:c>
      <x:c r="S230" t="n">
        <x:v>19.44772410612188</x:v>
      </x:c>
      <x:c r="T230" t="n">
        <x:v>18.967724106121878</x:v>
      </x:c>
      <x:c r="U230" t="n">
        <x:f>YEAR(C230)</x:f>
        <x:v>2025</x:v>
      </x:c>
      <x:c r="V230" t="n">
        <x:f>YEAR(D230)</x:f>
        <x:v>2025</x:v>
      </x:c>
      <x:c r="W230" t="n">
        <x:f>N230-M230-O230-P230</x:f>
        <x:v>214.19824707634598</x:v>
      </x:c>
      <x:c r="X230" t="str">
        <x:f>IF(T230&gt;1,"Ganador",IF(T230&lt;0,"Perdedor","Empate"))</x:f>
        <x:v>Ganador</x:v>
      </x:c>
    </x:row>
    <x:row r="231">
      <x:c r="A231" t="str">
        <x:v>COIN</x:v>
      </x:c>
      <x:c r="B231" t="n">
        <x:v>45835</x:v>
      </x:c>
      <x:c r="C231" t="n">
        <x:v>45838</x:v>
      </x:c>
      <x:c r="D231" t="n">
        <x:v>45902</x:v>
      </x:c>
      <x:c r="E231" t="n">
        <x:v>64</x:v>
      </x:c>
      <x:c r="F231" t="str">
        <x:v>enter_or_hold</x:v>
      </x:c>
      <x:c r="G231" t="str">
        <x:v>left_top_n</x:v>
      </x:c>
      <x:c r="H231" t="n">
        <x:v>5</x:v>
      </x:c>
      <x:c r="I231" t="n">
        <x:v>50.86723312779831</x:v>
      </x:c>
      <x:c r="J231" t="n">
        <x:v>33.40928307505366</x:v>
      </x:c>
      <x:c r="K231" t="n">
        <x:v>350.489990234375</x:v>
      </x:c>
      <x:c r="L231" t="n">
        <x:v>303.5599975585937</x:v>
      </x:c>
      <x:c r="M231" t="n">
        <x:v>11709.619298713027</x:v>
      </x:c>
      <x:c r="N231" t="n">
        <x:v>10141.721888697653</x:v>
      </x:c>
      <x:c r="O231" t="n">
        <x:v>28.103086316911263</x:v>
      </x:c>
      <x:c r="P231" t="n">
        <x:v>24.340132532874367</x:v>
      </x:c>
      <x:c r="Q231" t="n">
        <x:v>350.489990234375</x:v>
      </x:c>
      <x:c r="R231" t="n">
        <x:v>-13.389823955999114</x:v>
      </x:c>
      <x:c r="S231" t="n">
        <x:v>-13.389823955999114</x:v>
      </x:c>
      <x:c r="T231" t="n">
        <x:v>-13.869823955999115</x:v>
      </x:c>
      <x:c r="U231" t="n">
        <x:f>YEAR(C231)</x:f>
        <x:v>2025</x:v>
      </x:c>
      <x:c r="V231" t="n">
        <x:f>YEAR(D231)</x:f>
        <x:v>2025</x:v>
      </x:c>
      <x:c r="W231" t="n">
        <x:f>N231-M231-O231-P231</x:f>
        <x:v>-1620.3406288651593</x:v>
      </x:c>
      <x:c r="X231" t="str">
        <x:f>IF(T231&gt;1,"Ganador",IF(T231&lt;0,"Perdedor","Empate"))</x:f>
        <x:v>Perdedor</x:v>
      </x:c>
    </x:row>
    <x:row r="232">
      <x:c r="A232" t="str">
        <x:v>JBL</x:v>
      </x:c>
      <x:c r="B232" t="n">
        <x:v>45835</x:v>
      </x:c>
      <x:c r="C232" t="n">
        <x:v>45838</x:v>
      </x:c>
      <x:c r="D232" t="n">
        <x:v>45902</x:v>
      </x:c>
      <x:c r="E232" t="n">
        <x:v>64</x:v>
      </x:c>
      <x:c r="F232" t="str">
        <x:v>enter_or_hold</x:v>
      </x:c>
      <x:c r="G232" t="str">
        <x:v>left_top_n</x:v>
      </x:c>
      <x:c r="H232" t="n">
        <x:v>6</x:v>
      </x:c>
      <x:c r="I232" t="n">
        <x:v>50.19383519598159</x:v>
      </x:c>
      <x:c r="J232" t="n">
        <x:v>56.393831608966515</x:v>
      </x:c>
      <x:c r="K232" t="n">
        <x:v>218.21657880176258</x:v>
      </x:c>
      <x:c r="L232" t="n">
        <x:v>202.0800018310547</x:v>
      </x:c>
      <x:c r="M232" t="n">
        <x:v>12306.068999231371</x:v>
      </x:c>
      <x:c r="N232" t="n">
        <x:v>11396.065594800142</x:v>
      </x:c>
      <x:c r="O232" t="n">
        <x:v>29.53456559815529</x:v>
      </x:c>
      <x:c r="P232" t="n">
        <x:v>27.35055742752034</x:v>
      </x:c>
      <x:c r="Q232" t="n">
        <x:v>218.1000061035156</x:v>
      </x:c>
      <x:c r="R232" t="n">
        <x:v>-7.345256223815699</x:v>
      </x:c>
      <x:c r="S232" t="n">
        <x:v>-7.394752983166808</x:v>
      </x:c>
      <x:c r="T232" t="n">
        <x:v>-7.8747529831668075</x:v>
      </x:c>
      <x:c r="U232" t="n">
        <x:f>YEAR(C232)</x:f>
        <x:v>2025</x:v>
      </x:c>
      <x:c r="V232" t="n">
        <x:f>YEAR(D232)</x:f>
        <x:v>2025</x:v>
      </x:c>
      <x:c r="W232" t="n">
        <x:f>N232-M232-O232-P232</x:f>
        <x:v>-966.8885274569044</x:v>
      </x:c>
      <x:c r="X232" t="str">
        <x:f>IF(T232&gt;1,"Ganador",IF(T232&lt;0,"Perdedor","Empate"))</x:f>
        <x:v>Perdedor</x:v>
      </x:c>
    </x:row>
    <x:row r="233">
      <x:c r="A233" t="str">
        <x:v>FIX</x:v>
      </x:c>
      <x:c r="B233" t="n">
        <x:v>45863</x:v>
      </x:c>
      <x:c r="C233" t="n">
        <x:v>45866</x:v>
      </x:c>
      <x:c r="D233" t="n">
        <x:v>45902</x:v>
      </x:c>
      <x:c r="E233" t="n">
        <x:v>36</x:v>
      </x:c>
      <x:c r="F233" t="str">
        <x:v>enter_or_hold</x:v>
      </x:c>
      <x:c r="G233" t="str">
        <x:v>left_top_n</x:v>
      </x:c>
      <x:c r="H233" t="n">
        <x:v>3</x:v>
      </x:c>
      <x:c r="I233" t="n">
        <x:v>61.89333082456388</x:v>
      </x:c>
      <x:c r="J233" t="n">
        <x:v>18.247914651030893</x:v>
      </x:c>
      <x:c r="K233" t="n">
        <x:v>692.969970703125</x:v>
      </x:c>
      <x:c r="L233" t="n">
        <x:v>698.6099853515625</x:v>
      </x:c>
      <x:c r="M233" t="n">
        <x:v>12645.256881118003</x:v>
      </x:c>
      <x:c r="N233" t="n">
        <x:v>12748.175387053256</x:v>
      </x:c>
      <x:c r="O233" t="n">
        <x:v>30.348616514683204</x:v>
      </x:c>
      <x:c r="P233" t="n">
        <x:v>30.59562092892781</x:v>
      </x:c>
      <x:c r="Q233" t="n">
        <x:v>692.969970703125</x:v>
      </x:c>
      <x:c r="R233" t="n">
        <x:v>0.813890195373812</x:v>
      </x:c>
      <x:c r="S233" t="n">
        <x:v>0.813890195373812</x:v>
      </x:c>
      <x:c r="T233" t="n">
        <x:v>0.33389019537381204</x:v>
      </x:c>
      <x:c r="U233" t="n">
        <x:f>YEAR(C233)</x:f>
        <x:v>2025</x:v>
      </x:c>
      <x:c r="V233" t="n">
        <x:f>YEAR(D233)</x:f>
        <x:v>2025</x:v>
      </x:c>
      <x:c r="W233" t="n">
        <x:f>N233-M233-O233-P233</x:f>
        <x:v>41.974268491642036</x:v>
      </x:c>
      <x:c r="X233" t="str">
        <x:f>IF(T233&gt;1,"Ganador",IF(T233&lt;0,"Perdedor","Empate"))</x:f>
        <x:v>Empate</x:v>
      </x:c>
    </x:row>
    <x:row r="234">
      <x:c r="A234" t="str">
        <x:v>RCL</x:v>
      </x:c>
      <x:c r="B234" t="n">
        <x:v>45863</x:v>
      </x:c>
      <x:c r="C234" t="n">
        <x:v>45866</x:v>
      </x:c>
      <x:c r="D234" t="n">
        <x:v>45902</x:v>
      </x:c>
      <x:c r="E234" t="n">
        <x:v>36</x:v>
      </x:c>
      <x:c r="F234" t="str">
        <x:v>enter_or_hold</x:v>
      </x:c>
      <x:c r="G234" t="str">
        <x:v>left_top_n</x:v>
      </x:c>
      <x:c r="H234" t="n">
        <x:v>5</x:v>
      </x:c>
      <x:c r="I234" t="n">
        <x:v>54.33524700585202</x:v>
      </x:c>
      <x:c r="J234" t="n">
        <x:v>35.92402523044887</x:v>
      </x:c>
      <x:c r="K234" t="n">
        <x:v>352</x:v>
      </x:c>
      <x:c r="L234" t="n">
        <x:v>354.0799865722656</x:v>
      </x:c>
      <x:c r="M234" t="n">
        <x:v>12645.256881118003</x:v>
      </x:c>
      <x:c r="N234" t="n">
        <x:v>12719.978371219067</x:v>
      </x:c>
      <x:c r="O234" t="n">
        <x:v>30.348616514683204</x:v>
      </x:c>
      <x:c r="P234" t="n">
        <x:v>30.527948090925758</x:v>
      </x:c>
      <x:c r="Q234" t="n">
        <x:v>352</x:v>
      </x:c>
      <x:c r="R234" t="n">
        <x:v>0.5909052762118172</x:v>
      </x:c>
      <x:c r="S234" t="n">
        <x:v>0.5909052762118172</x:v>
      </x:c>
      <x:c r="T234" t="n">
        <x:v>0.11090527621181723</x:v>
      </x:c>
      <x:c r="U234" t="n">
        <x:f>YEAR(C234)</x:f>
        <x:v>2025</x:v>
      </x:c>
      <x:c r="V234" t="n">
        <x:f>YEAR(D234)</x:f>
        <x:v>2025</x:v>
      </x:c>
      <x:c r="W234" t="n">
        <x:f>N234-M234-O234-P234</x:f>
        <x:v>13.844925495455815</x:v>
      </x:c>
      <x:c r="X234" t="str">
        <x:f>IF(T234&gt;1,"Ganador",IF(T234&lt;0,"Perdedor","Empate"))</x:f>
        <x:v>Empate</x:v>
      </x:c>
    </x:row>
    <x:row r="235">
      <x:c r="A235" t="str">
        <x:v>HOOD</x:v>
      </x:c>
      <x:c r="B235" t="n">
        <x:v>45807</x:v>
      </x:c>
      <x:c r="C235" t="n">
        <x:v>45810</x:v>
      </x:c>
      <x:c r="D235" t="n">
        <x:v>45902</x:v>
      </x:c>
      <x:c r="E235" t="n">
        <x:v>92</x:v>
      </x:c>
      <x:c r="F235" t="str">
        <x:v>enter_or_hold</x:v>
      </x:c>
      <x:c r="G235" t="str">
        <x:v>rebalance_trim</x:v>
      </x:c>
      <x:c r="H235" t="n">
        <x:v>2</x:v>
      </x:c>
      <x:c r="I235" t="n">
        <x:v>83.38949494508887</x:v>
      </x:c>
      <x:c r="J235" t="n">
        <x:v>0.6007127869118809</x:v>
      </x:c>
      <x:c r="K235" t="n">
        <x:v>67.9800033569336</x:v>
      </x:c>
      <x:c r="L235" t="n">
        <x:v>100.83999633789062</x:v>
      </x:c>
      <x:c r="M235" t="n">
        <x:v>40.836457270822606</x:v>
      </x:c>
      <x:c r="N235" t="n">
        <x:v>60.57587523231814</x:v>
      </x:c>
      <x:c r="O235" t="n">
        <x:v>0.09800749744997424</x:v>
      </x:c>
      <x:c r="P235" t="n">
        <x:v>0.1453821005575635</x:v>
      </x:c>
      <x:c r="Q235" t="n">
        <x:v>67.9800033569336</x:v>
      </x:c>
      <x:c r="R235" t="n">
        <x:v>48.33773368386498</x:v>
      </x:c>
      <x:c r="S235" t="n">
        <x:v>48.33773368386498</x:v>
      </x:c>
      <x:c r="T235" t="n">
        <x:v>47.857733683864986</x:v>
      </x:c>
      <x:c r="U235" t="n">
        <x:f>YEAR(C235)</x:f>
        <x:v>2025</x:v>
      </x:c>
      <x:c r="V235" t="n">
        <x:f>YEAR(D235)</x:f>
        <x:v>2025</x:v>
      </x:c>
      <x:c r="W235" t="n">
        <x:f>N235-M235-O235-P235</x:f>
        <x:v>19.496028363487998</x:v>
      </x:c>
      <x:c r="X235" t="str">
        <x:f>IF(T235&gt;1,"Ganador",IF(T235&lt;0,"Perdedor","Empate"))</x:f>
        <x:v>Ganador</x:v>
      </x:c>
    </x:row>
    <x:row r="236">
      <x:c r="A236" t="str">
        <x:v>PLTR</x:v>
      </x:c>
      <x:c r="B236" t="n">
        <x:v>45807</x:v>
      </x:c>
      <x:c r="C236" t="n">
        <x:v>45810</x:v>
      </x:c>
      <x:c r="D236" t="n">
        <x:v>45902</x:v>
      </x:c>
      <x:c r="E236" t="n">
        <x:v>92</x:v>
      </x:c>
      <x:c r="F236" t="str">
        <x:v>enter_or_hold</x:v>
      </x:c>
      <x:c r="G236" t="str">
        <x:v>rebalance_trim</x:v>
      </x:c>
      <x:c r="H236" t="n">
        <x:v>2</x:v>
      </x:c>
      <x:c r="I236" t="n">
        <x:v>76.34983907604635</x:v>
      </x:c>
      <x:c r="J236" t="n">
        <x:v>4.4643020143499115</x:v>
      </x:c>
      <x:c r="K236" t="n">
        <x:v>132.1749795270657</x:v>
      </x:c>
      <x:c r="L236" t="n">
        <x:v>157.08999633789062</x:v>
      </x:c>
      <x:c r="M236" t="n">
        <x:v>590.0690273493376</x:v>
      </x:c>
      <x:c r="N236" t="n">
        <x:v>701.2971870854653</x:v>
      </x:c>
      <x:c r="O236" t="n">
        <x:v>1.41616566563841</x:v>
      </x:c>
      <x:c r="P236" t="n">
        <x:v>1.6831132490051166</x:v>
      </x:c>
      <x:c r="Q236" t="n">
        <x:v>132.0399932861328</x:v>
      </x:c>
      <x:c r="R236" t="n">
        <x:v>18.971527056559335</x:v>
      </x:c>
      <x:c r="S236" t="n">
        <x:v>18.8500250955008</x:v>
      </x:c>
      <x:c r="T236" t="n">
        <x:v>18.3700250955008</x:v>
      </x:c>
      <x:c r="U236" t="n">
        <x:f>YEAR(C236)</x:f>
        <x:v>2025</x:v>
      </x:c>
      <x:c r="V236" t="n">
        <x:f>YEAR(D236)</x:f>
        <x:v>2025</x:v>
      </x:c>
      <x:c r="W236" t="n">
        <x:f>N236-M236-O236-P236</x:f>
        <x:v>108.1288808214842</x:v>
      </x:c>
      <x:c r="X236" t="str">
        <x:f>IF(T236&gt;1,"Ganador",IF(T236&lt;0,"Perdedor","Empate"))</x:f>
        <x:v>Ganador</x:v>
      </x:c>
    </x:row>
    <x:row r="237">
      <x:c r="A237" t="str">
        <x:v>PLTR</x:v>
      </x:c>
      <x:c r="B237" t="n">
        <x:v>45807</x:v>
      </x:c>
      <x:c r="C237" t="n">
        <x:v>45810</x:v>
      </x:c>
      <x:c r="D237" t="n">
        <x:v>45929</x:v>
      </x:c>
      <x:c r="E237" t="n">
        <x:v>119</x:v>
      </x:c>
      <x:c r="F237" t="str">
        <x:v>enter_or_hold</x:v>
      </x:c>
      <x:c r="G237" t="str">
        <x:v>left_top_n</x:v>
      </x:c>
      <x:c r="H237" t="n">
        <x:v>2</x:v>
      </x:c>
      <x:c r="I237" t="n">
        <x:v>76.34983907604635</x:v>
      </x:c>
      <x:c r="J237" t="n">
        <x:v>75.84028448031276</x:v>
      </x:c>
      <x:c r="K237" t="n">
        <x:v>132.1749795270657</x:v>
      </x:c>
      <x:c r="L237" t="n">
        <x:v>178.86000061035156</x:v>
      </x:c>
      <x:c r="M237" t="n">
        <x:v>10024.188048512176</x:v>
      </x:c>
      <x:c r="N237" t="n">
        <x:v>13564.793328437976</x:v>
      </x:c>
      <x:c r="O237" t="n">
        <x:v>24.05805131642922</x:v>
      </x:c>
      <x:c r="P237" t="n">
        <x:v>32.55550398825114</x:v>
      </x:c>
      <x:c r="Q237" t="n">
        <x:v>132.0399932861328</x:v>
      </x:c>
      <x:c r="R237" t="n">
        <x:v>35.45895918273718</x:v>
      </x:c>
      <x:c r="S237" t="n">
        <x:v>35.32061911439608</x:v>
      </x:c>
      <x:c r="T237" t="n">
        <x:v>34.840619114396084</x:v>
      </x:c>
      <x:c r="U237" t="n">
        <x:f>YEAR(C237)</x:f>
        <x:v>2025</x:v>
      </x:c>
      <x:c r="V237" t="n">
        <x:f>YEAR(D237)</x:f>
        <x:v>2025</x:v>
      </x:c>
      <x:c r="W237" t="n">
        <x:f>N237-M237-O237-P237</x:f>
        <x:v>3483.9917246211194</x:v>
      </x:c>
      <x:c r="X237" t="str">
        <x:f>IF(T237&gt;1,"Ganador",IF(T237&lt;0,"Perdedor","Empate"))</x:f>
        <x:v>Ganador</x:v>
      </x:c>
    </x:row>
    <x:row r="238">
      <x:c r="A238" t="str">
        <x:v>APP</x:v>
      </x:c>
      <x:c r="B238" t="n">
        <x:v>45898</x:v>
      </x:c>
      <x:c r="C238" t="n">
        <x:v>45902</x:v>
      </x:c>
      <x:c r="D238" t="n">
        <x:v>45929</x:v>
      </x:c>
      <x:c r="E238" t="n">
        <x:v>27</x:v>
      </x:c>
      <x:c r="F238" t="str">
        <x:v>enter_or_hold</x:v>
      </x:c>
      <x:c r="G238" t="str">
        <x:v>rebalance_trim</x:v>
      </x:c>
      <x:c r="H238" t="n">
        <x:v>5</x:v>
      </x:c>
      <x:c r="I238" t="n">
        <x:v>54.07247449606185</x:v>
      </x:c>
      <x:c r="J238" t="n">
        <x:v>3.3275062192756097</x:v>
      </x:c>
      <x:c r="K238" t="n">
        <x:v>481.7300109863281</x:v>
      </x:c>
      <x:c r="L238" t="n">
        <x:v>712.3599853515625</x:v>
      </x:c>
      <x:c r="M238" t="n">
        <x:v>1602.9596075687148</x:v>
      </x:c>
      <x:c r="N238" t="n">
        <x:v>2370.3822816204065</x:v>
      </x:c>
      <x:c r="O238" t="n">
        <x:v>3.847103058164915</x:v>
      </x:c>
      <x:c r="P238" t="n">
        <x:v>5.688917475888975</x:v>
      </x:c>
      <x:c r="Q238" t="n">
        <x:v>481.7300109863281</x:v>
      </x:c>
      <x:c r="R238" t="n">
        <x:v>47.8753594556059</x:v>
      </x:c>
      <x:c r="S238" t="n">
        <x:v>47.8753594556059</x:v>
      </x:c>
      <x:c r="T238" t="n">
        <x:v>47.395359455605906</x:v>
      </x:c>
      <x:c r="U238" t="n">
        <x:f>YEAR(C238)</x:f>
        <x:v>2025</x:v>
      </x:c>
      <x:c r="V238" t="n">
        <x:f>YEAR(D238)</x:f>
        <x:v>2025</x:v>
      </x:c>
      <x:c r="W238" t="n">
        <x:f>N238-M238-O238-P238</x:f>
        <x:v>757.8866535176379</x:v>
      </x:c>
      <x:c r="X238" t="str">
        <x:f>IF(T238&gt;1,"Ganador",IF(T238&lt;0,"Perdedor","Empate"))</x:f>
        <x:v>Ganador</x:v>
      </x:c>
    </x:row>
    <x:row r="239">
      <x:c r="A239" t="str">
        <x:v>HOOD</x:v>
      </x:c>
      <x:c r="B239" t="n">
        <x:v>45807</x:v>
      </x:c>
      <x:c r="C239" t="n">
        <x:v>45810</x:v>
      </x:c>
      <x:c r="D239" t="n">
        <x:v>45929</x:v>
      </x:c>
      <x:c r="E239" t="n">
        <x:v>119</x:v>
      </x:c>
      <x:c r="F239" t="str">
        <x:v>enter_or_hold</x:v>
      </x:c>
      <x:c r="G239" t="str">
        <x:v>rebalance_trim</x:v>
      </x:c>
      <x:c r="H239" t="n">
        <x:v>2</x:v>
      </x:c>
      <x:c r="I239" t="n">
        <x:v>83.38949494508887</x:v>
      </x:c>
      <x:c r="J239" t="n">
        <x:v>6.9377779834136595</x:v>
      </x:c>
      <x:c r="K239" t="n">
        <x:v>67.9800033569336</x:v>
      </x:c>
      <x:c r="L239" t="n">
        <x:v>136.72000122070312</x:v>
      </x:c>
      <x:c r="M239" t="n">
        <x:v>471.6301706021206</x:v>
      </x:c>
      <x:c r="N239" t="n">
        <x:v>948.5330143612828</x:v>
      </x:c>
      <x:c r="O239" t="n">
        <x:v>1.1319124094450892</x:v>
      </x:c>
      <x:c r="P239" t="n">
        <x:v>2.2764792344670783</x:v>
      </x:c>
      <x:c r="Q239" t="n">
        <x:v>67.9800033569336</x:v>
      </x:c>
      <x:c r="R239" t="n">
        <x:v>101.11796773949177</x:v>
      </x:c>
      <x:c r="S239" t="n">
        <x:v>101.11796773949177</x:v>
      </x:c>
      <x:c r="T239" t="n">
        <x:v>100.63796773949177</x:v>
      </x:c>
      <x:c r="U239" t="n">
        <x:f>YEAR(C239)</x:f>
        <x:v>2025</x:v>
      </x:c>
      <x:c r="V239" t="n">
        <x:f>YEAR(D239)</x:f>
        <x:v>2025</x:v>
      </x:c>
      <x:c r="W239" t="n">
        <x:f>N239-M239-O239-P239</x:f>
        <x:v>473.49445211525</x:v>
      </x:c>
      <x:c r="X239" t="str">
        <x:f>IF(T239&gt;1,"Ganador",IF(T239&lt;0,"Perdedor","Empate"))</x:f>
        <x:v>Ganador</x:v>
      </x:c>
    </x:row>
    <x:row r="240">
      <x:c r="A240" t="str">
        <x:v>STX</x:v>
      </x:c>
      <x:c r="B240" t="n">
        <x:v>45898</x:v>
      </x:c>
      <x:c r="C240" t="n">
        <x:v>45902</x:v>
      </x:c>
      <x:c r="D240" t="n">
        <x:v>45929</x:v>
      </x:c>
      <x:c r="E240" t="n">
        <x:v>27</x:v>
      </x:c>
      <x:c r="F240" t="str">
        <x:v>enter_or_hold</x:v>
      </x:c>
      <x:c r="G240" t="str">
        <x:v>rebalance_trim</x:v>
      </x:c>
      <x:c r="H240" t="n">
        <x:v>6</x:v>
      </x:c>
      <x:c r="I240" t="n">
        <x:v>53.30209706596412</x:v>
      </x:c>
      <x:c r="J240" t="n">
        <x:v>3.3517952945565055</x:v>
      </x:c>
      <x:c r="K240" t="n">
        <x:v>170.5</x:v>
      </x:c>
      <x:c r="L240" t="n">
        <x:v>229.13999938964844</x:v>
      </x:c>
      <x:c r="M240" t="n">
        <x:v>571.4810977218842</x:v>
      </x:c>
      <x:c r="N240" t="n">
        <x:v>768.0303717489041</x:v>
      </x:c>
      <x:c r="O240" t="n">
        <x:v>1.371554634532522</x:v>
      </x:c>
      <x:c r="P240" t="n">
        <x:v>1.8432728921973698</x:v>
      </x:c>
      <x:c r="Q240" t="n">
        <x:v>170.5</x:v>
      </x:c>
      <x:c r="R240" t="n">
        <x:v>34.39296151885538</x:v>
      </x:c>
      <x:c r="S240" t="n">
        <x:v>34.39296151885538</x:v>
      </x:c>
      <x:c r="T240" t="n">
        <x:v>33.91296151885538</x:v>
      </x:c>
      <x:c r="U240" t="n">
        <x:f>YEAR(C240)</x:f>
        <x:v>2025</x:v>
      </x:c>
      <x:c r="V240" t="n">
        <x:f>YEAR(D240)</x:f>
        <x:v>2025</x:v>
      </x:c>
      <x:c r="W240" t="n">
        <x:f>N240-M240-O240-P240</x:f>
        <x:v>193.33444650029003</x:v>
      </x:c>
      <x:c r="X240" t="str">
        <x:f>IF(T240&gt;1,"Ganador",IF(T240&lt;0,"Perdedor","Empate"))</x:f>
        <x:v>Ganador</x:v>
      </x:c>
    </x:row>
    <x:row r="241">
      <x:c r="A241" t="str">
        <x:v>APP</x:v>
      </x:c>
      <x:c r="B241" t="n">
        <x:v>45898</x:v>
      </x:c>
      <x:c r="C241" t="n">
        <x:v>45902</x:v>
      </x:c>
      <x:c r="D241" t="n">
        <x:v>45964</x:v>
      </x:c>
      <x:c r="E241" t="n">
        <x:v>62</x:v>
      </x:c>
      <x:c r="F241" t="str">
        <x:v>enter_or_hold</x:v>
      </x:c>
      <x:c r="G241" t="str">
        <x:v>left_top_n</x:v>
      </x:c>
      <x:c r="H241" t="n">
        <x:v>5</x:v>
      </x:c>
      <x:c r="I241" t="n">
        <x:v>54.07247449606185</x:v>
      </x:c>
      <x:c r="J241" t="n">
        <x:v>21.343511092782506</x:v>
      </x:c>
      <x:c r="K241" t="n">
        <x:v>481.7300109863281</x:v>
      </x:c>
      <x:c r="L241" t="n">
        <x:v>632.1400146484375</x:v>
      </x:c>
      <x:c r="M241" t="n">
        <x:v>10281.809833212932</x:v>
      </x:c>
      <x:c r="N241" t="n">
        <x:v>13492.087414840622</x:v>
      </x:c>
      <x:c r="O241" t="n">
        <x:v>24.676343599711036</x:v>
      </x:c>
      <x:c r="P241" t="n">
        <x:v>32.38100979561749</x:v>
      </x:c>
      <x:c r="Q241" t="n">
        <x:v>481.7300109863281</x:v>
      </x:c>
      <x:c r="R241" t="n">
        <x:v>31.222884236369097</x:v>
      </x:c>
      <x:c r="S241" t="n">
        <x:v>31.222884236369097</x:v>
      </x:c>
      <x:c r="T241" t="n">
        <x:v>30.742884236369097</x:v>
      </x:c>
      <x:c r="U241" t="n">
        <x:f>YEAR(C241)</x:f>
        <x:v>2025</x:v>
      </x:c>
      <x:c r="V241" t="n">
        <x:f>YEAR(D241)</x:f>
        <x:v>2025</x:v>
      </x:c>
      <x:c r="W241" t="n">
        <x:f>N241-M241-O241-P241</x:f>
        <x:v>3153.2202282323615</x:v>
      </x:c>
      <x:c r="X241" t="str">
        <x:f>IF(T241&gt;1,"Ganador",IF(T241&lt;0,"Perdedor","Empate"))</x:f>
        <x:v>Ganador</x:v>
      </x:c>
    </x:row>
    <x:row r="242">
      <x:c r="A242" t="str">
        <x:v>WBD</x:v>
      </x:c>
      <x:c r="B242" t="n">
        <x:v>45926</x:v>
      </x:c>
      <x:c r="C242" t="n">
        <x:v>45929</x:v>
      </x:c>
      <x:c r="D242" t="n">
        <x:v>45964</x:v>
      </x:c>
      <x:c r="E242" t="n">
        <x:v>35</x:v>
      </x:c>
      <x:c r="F242" t="str">
        <x:v>enter_or_hold</x:v>
      </x:c>
      <x:c r="G242" t="str">
        <x:v>left_top_n</x:v>
      </x:c>
      <x:c r="H242" t="n">
        <x:v>6</x:v>
      </x:c>
      <x:c r="I242" t="n">
        <x:v>82.45450292452566</x:v>
      </x:c>
      <x:c r="J242" t="n">
        <x:v>803.9239821860809</x:v>
      </x:c>
      <x:c r="K242" t="n">
        <x:v>18.86000061035156</x:v>
      </x:c>
      <x:c r="L242" t="n">
        <x:v>22.290000915527344</x:v>
      </x:c>
      <x:c r="M242" t="n">
        <x:v>15162.006794705741</x:v>
      </x:c>
      <x:c r="N242" t="n">
        <x:v>17919.46629894213</x:v>
      </x:c>
      <x:c r="O242" t="n">
        <x:v>36.38881630729377</x:v>
      </x:c>
      <x:c r="P242" t="n">
        <x:v>43.00671911746111</x:v>
      </x:c>
      <x:c r="Q242" t="n">
        <x:v>18.86000061035156</x:v>
      </x:c>
      <x:c r="R242" t="n">
        <x:v>18.186639417674154</x:v>
      </x:c>
      <x:c r="S242" t="n">
        <x:v>18.186639417674154</x:v>
      </x:c>
      <x:c r="T242" t="n">
        <x:v>17.706639417674154</x:v>
      </x:c>
      <x:c r="U242" t="n">
        <x:f>YEAR(C242)</x:f>
        <x:v>2025</x:v>
      </x:c>
      <x:c r="V242" t="n">
        <x:f>YEAR(D242)</x:f>
        <x:v>2025</x:v>
      </x:c>
      <x:c r="W242" t="n">
        <x:f>N242-M242-O242-P242</x:f>
        <x:v>2678.063968811634</x:v>
      </x:c>
      <x:c r="X242" t="str">
        <x:f>IF(T242&gt;1,"Ganador",IF(T242&lt;0,"Perdedor","Empate"))</x:f>
        <x:v>Ganador</x:v>
      </x:c>
    </x:row>
    <x:row r="243">
      <x:c r="A243" t="str">
        <x:v>LITE</x:v>
      </x:c>
      <x:c r="B243" t="n">
        <x:v>45898</x:v>
      </x:c>
      <x:c r="C243" t="n">
        <x:v>45902</x:v>
      </x:c>
      <x:c r="D243" t="n">
        <x:v>45964</x:v>
      </x:c>
      <x:c r="E243" t="n">
        <x:v>62</x:v>
      </x:c>
      <x:c r="F243" t="str">
        <x:v>enter_or_hold</x:v>
      </x:c>
      <x:c r="G243" t="str">
        <x:v>rebalance_trim</x:v>
      </x:c>
      <x:c r="H243" t="n">
        <x:v>5</x:v>
      </x:c>
      <x:c r="I243" t="n">
        <x:v>82.47645407188307</x:v>
      </x:c>
      <x:c r="J243" t="n">
        <x:v>10.385519626503093</x:v>
      </x:c>
      <x:c r="K243" t="n">
        <x:v>133.7878558479855</x:v>
      </x:c>
      <x:c r="L243" t="n">
        <x:v>199.5800018310547</x:v>
      </x:c>
      <x:c r="M243" t="n">
        <x:v>1389.45640269702</x:v>
      </x:c>
      <x:c r="N243" t="n">
        <x:v>2072.742026073942</x:v>
      </x:c>
      <x:c r="O243" t="n">
        <x:v>3.334695366472847</x:v>
      </x:c>
      <x:c r="P243" t="n">
        <x:v>4.97458086257746</x:v>
      </x:c>
      <x:c r="Q243" t="n">
        <x:v>132.55499267578125</x:v>
      </x:c>
      <x:c r="R243" t="n">
        <x:v>50.5639265653397</x:v>
      </x:c>
      <x:c r="S243" t="n">
        <x:v>49.17647088822812</x:v>
      </x:c>
      <x:c r="T243" t="n">
        <x:v>48.69647088822812</x:v>
      </x:c>
      <x:c r="U243" t="n">
        <x:f>YEAR(C243)</x:f>
        <x:v>2025</x:v>
      </x:c>
      <x:c r="V243" t="n">
        <x:f>YEAR(D243)</x:f>
        <x:v>2025</x:v>
      </x:c>
      <x:c r="W243" t="n">
        <x:f>N243-M243-O243-P243</x:f>
        <x:v>674.9763471478716</x:v>
      </x:c>
      <x:c r="X243" t="str">
        <x:f>IF(T243&gt;1,"Ganador",IF(T243&lt;0,"Perdedor","Empate"))</x:f>
        <x:v>Ganador</x:v>
      </x:c>
    </x:row>
    <x:row r="244">
      <x:c r="A244" t="str">
        <x:v>STX</x:v>
      </x:c>
      <x:c r="B244" t="n">
        <x:v>45898</x:v>
      </x:c>
      <x:c r="C244" t="n">
        <x:v>45902</x:v>
      </x:c>
      <x:c r="D244" t="n">
        <x:v>45964</x:v>
      </x:c>
      <x:c r="E244" t="n">
        <x:v>62</x:v>
      </x:c>
      <x:c r="F244" t="str">
        <x:v>enter_or_hold</x:v>
      </x:c>
      <x:c r="G244" t="str">
        <x:v>rebalance_trim</x:v>
      </x:c>
      <x:c r="H244" t="n">
        <x:v>6</x:v>
      </x:c>
      <x:c r="I244" t="n">
        <x:v>53.30209706596412</x:v>
      </x:c>
      <x:c r="J244" t="n">
        <x:v>3.888326750581757</x:v>
      </x:c>
      <x:c r="K244" t="n">
        <x:v>170.5</x:v>
      </x:c>
      <x:c r="L244" t="n">
        <x:v>265.54998779296875</x:v>
      </x:c>
      <x:c r="M244" t="n">
        <x:v>662.9597109741896</x:v>
      </x:c>
      <x:c r="N244" t="n">
        <x:v>1032.5451211520594</x:v>
      </x:c>
      <x:c r="O244" t="n">
        <x:v>1.591103306338055</x:v>
      </x:c>
      <x:c r="P244" t="n">
        <x:v>2.4781082907649425</x:v>
      </x:c>
      <x:c r="Q244" t="n">
        <x:v>170.5</x:v>
      </x:c>
      <x:c r="R244" t="n">
        <x:v>55.747793426961145</x:v>
      </x:c>
      <x:c r="S244" t="n">
        <x:v>55.747793426961145</x:v>
      </x:c>
      <x:c r="T244" t="n">
        <x:v>55.26779342696115</x:v>
      </x:c>
      <x:c r="U244" t="n">
        <x:f>YEAR(C244)</x:f>
        <x:v>2025</x:v>
      </x:c>
      <x:c r="V244" t="n">
        <x:f>YEAR(D244)</x:f>
        <x:v>2025</x:v>
      </x:c>
      <x:c r="W244" t="n">
        <x:f>N244-M244-O244-P244</x:f>
        <x:v>365.5161985807668</x:v>
      </x:c>
      <x:c r="X244" t="str">
        <x:f>IF(T244&gt;1,"Ganador",IF(T244&lt;0,"Perdedor","Empate"))</x:f>
        <x:v>Ganador</x:v>
      </x:c>
    </x:row>
    <x:row r="245">
      <x:c r="A245" t="str">
        <x:v>HOOD</x:v>
      </x:c>
      <x:c r="B245" t="n">
        <x:v>45807</x:v>
      </x:c>
      <x:c r="C245" t="n">
        <x:v>45810</x:v>
      </x:c>
      <x:c r="D245" t="n">
        <x:v>45992</x:v>
      </x:c>
      <x:c r="E245" t="n">
        <x:v>182</x:v>
      </x:c>
      <x:c r="F245" t="str">
        <x:v>enter_or_hold</x:v>
      </x:c>
      <x:c r="G245" t="str">
        <x:v>left_top_n</x:v>
      </x:c>
      <x:c r="H245" t="n">
        <x:v>4</x:v>
      </x:c>
      <x:c r="I245" t="n">
        <x:v>100.32019416720873</x:v>
      </x:c>
      <x:c r="J245" t="n">
        <x:v>112.76748837157713</x:v>
      </x:c>
      <x:c r="K245" t="n">
        <x:v>69.07438160089654</x:v>
      </x:c>
      <x:c r="L245" t="n">
        <x:v>123.23999786376952</x:v>
      </x:c>
      <x:c r="M245" t="n">
        <x:v>7789.344523952983</x:v>
      </x:c>
      <x:c r="N245" t="n">
        <x:v>13897.46502601582</x:v>
      </x:c>
      <x:c r="O245" t="n">
        <x:v>18.694426857487155</x:v>
      </x:c>
      <x:c r="P245" t="n">
        <x:v>33.35391606243797</x:v>
      </x:c>
      <x:c r="Q245" t="n">
        <x:v>67.9800033569336</x:v>
      </x:c>
      <x:c r="R245" t="n">
        <x:v>81.28860220363568</x:v>
      </x:c>
      <x:c r="S245" t="n">
        <x:v>78.41636075127734</x:v>
      </x:c>
      <x:c r="T245" t="n">
        <x:v>77.93636075127733</x:v>
      </x:c>
      <x:c r="U245" t="n">
        <x:f>YEAR(C245)</x:f>
        <x:v>2025</x:v>
      </x:c>
      <x:c r="V245" t="n">
        <x:f>YEAR(D245)</x:f>
        <x:v>2025</x:v>
      </x:c>
      <x:c r="W245" t="n">
        <x:f>N245-M245-O245-P245</x:f>
        <x:v>6056.072159142912</x:v>
      </x:c>
      <x:c r="X245" t="str">
        <x:f>IF(T245&gt;1,"Ganador",IF(T245&lt;0,"Perdedor","Empate"))</x:f>
        <x:v>Ganador</x:v>
      </x:c>
    </x:row>
    <x:row r="246">
      <x:c r="A246" t="str">
        <x:v>LITE</x:v>
      </x:c>
      <x:c r="B246" t="n">
        <x:v>45898</x:v>
      </x:c>
      <x:c r="C246" t="n">
        <x:v>45902</x:v>
      </x:c>
      <x:c r="D246" t="n">
        <x:v>45992</x:v>
      </x:c>
      <x:c r="E246" t="n">
        <x:v>90</x:v>
      </x:c>
      <x:c r="F246" t="str">
        <x:v>enter_or_hold</x:v>
      </x:c>
      <x:c r="G246" t="str">
        <x:v>rebalance_trim</x:v>
      </x:c>
      <x:c r="H246" t="n">
        <x:v>5</x:v>
      </x:c>
      <x:c r="I246" t="n">
        <x:v>82.47645407188307</x:v>
      </x:c>
      <x:c r="J246" t="n">
        <x:v>26.648045350652744</x:v>
      </x:c>
      <x:c r="K246" t="n">
        <x:v>133.7878558479855</x:v>
      </x:c>
      <x:c r="L246" t="n">
        <x:v>317.92999267578125</x:v>
      </x:c>
      <x:c r="M246" t="n">
        <x:v>3565.184850003709</x:v>
      </x:c>
      <x:c r="N246" t="n">
        <x:v>8472.212863156914</x:v>
      </x:c>
      <x:c r="O246" t="n">
        <x:v>8.5564436400089</x:v>
      </x:c>
      <x:c r="P246" t="n">
        <x:v>20.333310871576593</x:v>
      </x:c>
      <x:c r="Q246" t="n">
        <x:v>132.55499267578125</x:v>
      </x:c>
      <x:c r="R246" t="n">
        <x:v>139.84761815302738</x:v>
      </x:c>
      <x:c r="S246" t="n">
        <x:v>137.63740786534808</x:v>
      </x:c>
      <x:c r="T246" t="n">
        <x:v>137.1574078653481</x:v>
      </x:c>
      <x:c r="U246" t="n">
        <x:f>YEAR(C246)</x:f>
        <x:v>2025</x:v>
      </x:c>
      <x:c r="V246" t="n">
        <x:f>YEAR(D246)</x:f>
        <x:v>2025</x:v>
      </x:c>
      <x:c r="W246" t="n">
        <x:f>N246-M246-O246-P246</x:f>
        <x:v>4878.138258641619</x:v>
      </x:c>
      <x:c r="X246" t="str">
        <x:f>IF(T246&gt;1,"Ganador",IF(T246&lt;0,"Perdedor","Empate"))</x:f>
        <x:v>Ganador</x:v>
      </x:c>
    </x:row>
    <x:row r="247">
      <x:c r="A247" t="str">
        <x:v>STX</x:v>
      </x:c>
      <x:c r="B247" t="n">
        <x:v>45898</x:v>
      </x:c>
      <x:c r="C247" t="n">
        <x:v>45902</x:v>
      </x:c>
      <x:c r="D247" t="n">
        <x:v>46020</x:v>
      </x:c>
      <x:c r="E247" t="n">
        <x:v>118</x:v>
      </x:c>
      <x:c r="F247" t="str">
        <x:v>enter_or_hold</x:v>
      </x:c>
      <x:c r="G247" t="str">
        <x:v>left_top_n</x:v>
      </x:c>
      <x:c r="H247" t="n">
        <x:v>3</x:v>
      </x:c>
      <x:c r="I247" t="n">
        <x:v>94.74661785264112</x:v>
      </x:c>
      <x:c r="J247" t="n">
        <x:v>66.4409758274764</x:v>
      </x:c>
      <x:c r="K247" t="n">
        <x:v>176.45988037557925</x:v>
      </x:c>
      <x:c r="L247" t="n">
        <x:v>281.29998779296875</x:v>
      </x:c>
      <x:c r="M247" t="n">
        <x:v>11724.166646553238</x:v>
      </x:c>
      <x:c r="N247" t="n">
        <x:v>18689.845689222042</x:v>
      </x:c>
      <x:c r="O247" t="n">
        <x:v>28.137999951727767</x:v>
      </x:c>
      <x:c r="P247" t="n">
        <x:v>44.8556296541329</x:v>
      </x:c>
      <x:c r="Q247" t="n">
        <x:v>170.5</x:v>
      </x:c>
      <x:c r="R247" t="n">
        <x:v>64.98533008385263</x:v>
      </x:c>
      <x:c r="S247" t="n">
        <x:v>59.41299925753469</x:v>
      </x:c>
      <x:c r="T247" t="n">
        <x:v>58.932999257534696</x:v>
      </x:c>
      <x:c r="U247" t="n">
        <x:f>YEAR(C247)</x:f>
        <x:v>2025</x:v>
      </x:c>
      <x:c r="V247" t="n">
        <x:f>YEAR(D247)</x:f>
        <x:v>2025</x:v>
      </x:c>
      <x:c r="W247" t="n">
        <x:f>N247-M247-O247-P247</x:f>
        <x:v>6892.685413062944</x:v>
      </x:c>
      <x:c r="X247" t="str">
        <x:f>IF(T247&gt;1,"Ganador",IF(T247&lt;0,"Perdedor","Empate"))</x:f>
        <x:v>Ganador</x:v>
      </x:c>
    </x:row>
    <x:row r="248">
      <x:c r="A248" t="str">
        <x:v>MU</x:v>
      </x:c>
      <x:c r="B248" t="n">
        <x:v>45961</x:v>
      </x:c>
      <x:c r="C248" t="n">
        <x:v>45964</x:v>
      </x:c>
      <x:c r="D248" t="n">
        <x:v>46020</x:v>
      </x:c>
      <x:c r="E248" t="n">
        <x:v>56</x:v>
      </x:c>
      <x:c r="F248" t="str">
        <x:v>enter_or_hold</x:v>
      </x:c>
      <x:c r="G248" t="str">
        <x:v>rebalance_trim</x:v>
      </x:c>
      <x:c r="H248" t="n">
        <x:v>5</x:v>
      </x:c>
      <x:c r="I248" t="n">
        <x:v>90.75730392425363</x:v>
      </x:c>
      <x:c r="J248" t="n">
        <x:v>0.3048689291919242</x:v>
      </x:c>
      <x:c r="K248" t="n">
        <x:v>235.0191475430624</x:v>
      </x:c>
      <x:c r="L248" t="n">
        <x:v>294.3699951171875</x:v>
      </x:c>
      <x:c r="M248" t="n">
        <x:v>71.65003585105228</x:v>
      </x:c>
      <x:c r="N248" t="n">
        <x:v>89.74426519760891</x:v>
      </x:c>
      <x:c r="O248" t="n">
        <x:v>0.1719600860425254</x:v>
      </x:c>
      <x:c r="P248" t="n">
        <x:v>0.21538623647426136</x:v>
      </x:c>
      <x:c r="Q248" t="n">
        <x:v>234.6999969482422</x:v>
      </x:c>
      <x:c r="R248" t="n">
        <x:v>25.42394501270666</x:v>
      </x:c>
      <x:c r="S248" t="n">
        <x:v>25.2536221812524</x:v>
      </x:c>
      <x:c r="T248" t="n">
        <x:v>24.7736221812524</x:v>
      </x:c>
      <x:c r="U248" t="n">
        <x:f>YEAR(C248)</x:f>
        <x:v>2025</x:v>
      </x:c>
      <x:c r="V248" t="n">
        <x:f>YEAR(D248)</x:f>
        <x:v>2025</x:v>
      </x:c>
      <x:c r="W248" t="n">
        <x:f>N248-M248-O248-P248</x:f>
        <x:v>17.706883024039843</x:v>
      </x:c>
      <x:c r="X248" t="str">
        <x:f>IF(T248&gt;1,"Ganador",IF(T248&lt;0,"Perdedor","Empate"))</x:f>
        <x:v>Ganador</x:v>
      </x:c>
    </x:row>
    <x:row r="249">
      <x:c r="A249" t="str">
        <x:v>SATS</x:v>
      </x:c>
      <x:c r="B249" t="n">
        <x:v>45898</x:v>
      </x:c>
      <x:c r="C249" t="n">
        <x:v>45902</x:v>
      </x:c>
      <x:c r="D249" t="n">
        <x:v>46020</x:v>
      </x:c>
      <x:c r="E249" t="n">
        <x:v>118</x:v>
      </x:c>
      <x:c r="F249" t="str">
        <x:v>enter_or_hold</x:v>
      </x:c>
      <x:c r="G249" t="str">
        <x:v>rebalance_trim</x:v>
      </x:c>
      <x:c r="H249" t="n">
        <x:v>4</x:v>
      </x:c>
      <x:c r="I249" t="n">
        <x:v>93.55900531019827</x:v>
      </x:c>
      <x:c r="J249" t="n">
        <x:v>44.241399532345085</x:v>
      </x:c>
      <x:c r="K249" t="n">
        <x:v>67.44475223643518</x:v>
      </x:c>
      <x:c r="L249" t="n">
        <x:v>108.5500030517578</x:v>
      </x:c>
      <x:c r="M249" t="n">
        <x:v>2983.8502300521536</x:v>
      </x:c>
      <x:c r="N249" t="n">
        <x:v>4802.404054250095</x:v>
      </x:c>
      <x:c r="O249" t="n">
        <x:v>7.161240552125168</x:v>
      </x:c>
      <x:c r="P249" t="n">
        <x:v>11.525769730200228</x:v>
      </x:c>
      <x:c r="Q249" t="n">
        <x:v>65.23999786376953</x:v>
      </x:c>
      <x:c r="R249" t="n">
        <x:v>66.38566309953866</x:v>
      </x:c>
      <x:c r="S249" t="n">
        <x:v>60.94655173648431</x:v>
      </x:c>
      <x:c r="T249" t="n">
        <x:v>60.46655173648431</x:v>
      </x:c>
      <x:c r="U249" t="n">
        <x:f>YEAR(C249)</x:f>
        <x:v>2025</x:v>
      </x:c>
      <x:c r="V249" t="n">
        <x:f>YEAR(D249)</x:f>
        <x:v>2025</x:v>
      </x:c>
      <x:c r="W249" t="n">
        <x:f>N249-M249-O249-P249</x:f>
        <x:v>1799.8668139156161</x:v>
      </x:c>
      <x:c r="X249" t="str">
        <x:f>IF(T249&gt;1,"Ganador",IF(T249&lt;0,"Perdedor","Empate"))</x:f>
        <x:v>Ganador</x:v>
      </x:c>
    </x:row>
    <x:row r="250">
      <x:c r="A250" t="str">
        <x:v>WBD</x:v>
      </x:c>
      <x:c r="B250" t="n">
        <x:v>45989</x:v>
      </x:c>
      <x:c r="C250" t="n">
        <x:v>45992</x:v>
      </x:c>
      <x:c r="D250" t="n">
        <x:v>46055</x:v>
      </x:c>
      <x:c r="E250" t="n">
        <x:v>63</x:v>
      </x:c>
      <x:c r="F250" t="str">
        <x:v>enter_or_hold</x:v>
      </x:c>
      <x:c r="G250" t="str">
        <x:v>left_top_n</x:v>
      </x:c>
      <x:c r="H250" t="n">
        <x:v>5</x:v>
      </x:c>
      <x:c r="I250" t="n">
        <x:v>103.07816959561214</x:v>
      </x:c>
      <x:c r="J250" t="n">
        <x:v>759.8773073155749</x:v>
      </x:c>
      <x:c r="K250" t="n">
        <x:v>23.933884242991457</x:v>
      </x:c>
      <x:c r="L250" t="n">
        <x:v>27.520000457763672</x:v>
      </x:c>
      <x:c r="M250" t="n">
        <x:v>18186.815512167013</x:v>
      </x:c>
      <x:c r="N250" t="n">
        <x:v>20911.823845168845</x:v>
      </x:c>
      <x:c r="O250" t="n">
        <x:v>43.648357229200826</x:v>
      </x:c>
      <x:c r="P250" t="n">
        <x:v>50.18837722840522</x:v>
      </x:c>
      <x:c r="Q250" t="n">
        <x:v>23.8700008392334</x:v>
      </x:c>
      <x:c r="R250" t="n">
        <x:v>15.291158316722942</x:v>
      </x:c>
      <x:c r="S250" t="n">
        <x:v>14.983427588951992</x:v>
      </x:c>
      <x:c r="T250" t="n">
        <x:v>14.503427588951991</x:v>
      </x:c>
      <x:c r="U250" t="n">
        <x:f>YEAR(C250)</x:f>
        <x:v>2025</x:v>
      </x:c>
      <x:c r="V250" t="n">
        <x:f>YEAR(D250)</x:f>
        <x:v>2026</x:v>
      </x:c>
      <x:c r="W250" t="n">
        <x:f>N250-M250-O250-P250</x:f>
        <x:v>2631.171598544225</x:v>
      </x:c>
      <x:c r="X250" t="str">
        <x:f>IF(T250&gt;1,"Ganador",IF(T250&lt;0,"Perdedor","Empate"))</x:f>
        <x:v>Ganador</x:v>
      </x:c>
    </x:row>
    <x:row r="251">
      <x:c r="A251" t="str">
        <x:v>COHR</x:v>
      </x:c>
      <x:c r="B251" t="n">
        <x:v>46017</x:v>
      </x:c>
      <x:c r="C251" t="n">
        <x:v>46020</x:v>
      </x:c>
      <x:c r="D251" t="n">
        <x:v>46055</x:v>
      </x:c>
      <x:c r="E251" t="n">
        <x:v>35</x:v>
      </x:c>
      <x:c r="F251" t="str">
        <x:v>enter_or_hold</x:v>
      </x:c>
      <x:c r="G251" t="str">
        <x:v>rebalance_trim</x:v>
      </x:c>
      <x:c r="H251" t="n">
        <x:v>6</x:v>
      </x:c>
      <x:c r="I251" t="n">
        <x:v>90.00122132632806</x:v>
      </x:c>
      <x:c r="J251" t="n">
        <x:v>1.5517652429090318</x:v>
      </x:c>
      <x:c r="K251" t="n">
        <x:v>189.0200042724609</x:v>
      </x:c>
      <x:c r="L251" t="n">
        <x:v>222.44000244140625</x:v>
      </x:c>
      <x:c r="M251" t="n">
        <x:v>293.31467284452157</x:v>
      </x:c>
      <x:c r="N251" t="n">
        <x:v>345.1746644211744</x:v>
      </x:c>
      <x:c r="O251" t="n">
        <x:v>0.7039552148268516</x:v>
      </x:c>
      <x:c r="P251" t="n">
        <x:v>0.8284191946108185</x:v>
      </x:c>
      <x:c r="Q251" t="n">
        <x:v>189.0200042724609</x:v>
      </x:c>
      <x:c r="R251" t="n">
        <x:v>17.68066734395606</x:v>
      </x:c>
      <x:c r="S251" t="n">
        <x:v>17.68066734395606</x:v>
      </x:c>
      <x:c r="T251" t="n">
        <x:v>17.20066734395606</x:v>
      </x:c>
      <x:c r="U251" t="n">
        <x:f>YEAR(C251)</x:f>
        <x:v>2025</x:v>
      </x:c>
      <x:c r="V251" t="n">
        <x:f>YEAR(D251)</x:f>
        <x:v>2026</x:v>
      </x:c>
      <x:c r="W251" t="n">
        <x:f>N251-M251-O251-P251</x:f>
        <x:v>50.32761716721515</x:v>
      </x:c>
      <x:c r="X251" t="str">
        <x:f>IF(T251&gt;1,"Ganador",IF(T251&lt;0,"Perdedor","Empate"))</x:f>
        <x:v>Ganador</x:v>
      </x:c>
    </x:row>
    <x:row r="252">
      <x:c r="A252" t="str">
        <x:v>MU</x:v>
      </x:c>
      <x:c r="B252" t="n">
        <x:v>45961</x:v>
      </x:c>
      <x:c r="C252" t="n">
        <x:v>45964</x:v>
      </x:c>
      <x:c r="D252" t="n">
        <x:v>46055</x:v>
      </x:c>
      <x:c r="E252" t="n">
        <x:v>91</x:v>
      </x:c>
      <x:c r="F252" t="str">
        <x:v>enter_or_hold</x:v>
      </x:c>
      <x:c r="G252" t="str">
        <x:v>rebalance_trim</x:v>
      </x:c>
      <x:c r="H252" t="n">
        <x:v>5</x:v>
      </x:c>
      <x:c r="I252" t="n">
        <x:v>90.75730392425363</x:v>
      </x:c>
      <x:c r="J252" t="n">
        <x:v>16.4587034312188</x:v>
      </x:c>
      <x:c r="K252" t="n">
        <x:v>235.0191475430624</x:v>
      </x:c>
      <x:c r="L252" t="n">
        <x:v>437.7999877929688</x:v>
      </x:c>
      <x:c r="M252" t="n">
        <x:v>3868.110450069118</x:v>
      </x:c>
      <x:c r="N252" t="n">
        <x:v>7205.620161275685</x:v>
      </x:c>
      <x:c r="O252" t="n">
        <x:v>9.283465080165882</x:v>
      </x:c>
      <x:c r="P252" t="n">
        <x:v>17.293488387061643</x:v>
      </x:c>
      <x:c r="Q252" t="n">
        <x:v>234.6999969482422</x:v>
      </x:c>
      <x:c r="R252" t="n">
        <x:v>86.53600063297647</x:v>
      </x:c>
      <x:c r="S252" t="n">
        <x:v>86.28268903611398</x:v>
      </x:c>
      <x:c r="T252" t="n">
        <x:v>85.80268903611397</x:v>
      </x:c>
      <x:c r="U252" t="n">
        <x:f>YEAR(C252)</x:f>
        <x:v>2025</x:v>
      </x:c>
      <x:c r="V252" t="n">
        <x:f>YEAR(D252)</x:f>
        <x:v>2026</x:v>
      </x:c>
      <x:c r="W252" t="n">
        <x:f>N252-M252-O252-P252</x:f>
        <x:v>3310.932757739339</x:v>
      </x:c>
      <x:c r="X252" t="str">
        <x:f>IF(T252&gt;1,"Ganador",IF(T252&lt;0,"Perdedor","Empate"))</x:f>
        <x:v>Ganador</x:v>
      </x:c>
    </x:row>
    <x:row r="253">
      <x:c r="A253" t="str">
        <x:v>LITE</x:v>
      </x:c>
      <x:c r="B253" t="n">
        <x:v>45898</x:v>
      </x:c>
      <x:c r="C253" t="n">
        <x:v>45902</x:v>
      </x:c>
      <x:c r="D253" t="n">
        <x:v>46083</x:v>
      </x:c>
      <x:c r="E253" t="n">
        <x:v>181</x:v>
      </x:c>
      <x:c r="F253" t="str">
        <x:v>enter_or_hold</x:v>
      </x:c>
      <x:c r="G253" t="str">
        <x:v>market_filter_failed</x:v>
      </x:c>
      <x:c r="H253" t="n">
        <x:v>2</x:v>
      </x:c>
      <x:c r="I253" t="n">
        <x:v>147.71974563715017</x:v>
      </x:c>
      <x:c r="J253" t="n">
        <x:v>59.82324835619259</x:v>
      </x:c>
      <x:c r="K253" t="n">
        <x:v>148.1420328691844</x:v>
      </x:c>
      <x:c r="L253" t="n">
        <x:v>783.25</x:v>
      </x:c>
      <x:c r="M253" t="n">
        <x:v>8862.337624324464</x:v>
      </x:c>
      <x:c r="N253" t="n">
        <x:v>46856.55927498785</x:v>
      </x:c>
      <x:c r="O253" t="n">
        <x:v>21.26961029837871</x:v>
      </x:c>
      <x:c r="P253" t="n">
        <x:v>112.45574225997083</x:v>
      </x:c>
      <x:c r="Q253" t="n">
        <x:v>132.55499267578125</x:v>
      </x:c>
      <x:c r="R253" t="n">
        <x:v>490.88683435392426</x:v>
      </x:c>
      <x:c r="S253" t="n">
        <x:v>428.71557439180174</x:v>
      </x:c>
      <x:c r="T253" t="n">
        <x:v>428.2355743918017</x:v>
      </x:c>
      <x:c r="U253" t="n">
        <x:f>YEAR(C253)</x:f>
        <x:v>2025</x:v>
      </x:c>
      <x:c r="V253" t="n">
        <x:f>YEAR(D253)</x:f>
        <x:v>2026</x:v>
      </x:c>
      <x:c r="W253" t="n">
        <x:f>N253-M253-O253-P253</x:f>
        <x:v>37860.49629810504</x:v>
      </x:c>
      <x:c r="X253" t="str">
        <x:f>IF(T253&gt;1,"Ganador",IF(T253&lt;0,"Perdedor","Empate"))</x:f>
        <x:v>Ganador</x:v>
      </x:c>
    </x:row>
    <x:row r="254">
      <x:c r="A254" t="str">
        <x:v>SATS</x:v>
      </x:c>
      <x:c r="B254" t="n">
        <x:v>45898</x:v>
      </x:c>
      <x:c r="C254" t="n">
        <x:v>45902</x:v>
      </x:c>
      <x:c r="D254" t="n">
        <x:v>46083</x:v>
      </x:c>
      <x:c r="E254" t="n">
        <x:v>181</x:v>
      </x:c>
      <x:c r="F254" t="str">
        <x:v>enter_or_hold</x:v>
      </x:c>
      <x:c r="G254" t="str">
        <x:v>market_filter_failed</x:v>
      </x:c>
      <x:c r="H254" t="n">
        <x:v>4</x:v>
      </x:c>
      <x:c r="I254" t="n">
        <x:v>114.7274454068412</x:v>
      </x:c>
      <x:c r="J254" t="n">
        <x:v>217.30414876939417</x:v>
      </x:c>
      <x:c r="K254" t="n">
        <x:v>71.0020832337121</x:v>
      </x:c>
      <x:c r="L254" t="n">
        <x:v>118.68000030517578</x:v>
      </x:c>
      <x:c r="M254" t="n">
        <x:v>15429.04725795548</x:v>
      </x:c>
      <x:c r="N254" t="n">
        <x:v>25789.656442267664</x:v>
      </x:c>
      <x:c r="O254" t="n">
        <x:v>37.02971341909315</x:v>
      </x:c>
      <x:c r="P254" t="n">
        <x:v>61.895175461442385</x:v>
      </x:c>
      <x:c r="Q254" t="n">
        <x:v>65.23999786376953</x:v>
      </x:c>
      <x:c r="R254" t="n">
        <x:v>81.91294327292383</x:v>
      </x:c>
      <x:c r="S254" t="n">
        <x:v>67.15002560491916</x:v>
      </x:c>
      <x:c r="T254" t="n">
        <x:v>66.67002560491916</x:v>
      </x:c>
      <x:c r="U254" t="n">
        <x:f>YEAR(C254)</x:f>
        <x:v>2025</x:v>
      </x:c>
      <x:c r="V254" t="n">
        <x:f>YEAR(D254)</x:f>
        <x:v>2026</x:v>
      </x:c>
      <x:c r="W254" t="n">
        <x:f>N254-M254-O254-P254</x:f>
        <x:v>10261.684295431647</x:v>
      </x:c>
      <x:c r="X254" t="str">
        <x:f>IF(T254&gt;1,"Ganador",IF(T254&lt;0,"Perdedor","Empate"))</x:f>
        <x:v>Ganador</x:v>
      </x:c>
    </x:row>
    <x:row r="255">
      <x:c r="A255" t="str">
        <x:v>CIEN</x:v>
      </x:c>
      <x:c r="B255" t="n">
        <x:v>45961</x:v>
      </x:c>
      <x:c r="C255" t="n">
        <x:v>45964</x:v>
      </x:c>
      <x:c r="D255" t="n">
        <x:v>46083</x:v>
      </x:c>
      <x:c r="E255" t="n">
        <x:v>119</x:v>
      </x:c>
      <x:c r="F255" t="str">
        <x:v>enter_or_hold</x:v>
      </x:c>
      <x:c r="G255" t="str">
        <x:v>market_filter_failed</x:v>
      </x:c>
      <x:c r="H255" t="n">
        <x:v>5</x:v>
      </x:c>
      <x:c r="I255" t="n">
        <x:v>99.444957734184</x:v>
      </x:c>
      <x:c r="J255" t="n">
        <x:v>94.34103377571367</x:v>
      </x:c>
      <x:c r="K255" t="n">
        <x:v>193.3119798869547</x:v>
      </x:c>
      <x:c r="L255" t="n">
        <x:v>353.7300109863281</x:v>
      </x:c>
      <x:c r="M255" t="n">
        <x:v>18237.252023765275</x:v>
      </x:c>
      <x:c r="N255" t="n">
        <x:v>33371.25491394475</x:v>
      </x:c>
      <x:c r="O255" t="n">
        <x:v>43.769404857036655</x:v>
      </x:c>
      <x:c r="P255" t="n">
        <x:v>80.0910117934674</x:v>
      </x:c>
      <x:c r="Q255" t="n">
        <x:v>189.55999755859372</x:v>
      </x:c>
      <x:c r="R255" t="n">
        <x:v>86.6058322125631</x:v>
      </x:c>
      <x:c r="S255" t="n">
        <x:v>82.98400916134784</x:v>
      </x:c>
      <x:c r="T255" t="n">
        <x:v>82.50400916134784</x:v>
      </x:c>
      <x:c r="U255" t="n">
        <x:f>YEAR(C255)</x:f>
        <x:v>2025</x:v>
      </x:c>
      <x:c r="V255" t="n">
        <x:f>YEAR(D255)</x:f>
        <x:v>2026</x:v>
      </x:c>
      <x:c r="W255" t="n">
        <x:f>N255-M255-O255-P255</x:f>
        <x:v>15010.142473528971</x:v>
      </x:c>
      <x:c r="X255" t="str">
        <x:f>IF(T255&gt;1,"Ganador",IF(T255&lt;0,"Perdedor","Empate"))</x:f>
        <x:v>Ganador</x:v>
      </x:c>
    </x:row>
    <x:row r="256">
      <x:c r="A256" t="str">
        <x:v>MU</x:v>
      </x:c>
      <x:c r="B256" t="n">
        <x:v>45961</x:v>
      </x:c>
      <x:c r="C256" t="n">
        <x:v>45964</x:v>
      </x:c>
      <x:c r="D256" t="n">
        <x:v>46083</x:v>
      </x:c>
      <x:c r="E256" t="n">
        <x:v>119</x:v>
      </x:c>
      <x:c r="F256" t="str">
        <x:v>enter_or_hold</x:v>
      </x:c>
      <x:c r="G256" t="str">
        <x:v>market_filter_failed</x:v>
      </x:c>
      <x:c r="H256" t="n">
        <x:v>5</x:v>
      </x:c>
      <x:c r="I256" t="n">
        <x:v>90.75730392425363</x:v>
      </x:c>
      <x:c r="J256" t="n">
        <x:v>57.86801024971238</x:v>
      </x:c>
      <x:c r="K256" t="n">
        <x:v>235.0191475430624</x:v>
      </x:c>
      <x:c r="L256" t="n">
        <x:v>412.6700134277344</x:v>
      </x:c>
      <x:c r="M256" t="n">
        <x:v>13600.0904389006</x:v>
      </x:c>
      <x:c r="N256" t="n">
        <x:v>23880.392566785078</x:v>
      </x:c>
      <x:c r="O256" t="n">
        <x:v>32.64021705336143</x:v>
      </x:c>
      <x:c r="P256" t="n">
        <x:v>57.31294216028418</x:v>
      </x:c>
      <x:c r="Q256" t="n">
        <x:v>234.6999969482422</x:v>
      </x:c>
      <x:c r="R256" t="n">
        <x:v>75.82872551921656</x:v>
      </x:c>
      <x:c r="S256" t="n">
        <x:v>75.5899541555954</x:v>
      </x:c>
      <x:c r="T256" t="n">
        <x:v>75.10995415559539</x:v>
      </x:c>
      <x:c r="U256" t="n">
        <x:f>YEAR(C256)</x:f>
        <x:v>2025</x:v>
      </x:c>
      <x:c r="V256" t="n">
        <x:f>YEAR(D256)</x:f>
        <x:v>2026</x:v>
      </x:c>
      <x:c r="W256" t="n">
        <x:f>N256-M256-O256-P256</x:f>
        <x:v>10190.348968670833</x:v>
      </x:c>
      <x:c r="X256" t="str">
        <x:f>IF(T256&gt;1,"Ganador",IF(T256&lt;0,"Perdedor","Empate"))</x:f>
        <x:v>Ganador</x:v>
      </x:c>
    </x:row>
    <x:row r="257">
      <x:c r="A257" t="str">
        <x:v>COHR</x:v>
      </x:c>
      <x:c r="B257" t="n">
        <x:v>46017</x:v>
      </x:c>
      <x:c r="C257" t="n">
        <x:v>46020</x:v>
      </x:c>
      <x:c r="D257" t="n">
        <x:v>46083</x:v>
      </x:c>
      <x:c r="E257" t="n">
        <x:v>63</x:v>
      </x:c>
      <x:c r="F257" t="str">
        <x:v>enter_or_hold</x:v>
      </x:c>
      <x:c r="G257" t="str">
        <x:v>market_filter_failed</x:v>
      </x:c>
      <x:c r="H257" t="n">
        <x:v>6</x:v>
      </x:c>
      <x:c r="I257" t="n">
        <x:v>90.00122132632806</x:v>
      </x:c>
      <x:c r="J257" t="n">
        <x:v>113.89414629952165</x:v>
      </x:c>
      <x:c r="K257" t="n">
        <x:v>189.0200042724609</x:v>
      </x:c>
      <x:c r="L257" t="n">
        <x:v>298.9100036621094</x:v>
      </x:c>
      <x:c r="M257" t="n">
        <x:v>21528.27202014387</x:v>
      </x:c>
      <x:c r="N257" t="n">
        <x:v>34044.099687482834</x:v>
      </x:c>
      <x:c r="O257" t="n">
        <x:v>51.66785284834529</x:v>
      </x:c>
      <x:c r="P257" t="n">
        <x:v>81.7058392499588</x:v>
      </x:c>
      <x:c r="Q257" t="n">
        <x:v>189.0200042724609</x:v>
      </x:c>
      <x:c r="R257" t="n">
        <x:v>58.13670347359039</x:v>
      </x:c>
      <x:c r="S257" t="n">
        <x:v>58.13670347359039</x:v>
      </x:c>
      <x:c r="T257" t="n">
        <x:v>57.65670347359039</x:v>
      </x:c>
      <x:c r="U257" t="n">
        <x:f>YEAR(C257)</x:f>
        <x:v>2025</x:v>
      </x:c>
      <x:c r="V257" t="n">
        <x:f>YEAR(D257)</x:f>
        <x:v>2026</x:v>
      </x:c>
      <x:c r="W257" t="n">
        <x:f>N257-M257-O257-P257</x:f>
        <x:v>12382.45397524066</x:v>
      </x:c>
      <x:c r="X257" t="str">
        <x:f>IF(T257&gt;1,"Ganador",IF(T257&lt;0,"Perdedor","Empate"))</x:f>
        <x:v>Ganador</x:v>
      </x:c>
    </x:row>
    <x:row r="258">
      <x:c r="A258" t="str">
        <x:v>STX</x:v>
      </x:c>
      <x:c r="B258" t="n">
        <x:v>46052</x:v>
      </x:c>
      <x:c r="C258" t="n">
        <x:v>46055</x:v>
      </x:c>
      <x:c r="D258" t="n">
        <x:v>46083</x:v>
      </x:c>
      <x:c r="E258" t="n">
        <x:v>28</x:v>
      </x:c>
      <x:c r="F258" t="str">
        <x:v>enter_or_hold</x:v>
      </x:c>
      <x:c r="G258" t="str">
        <x:v>market_filter_failed</x:v>
      </x:c>
      <x:c r="H258" t="n">
        <x:v>3</x:v>
      </x:c>
      <x:c r="I258" t="n">
        <x:v>126.50944859046858</x:v>
      </x:c>
      <x:c r="J258" t="n">
        <x:v>58.35677990905959</x:v>
      </x:c>
      <x:c r="K258" t="n">
        <x:v>432.9500122070313</x:v>
      </x:c>
      <x:c r="L258" t="n">
        <x:v>379.5199890136719</x:v>
      </x:c>
      <x:c r="M258" t="n">
        <x:v>25265.56857399039</x:v>
      </x:c>
      <x:c r="N258" t="n">
        <x:v>22147.56446995956</x:v>
      </x:c>
      <x:c r="O258" t="n">
        <x:v>60.63736457757693</x:v>
      </x:c>
      <x:c r="P258" t="n">
        <x:v>53.15415472790294</x:v>
      </x:c>
      <x:c r="Q258" t="n">
        <x:v>432.9500122070313</x:v>
      </x:c>
      <x:c r="R258" t="n">
        <x:v>-12.340921974107689</x:v>
      </x:c>
      <x:c r="S258" t="n">
        <x:v>-12.340921974107689</x:v>
      </x:c>
      <x:c r="T258" t="n">
        <x:v>-12.820921974107689</x:v>
      </x:c>
      <x:c r="U258" t="n">
        <x:f>YEAR(C258)</x:f>
        <x:v>2026</x:v>
      </x:c>
      <x:c r="V258" t="n">
        <x:f>YEAR(D258)</x:f>
        <x:v>2026</x:v>
      </x:c>
      <x:c r="W258" t="n">
        <x:f>N258-M258-O258-P258</x:f>
        <x:v>-3231.795623336308</x:v>
      </x:c>
      <x:c r="X258" t="str">
        <x:f>IF(T258&gt;1,"Ganador",IF(T258&lt;0,"Perdedor","Empate"))</x:f>
        <x:v>Perdedor</x:v>
      </x:c>
    </x:row>
  </x:sheetData>
  <x:pageMargins left="0.7" right="0.7" top="0.75" bottom="0.75" header="0.3" footer="0.3"/>
  <x:tableParts count="1">
    <x:tablePart xmlns:r="http://schemas.openxmlformats.org/officeDocument/2006/relationships" r:id="Rc5dd5953995e4c12"/>
  </x:tableParts>
</x:worksheet>
</file>